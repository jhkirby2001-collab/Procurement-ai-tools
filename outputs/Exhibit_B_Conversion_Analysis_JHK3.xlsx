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Conversion Scorecard" sheetId="2" state="visible" r:id="rId2"/>
    <sheet name="Confirmed Conversions" sheetId="3" state="visible" r:id="rId3"/>
    <sheet name="Claimed vs Verified" sheetId="4" state="visible" r:id="rId4"/>
    <sheet name="Still Open - Ranked" sheetId="5" state="visible" r:id="rId5"/>
    <sheet name="Pipeline Forecast" sheetId="6" state="visible" r:id="rId6"/>
    <sheet name="Reverse Leakage" sheetId="7" state="visible" r:id="rId7"/>
    <sheet name="Data Quality Findings" sheetId="8" state="visible" r:id="rId8"/>
    <sheet name="Methodology &amp; Limits" sheetId="9" state="visible" r:id="rId9"/>
    <sheet name="EB Detail" sheetId="10" state="visible" r:id="rId10"/>
    <sheet name="Awarded Contracts" sheetId="11" state="visible" r:id="rId11"/>
  </sheets>
  <definedNames>
    <definedName name="_xlnm._FilterDatabase" localSheetId="1" hidden="1">'Conversion Scorecard'!$A$4:$L$179</definedName>
    <definedName name="_xlnm._FilterDatabase" localSheetId="4" hidden="1">'Still Open - Ranked'!$A$4:$I$171</definedName>
    <definedName name="_xlnm._FilterDatabase" localSheetId="9" hidden="1">'EB Detail'!$A$1:$W$731</definedName>
    <definedName name="_xlnm._FilterDatabase" localSheetId="10" hidden="1">'Awarded Contracts'!$A$1:$Q$101</definedName>
  </definedNames>
  <calcPr calcId="124519" fullCalcOnLoad="1"/>
</workbook>
</file>

<file path=xl/styles.xml><?xml version="1.0" encoding="utf-8"?>
<styleSheet xmlns="http://schemas.openxmlformats.org/spreadsheetml/2006/main">
  <numFmts count="4">
    <numFmt numFmtId="164" formatCode="$#,##0;($#,##0);&quot;-&quot;"/>
    <numFmt numFmtId="165" formatCode="0.0%"/>
    <numFmt numFmtId="166" formatCode="yyyy-mm-dd h:mm:ss"/>
    <numFmt numFmtId="167" formatCode="yyyy-mm-dd"/>
  </numFmts>
  <fonts count="18">
    <font>
      <name val="Calibri"/>
      <family val="2"/>
      <color theme="1"/>
      <sz val="11"/>
      <scheme val="minor"/>
    </font>
    <font>
      <name val="Arial"/>
      <b val="1"/>
      <color rgb="00FFFFFF"/>
      <sz val="15"/>
    </font>
    <font>
      <name val="Arial"/>
      <i val="1"/>
      <color rgb="00444444"/>
      <sz val="9"/>
    </font>
    <font>
      <name val="Arial"/>
      <b val="1"/>
      <color rgb="00002F6C"/>
      <sz val="12"/>
    </font>
    <font>
      <name val="Arial"/>
      <sz val="10"/>
    </font>
    <font>
      <name val="Arial"/>
      <b val="1"/>
      <color rgb="00FFFFFF"/>
      <sz val="10"/>
    </font>
    <font>
      <name val="Arial"/>
      <color rgb="00555555"/>
      <sz val="8"/>
    </font>
    <font>
      <name val="Arial"/>
      <b val="1"/>
      <sz val="10"/>
    </font>
    <font>
      <name val="Arial"/>
      <b val="1"/>
      <color rgb="00002F6C"/>
      <sz val="10"/>
    </font>
    <font>
      <name val="Arial"/>
      <b val="1"/>
      <color rgb="00DA291C"/>
      <sz val="11"/>
    </font>
    <font>
      <name val="Arial"/>
      <b val="1"/>
      <color rgb="00DA291C"/>
      <sz val="10"/>
    </font>
    <font>
      <name val="Arial"/>
      <sz val="9"/>
    </font>
    <font>
      <name val="Arial"/>
      <b val="1"/>
      <color rgb="00DA291C"/>
      <sz val="9"/>
    </font>
    <font>
      <name val="Arial"/>
      <b val="1"/>
      <color rgb="00B26B00"/>
      <sz val="9"/>
    </font>
    <font>
      <name val="Arial"/>
      <b val="1"/>
      <color rgb="001E7B34"/>
      <sz val="9"/>
    </font>
    <font>
      <name val="Arial"/>
      <b val="1"/>
      <color rgb="00002F6C"/>
      <sz val="9"/>
    </font>
    <font>
      <name val="Arial"/>
      <b val="1"/>
      <color rgb="00002F6C"/>
      <sz val="11"/>
    </font>
    <font>
      <name val="Arial"/>
      <b val="1"/>
      <sz val="9"/>
    </font>
  </fonts>
  <fills count="6">
    <fill>
      <patternFill/>
    </fill>
    <fill>
      <patternFill patternType="gray125"/>
    </fill>
    <fill>
      <patternFill patternType="solid">
        <fgColor rgb="00002F6C"/>
      </patternFill>
    </fill>
    <fill>
      <patternFill patternType="solid">
        <fgColor rgb="00D6EEF9"/>
      </patternFill>
    </fill>
    <fill>
      <patternFill patternType="solid">
        <fgColor rgb="00FFFFFF"/>
      </patternFill>
    </fill>
    <fill>
      <patternFill patternType="solid">
        <fgColor rgb="00DA291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pivotButton="0" quotePrefix="0" xfId="0"/>
    <xf numFmtId="0" fontId="4" fillId="3" borderId="1" applyAlignment="1" pivotButton="0" quotePrefix="0" xfId="0">
      <alignment vertical="top" wrapText="1"/>
    </xf>
    <xf numFmtId="0" fontId="5"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0" borderId="1" pivotButton="0" quotePrefix="0" xfId="0"/>
    <xf numFmtId="3" fontId="0" fillId="0" borderId="1" pivotButton="0" quotePrefix="0" xfId="0"/>
    <xf numFmtId="164" fontId="0" fillId="0" borderId="1" pivotButton="0" quotePrefix="0" xfId="0"/>
    <xf numFmtId="0" fontId="6" fillId="0" borderId="1" applyAlignment="1" pivotButton="0" quotePrefix="0" xfId="0">
      <alignment vertical="top" wrapText="1"/>
    </xf>
    <xf numFmtId="0" fontId="8" fillId="3" borderId="1" pivotButton="0" quotePrefix="0" xfId="0"/>
    <xf numFmtId="3" fontId="8" fillId="3" borderId="1" pivotButton="0" quotePrefix="0" xfId="0"/>
    <xf numFmtId="164" fontId="8" fillId="3" borderId="1" pivotButton="0" quotePrefix="0" xfId="0"/>
    <xf numFmtId="0" fontId="8" fillId="3" borderId="1" applyAlignment="1" pivotButton="0" quotePrefix="0" xfId="0">
      <alignment vertical="top" wrapText="1"/>
    </xf>
    <xf numFmtId="165" fontId="9" fillId="0" borderId="1" pivotButton="0" quotePrefix="0" xfId="0"/>
    <xf numFmtId="3" fontId="9" fillId="0" borderId="1" pivotButton="0" quotePrefix="0" xfId="0"/>
    <xf numFmtId="0" fontId="10" fillId="0" borderId="0" pivotButton="0" quotePrefix="0" xfId="0"/>
    <xf numFmtId="0" fontId="11" fillId="0" borderId="0" applyAlignment="1" pivotButton="0" quotePrefix="0" xfId="0">
      <alignment vertical="top" wrapText="1"/>
    </xf>
    <xf numFmtId="0" fontId="11" fillId="0" borderId="1" applyAlignment="1" pivotButton="0" quotePrefix="0" xfId="0">
      <alignment vertical="top"/>
    </xf>
    <xf numFmtId="0" fontId="11" fillId="0" borderId="1" applyAlignment="1" pivotButton="0" quotePrefix="0" xfId="0">
      <alignment vertical="top" wrapText="1"/>
    </xf>
    <xf numFmtId="164" fontId="11" fillId="0" borderId="1" applyAlignment="1" pivotButton="0" quotePrefix="0" xfId="0">
      <alignment vertical="top"/>
    </xf>
    <xf numFmtId="0" fontId="11" fillId="3" borderId="1" applyAlignment="1" pivotButton="0" quotePrefix="0" xfId="0">
      <alignment vertical="top"/>
    </xf>
    <xf numFmtId="0" fontId="11" fillId="3" borderId="1" applyAlignment="1" pivotButton="0" quotePrefix="0" xfId="0">
      <alignment vertical="top" wrapText="1"/>
    </xf>
    <xf numFmtId="164" fontId="11" fillId="3" borderId="1" applyAlignment="1" pivotButton="0" quotePrefix="0" xfId="0">
      <alignment vertical="top"/>
    </xf>
    <xf numFmtId="0" fontId="12" fillId="3" borderId="1" applyAlignment="1" pivotButton="0" quotePrefix="0" xfId="0">
      <alignment vertical="top"/>
    </xf>
    <xf numFmtId="0" fontId="12" fillId="0" borderId="1" applyAlignment="1" pivotButton="0" quotePrefix="0" xfId="0">
      <alignment vertical="top"/>
    </xf>
    <xf numFmtId="0" fontId="13" fillId="0" borderId="1" applyAlignment="1" pivotButton="0" quotePrefix="0" xfId="0">
      <alignment vertical="top"/>
    </xf>
    <xf numFmtId="0" fontId="14" fillId="0" borderId="1" applyAlignment="1" pivotButton="0" quotePrefix="0" xfId="0">
      <alignment vertical="top"/>
    </xf>
    <xf numFmtId="0" fontId="13" fillId="3" borderId="1" applyAlignment="1" pivotButton="0" quotePrefix="0" xfId="0">
      <alignment vertical="top"/>
    </xf>
    <xf numFmtId="0" fontId="14" fillId="3" borderId="1" applyAlignment="1" pivotButton="0" quotePrefix="0" xfId="0">
      <alignment vertical="top"/>
    </xf>
    <xf numFmtId="167" fontId="11" fillId="0" borderId="1" applyAlignment="1" pivotButton="0" quotePrefix="0" xfId="0">
      <alignment vertical="top"/>
    </xf>
    <xf numFmtId="167" fontId="11" fillId="3" borderId="1" applyAlignment="1" pivotButton="0" quotePrefix="0" xfId="0">
      <alignment vertical="top"/>
    </xf>
    <xf numFmtId="165" fontId="11" fillId="0" borderId="1" applyAlignment="1" pivotButton="0" quotePrefix="0" xfId="0">
      <alignment vertical="top"/>
    </xf>
    <xf numFmtId="165" fontId="11" fillId="3" borderId="1" applyAlignment="1" pivotButton="0" quotePrefix="0" xfId="0">
      <alignment vertical="top"/>
    </xf>
    <xf numFmtId="0" fontId="5" fillId="5" borderId="1" pivotButton="0" quotePrefix="0" xfId="0"/>
    <xf numFmtId="164" fontId="5" fillId="5" borderId="1" pivotButton="0" quotePrefix="0" xfId="0"/>
    <xf numFmtId="165" fontId="5" fillId="5" borderId="1" pivotButton="0" quotePrefix="0" xfId="0"/>
    <xf numFmtId="0" fontId="8" fillId="3" borderId="1" applyAlignment="1" pivotButton="0" quotePrefix="0" xfId="0">
      <alignment vertical="center" wrapText="1" indent="1"/>
    </xf>
    <xf numFmtId="0" fontId="15" fillId="0" borderId="1" applyAlignment="1" pivotButton="0" quotePrefix="0" xfId="0">
      <alignment vertical="top" wrapText="1"/>
    </xf>
    <xf numFmtId="0" fontId="15" fillId="3" borderId="1" applyAlignment="1" pivotButton="0" quotePrefix="0" xfId="0">
      <alignment vertical="top" wrapText="1"/>
    </xf>
    <xf numFmtId="0" fontId="16" fillId="3" borderId="0" pivotButton="0" quotePrefix="0" xfId="0"/>
    <xf numFmtId="0" fontId="0" fillId="3" borderId="0" pivotButton="0" quotePrefix="0" xfId="0"/>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showGridLines="0" workbookViewId="0">
      <selection activeCell="A1" sqref="A1"/>
    </sheetView>
  </sheetViews>
  <sheetFormatPr baseColWidth="8" defaultRowHeight="15"/>
  <cols>
    <col width="3" customWidth="1" min="1" max="1"/>
    <col width="52" customWidth="1" min="2" max="2"/>
    <col width="20" customWidth="1" min="3" max="3"/>
    <col width="20" customWidth="1" min="4" max="4"/>
    <col width="58" customWidth="1" min="5" max="5"/>
  </cols>
  <sheetData>
    <row r="1" ht="30" customHeight="1">
      <c r="A1" s="1" t="inlineStr">
        <is>
          <t>MAVERICK SPEND CONVERSION TRACKER</t>
        </is>
      </c>
    </row>
    <row r="2" ht="18" customHeight="1">
      <c r="A2" s="2" t="inlineStr">
        <is>
          <t>Did non-contract (maverick) Exhibit B spend move onto an awarded contract?   |   January 5, 2026 to August 20, 2026</t>
        </is>
      </c>
    </row>
    <row r="4">
      <c r="B4" s="3" t="inlineStr">
        <is>
          <t>THE BOTTOM LINE</t>
        </is>
      </c>
    </row>
    <row r="5">
      <c r="B5" s="4" t="inlineStr">
        <is>
          <t>Of 175 distinct sourcing efforts representing $53,461,392 of Exhibit B spend, 8 can be independently verified as having moved onto an awarded contract during the period. Departments self-reported 33 as awarded. The gap between the claim and the evidence is the single most important finding in this analysis.</t>
        </is>
      </c>
    </row>
    <row r="6"/>
    <row r="7"/>
    <row r="9">
      <c r="B9" s="3" t="inlineStr">
        <is>
          <t>CONVERSION SCORECARD</t>
        </is>
      </c>
    </row>
    <row r="10" ht="30" customHeight="1">
      <c r="A10" s="5" t="n"/>
      <c r="B10" s="6" t="inlineStr">
        <is>
          <t>Measure</t>
        </is>
      </c>
      <c r="C10" s="6" t="inlineStr">
        <is>
          <t>Requisitions</t>
        </is>
      </c>
      <c r="D10" s="6" t="inlineStr">
        <is>
          <t>Spend</t>
        </is>
      </c>
      <c r="E10" s="6" t="inlineStr">
        <is>
          <t>Basis</t>
        </is>
      </c>
    </row>
    <row r="11" ht="26" customHeight="1">
      <c r="B11" s="7" t="inlineStr">
        <is>
          <t>Total Exhibit B spend in period</t>
        </is>
      </c>
      <c r="C11" s="8">
        <f>COUNTA('EB Detail'!$A$2:$A$731)</f>
        <v/>
      </c>
      <c r="D11" s="9">
        <f>SUM('EB Detail'!$F$2:$F$731)</f>
        <v/>
      </c>
      <c r="E11" s="10" t="inlineStr">
        <is>
          <t>Every Exhibit B requisition in the source file</t>
        </is>
      </c>
    </row>
    <row r="12" ht="26" customHeight="1">
      <c r="B12" s="7" t="inlineStr">
        <is>
          <t>Expected to convert (new contract requested)</t>
        </is>
      </c>
      <c r="C12" s="8">
        <f>COUNTIF('EB Detail'!$W$2:$W$731,"Yes")</f>
        <v/>
      </c>
      <c r="D12" s="9">
        <f>SUMIF('EB Detail'!$W$2:$W$731,"Yes",'EB Detail'!$F$2:$F$731)</f>
        <v/>
      </c>
      <c r="E12" s="10" t="inlineStr">
        <is>
          <t>Excludes one-time purchases, invoice reconciliation, bid protests</t>
        </is>
      </c>
    </row>
    <row r="13" ht="26" customHeight="1">
      <c r="B13" s="7" t="inlineStr">
        <is>
          <t>Self-reported by department as awarded</t>
        </is>
      </c>
      <c r="C13" s="8">
        <f>COUNTIF('EB Detail'!$K$2:$K$731,"Yes")</f>
        <v/>
      </c>
      <c r="D13" s="9">
        <f>SUMIF('EB Detail'!$K$2:$K$731,"Yes",'EB Detail'!$F$2:$F$731)</f>
        <v/>
      </c>
      <c r="E13" s="10" t="inlineStr">
        <is>
          <t>Department's own 'Contract Awarded?' answer - unverified</t>
        </is>
      </c>
    </row>
    <row r="14" ht="26" customHeight="1">
      <c r="B14" s="11" t="inlineStr">
        <is>
          <t>VERIFIED converted to an awarded contract</t>
        </is>
      </c>
      <c r="C14" s="12">
        <f>COUNTIF('EB Detail'!$U$2:$U$731,"Yes")</f>
        <v/>
      </c>
      <c r="D14" s="13">
        <f>SUMIF('EB Detail'!$U$2:$U$731,"Yes",'EB Detail'!$F$2:$F$731)</f>
        <v/>
      </c>
      <c r="E14" s="14" t="inlineStr">
        <is>
          <t>ID or vendor+commodity link to the awarded file, award dated after the Exhibit B</t>
        </is>
      </c>
    </row>
    <row r="15" ht="26" customHeight="1">
      <c r="B15" s="7" t="inlineStr">
        <is>
          <t xml:space="preserve">   of which COMPETITIVELY awarded (Bid/RFQ/RFP)</t>
        </is>
      </c>
      <c r="C15" s="8">
        <f>COUNTIFS('EB Detail'!$U$2:$U$731,"Yes",'EB Detail'!$T$2:$T$731,"Yes")</f>
        <v/>
      </c>
      <c r="D15" s="9">
        <f>SUMIFS('EB Detail'!$F$2:$F$731,'EB Detail'!$U$2:$U$731,"Yes",'EB Detail'!$T$2:$T$731,"Yes")</f>
        <v/>
      </c>
      <c r="E15" s="10" t="inlineStr">
        <is>
          <t>The procurement-correct outcome</t>
        </is>
      </c>
    </row>
    <row r="16" ht="26" customHeight="1">
      <c r="B16" s="7" t="inlineStr">
        <is>
          <t xml:space="preserve">   of which non-competitive (sole source/emergency)</t>
        </is>
      </c>
      <c r="C16" s="8">
        <f>COUNTIFS('EB Detail'!$U$2:$U$731,"Yes",'EB Detail'!$T$2:$T$731,"No")</f>
        <v/>
      </c>
      <c r="D16" s="9">
        <f>SUMIFS('EB Detail'!$F$2:$F$731,'EB Detail'!$U$2:$U$731,"Yes",'EB Detail'!$T$2:$T$731,"No")</f>
        <v/>
      </c>
      <c r="E16" s="10" t="inlineStr">
        <is>
          <t>Exited Exhibit B but did NOT go competitive</t>
        </is>
      </c>
    </row>
    <row r="17" ht="26" customHeight="1">
      <c r="B17" s="7" t="inlineStr">
        <is>
          <t>Reverse leakage (Exhibit B filed AFTER award)</t>
        </is>
      </c>
      <c r="C17" s="8">
        <f>COUNTIF('EB Detail'!$V$2:$V$731,"Yes")</f>
        <v/>
      </c>
      <c r="D17" s="9">
        <f>SUMIF('EB Detail'!$V$2:$V$731,"Yes",'EB Detail'!$F$2:$F$731)</f>
        <v/>
      </c>
      <c r="E17" s="10" t="inlineStr">
        <is>
          <t>Contract existed - spend should have ridden it</t>
        </is>
      </c>
    </row>
    <row r="18" ht="26" customHeight="1">
      <c r="B18" s="7" t="inlineStr">
        <is>
          <t>Still open / no linkage found</t>
        </is>
      </c>
      <c r="C18" s="8">
        <f>COUNTIF('EB Detail'!$N$2:$N$731,"E")</f>
        <v/>
      </c>
      <c r="D18" s="9">
        <f>SUMIF('EB Detail'!$N$2:$N$731,"E",'EB Detail'!$F$2:$F$731)</f>
        <v/>
      </c>
      <c r="E18" s="10" t="inlineStr">
        <is>
          <t>No matching award in the supplied file - see Limitations</t>
        </is>
      </c>
    </row>
    <row r="20">
      <c r="B20" s="3" t="inlineStr">
        <is>
          <t>CONVERSION RATE</t>
        </is>
      </c>
    </row>
    <row r="21">
      <c r="B21" s="7" t="inlineStr">
        <is>
          <t>Verified conversion rate - requisitions, as % of those expected to convert</t>
        </is>
      </c>
      <c r="C21" s="15">
        <f>IFERROR(COUNTIFS('EB Detail'!$W$2:$W$731,"Yes",'EB Detail'!$U$2:$U$731,"Yes")/C12,0)</f>
        <v/>
      </c>
    </row>
    <row r="22">
      <c r="B22" s="7" t="inlineStr">
        <is>
          <t>Verified conversion rate - dollars, as % of spend expected to convert</t>
        </is>
      </c>
      <c r="C22" s="15">
        <f>IFERROR(SUMIFS('EB Detail'!$F$2:$F$731,'EB Detail'!$W$2:$W$731,"Yes",'EB Detail'!$U$2:$U$731,"Yes")/D12,0)</f>
        <v/>
      </c>
    </row>
    <row r="23">
      <c r="B23" s="7" t="inlineStr">
        <is>
          <t>Competitive conversion rate - dollars, as % of spend expected to convert</t>
        </is>
      </c>
      <c r="C23" s="15">
        <f>IFERROR(SUMIFS('EB Detail'!$F$2:$F$731,'EB Detail'!$W$2:$W$731,"Yes",'EB Detail'!$U$2:$U$731,"Yes",'EB Detail'!$T$2:$T$731,"Yes")/D12,0)</f>
        <v/>
      </c>
    </row>
    <row r="24">
      <c r="B24" s="7" t="inlineStr">
        <is>
          <t>Department claims that verify (of rows marked 'Contract Awarded? = Yes')</t>
        </is>
      </c>
      <c r="C24" s="15">
        <f>IFERROR(COUNTIFS('EB Detail'!$K$2:$K$731,"Yes",'EB Detail'!$U$2:$U$731,"Yes")/COUNTIF('EB Detail'!$K$2:$K$731,"Yes"),0)</f>
        <v/>
      </c>
    </row>
    <row r="25">
      <c r="B25" s="7" t="inlineStr">
        <is>
          <t>Verified conversions the department did NOT flag as awarded</t>
        </is>
      </c>
      <c r="C25" s="16">
        <f>COUNTIFS('EB Detail'!$K$2:$K$731,"No",'EB Detail'!$U$2:$U$731,"Yes")</f>
        <v/>
      </c>
    </row>
    <row r="27">
      <c r="B27" s="3" t="inlineStr">
        <is>
          <t>WHAT LEADERSHIP NEEDS TO KNOW</t>
        </is>
      </c>
    </row>
    <row r="28">
      <c r="B28" s="17" t="inlineStr">
        <is>
          <t>1.  The claim does not survive verification</t>
        </is>
      </c>
    </row>
    <row r="29" ht="16" customHeight="1">
      <c r="B29" s="18" t="inlineStr">
        <is>
          <t>Departments marked 48 requisitions ($9,997,088) as having an awarded contract. Only 6 of those verify against the awarded contract file. Of the 25 contract numbers departments supplied, only 2 appear anywhere in the actual award data. The error runs both ways: 16 requisitions did convert to an awarded contract but were never flagged as awarded. Exhibit B status is not being maintained.</t>
        </is>
      </c>
    </row>
    <row r="30" ht="16" customHeight="1"/>
    <row r="32">
      <c r="B32" s="17" t="inlineStr">
        <is>
          <t>2.  Exhibit B spend is concentrated in a handful of stalled sourcing efforts</t>
        </is>
      </c>
    </row>
    <row r="33" ht="16" customHeight="1">
      <c r="B33" s="18" t="inlineStr">
        <is>
          <t>The single largest - There was an active contract for Comprehensive Custodial Services for Zones 1, 2, and 4, w - accounts for $16,275,951 across 49 requisitions and is still in 'A. Specification Development Phase'. Counting requisitions instead of sourcing efforts hides this.</t>
        </is>
      </c>
    </row>
    <row r="34" ht="16" customHeight="1"/>
    <row r="36">
      <c r="B36" s="17" t="inlineStr">
        <is>
          <t>3.  Near-term relief is real and measurable</t>
        </is>
      </c>
    </row>
    <row r="37" ht="16" customHeight="1">
      <c r="B37" s="18" t="inlineStr">
        <is>
          <t>25 requisitions worth $8,587,385 sit in Recommendation of Award or Signature Cycle - one step from contract. These convert in the next 60-90 days without new intervention.</t>
        </is>
      </c>
    </row>
    <row r="38" ht="16" customHeight="1"/>
    <row r="40">
      <c r="B40" s="17" t="inlineStr">
        <is>
          <t>4.  The long tail will not clear this year</t>
        </is>
      </c>
    </row>
    <row r="41" ht="16" customHeight="1">
      <c r="B41" s="18" t="inlineStr">
        <is>
          <t>357 requisitions worth $23,024,247 are still in Specification Development. On normal cycle times these are 12+ months from award and will keep generating Exhibit B activity.</t>
        </is>
      </c>
    </row>
    <row r="42" ht="16" customHeight="1"/>
    <row r="44">
      <c r="B44" s="17" t="inlineStr">
        <is>
          <t>5.  Exiting Exhibit B is not the same as going competitive</t>
        </is>
      </c>
    </row>
    <row r="45" ht="16" customHeight="1">
      <c r="B45" s="18" t="inlineStr">
        <is>
          <t>Of the awarded contracts in this period, only 53 of 100 were competitively procured (Bid/RFQ/RFP). Some Exhibit B spend exited into sole-source and emergency awards - off the exception report, but not competitively sourced.</t>
        </is>
      </c>
    </row>
    <row r="46" ht="16" customHeight="1"/>
    <row r="48">
      <c r="B48" s="17" t="inlineStr">
        <is>
          <t>6.  Reverse leakage is occurring</t>
        </is>
      </c>
    </row>
    <row r="49" ht="16" customHeight="1">
      <c r="B49" s="18" t="inlineStr">
        <is>
          <t>8 requisitions were filed as Exhibit B exceptions AFTER a contract had already been awarded for that scope. That spend should have ridden the contract.</t>
        </is>
      </c>
    </row>
    <row r="50" ht="16" customHeight="1"/>
  </sheetData>
  <mergeCells count="9">
    <mergeCell ref="B29:E30"/>
    <mergeCell ref="B45:E46"/>
    <mergeCell ref="A2:E2"/>
    <mergeCell ref="B49:E50"/>
    <mergeCell ref="A1:E1"/>
    <mergeCell ref="B33:E34"/>
    <mergeCell ref="B41:E42"/>
    <mergeCell ref="B37:E38"/>
    <mergeCell ref="B5:E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9"/>
  <sheetViews>
    <sheetView workbookViewId="0">
      <pane ySplit="4" topLeftCell="A5" activePane="bottomLeft" state="frozen"/>
      <selection pane="bottomLeft" activeCell="A1" sqref="A1"/>
    </sheetView>
  </sheetViews>
  <sheetFormatPr baseColWidth="8" defaultRowHeight="15"/>
  <cols>
    <col width="18" customWidth="1" min="1" max="1"/>
    <col width="55" customWidth="1" min="2" max="2"/>
    <col width="30" customWidth="1" min="3" max="3"/>
    <col width="26" customWidth="1" min="4" max="4"/>
    <col width="11" customWidth="1" min="5" max="5"/>
    <col width="8" customWidth="1" min="6" max="6"/>
    <col width="16" customWidth="1" min="7" max="7"/>
    <col width="26" customWidth="1" min="8" max="8"/>
    <col width="30" customWidth="1" min="9" max="9"/>
    <col width="12" customWidth="1" min="10" max="10"/>
    <col width="15" customWidth="1" min="11" max="11"/>
    <col width="18" customWidth="1" min="12" max="12"/>
  </cols>
  <sheetData>
    <row r="1" ht="30" customHeight="1">
      <c r="A1" s="1" t="inlineStr">
        <is>
          <t>CONVERSION SCORECARD BY SOURCING EFFORT</t>
        </is>
      </c>
    </row>
    <row r="2" ht="18" customHeight="1">
      <c r="A2" s="2" t="inlineStr">
        <is>
          <t>One row per distinct sourcing effort (the pending new-contract requisition), not per Exhibit B requisition. This is the correct unit of analysis.</t>
        </is>
      </c>
    </row>
    <row r="4" ht="30" customHeight="1">
      <c r="A4" s="6" t="inlineStr">
        <is>
          <t>Sourcing Effort</t>
        </is>
      </c>
      <c r="B4" s="6" t="inlineStr">
        <is>
          <t>Description</t>
        </is>
      </c>
      <c r="C4" s="6" t="inlineStr">
        <is>
          <t>Lead Department</t>
        </is>
      </c>
      <c r="D4" s="6" t="inlineStr">
        <is>
          <t>Exhibit B Vendor</t>
        </is>
      </c>
      <c r="E4" s="6" t="inlineStr">
        <is>
          <t>Requisitions</t>
        </is>
      </c>
      <c r="F4" s="6" t="inlineStr">
        <is>
          <t>Depts</t>
        </is>
      </c>
      <c r="G4" s="6" t="inlineStr">
        <is>
          <t>Exhibit B Spend</t>
        </is>
      </c>
      <c r="H4" s="6" t="inlineStr">
        <is>
          <t>Procurement Phase</t>
        </is>
      </c>
      <c r="I4" s="6" t="inlineStr">
        <is>
          <t>Status</t>
        </is>
      </c>
      <c r="J4" s="6" t="inlineStr">
        <is>
          <t>Evidence Tier</t>
        </is>
      </c>
      <c r="K4" s="6" t="inlineStr">
        <is>
          <t>Awarded Contract</t>
        </is>
      </c>
      <c r="L4" s="6" t="inlineStr">
        <is>
          <t>Award Type</t>
        </is>
      </c>
    </row>
    <row r="5">
      <c r="A5" s="19" t="inlineStr">
        <is>
          <t>RX624331</t>
        </is>
      </c>
      <c r="B5" s="20" t="inlineStr">
        <is>
          <t>There was an active contract for Comprehensive Custodial Services for Zones 1, 2, and 4, which expire on February 13, 2026. 2FM previously submitted a</t>
        </is>
      </c>
      <c r="C5" s="19" t="inlineStr">
        <is>
          <t>DEPARTMENT OF FLEET AND FACILITY MANAGEMENT</t>
        </is>
      </c>
      <c r="D5" s="19" t="inlineStr">
        <is>
          <t>ABM INDUSTRY GROUPS, LLC</t>
        </is>
      </c>
      <c r="E5" s="19" t="n">
        <v>49</v>
      </c>
      <c r="F5" s="19" t="n">
        <v>2</v>
      </c>
      <c r="G5" s="21" t="n">
        <v>16275950.91</v>
      </c>
      <c r="H5" s="19" t="inlineStr">
        <is>
          <t>A. Specification Development Phase</t>
        </is>
      </c>
      <c r="I5" s="19" t="inlineStr">
        <is>
          <t>Still open</t>
        </is>
      </c>
      <c r="J5" s="19" t="inlineStr">
        <is>
          <t>E</t>
        </is>
      </c>
      <c r="K5" s="19" t="inlineStr"/>
      <c r="L5" s="19" t="inlineStr"/>
    </row>
    <row r="6">
      <c r="A6" s="22" t="inlineStr">
        <is>
          <t>VDALDRIDGE ELECTRIC</t>
        </is>
      </c>
      <c r="B6" s="23" t="inlineStr">
        <is>
          <t>PO 96175 Aldridge Electric Exhibit B $3,900,000.00</t>
        </is>
      </c>
      <c r="C6" s="22" t="inlineStr">
        <is>
          <t>CHICAGO DEPARTMENT OF TRANSPORTATION</t>
        </is>
      </c>
      <c r="D6" s="22" t="inlineStr">
        <is>
          <t>ALDRIDGE ELECTRIC INC</t>
        </is>
      </c>
      <c r="E6" s="22" t="n">
        <v>1</v>
      </c>
      <c r="F6" s="22" t="n">
        <v>1</v>
      </c>
      <c r="G6" s="24" t="n">
        <v>3900000</v>
      </c>
      <c r="H6" s="22" t="inlineStr">
        <is>
          <t>E. ROA - (Recommendation of Award)</t>
        </is>
      </c>
      <c r="I6" s="25" t="inlineStr">
        <is>
          <t>Claimed awarded - UNVERIFIED</t>
        </is>
      </c>
      <c r="J6" s="22" t="inlineStr">
        <is>
          <t>E</t>
        </is>
      </c>
      <c r="K6" s="22" t="inlineStr"/>
      <c r="L6" s="22" t="inlineStr"/>
    </row>
    <row r="7">
      <c r="A7" s="19" t="inlineStr">
        <is>
          <t>RX686938</t>
        </is>
      </c>
      <c r="B7" s="20" t="inlineStr">
        <is>
          <t>Transfered from APRF No. 511278.  Regular and emergency bus services at O'Hare Airport for January through March 2026</t>
        </is>
      </c>
      <c r="C7" s="19" t="inlineStr">
        <is>
          <t>CHICAGO DEPARTMENT OF AVIATION</t>
        </is>
      </c>
      <c r="D7" s="19" t="inlineStr">
        <is>
          <t>DELAWARE CARS/T.R. HARMSEN CORP. J.V.</t>
        </is>
      </c>
      <c r="E7" s="19" t="n">
        <v>1</v>
      </c>
      <c r="F7" s="19" t="n">
        <v>1</v>
      </c>
      <c r="G7" s="21" t="n">
        <v>3276126.91</v>
      </c>
      <c r="H7" s="19" t="inlineStr">
        <is>
          <t>F. SC - (Signature Cycle)</t>
        </is>
      </c>
      <c r="I7" s="19" t="inlineStr">
        <is>
          <t>Still open</t>
        </is>
      </c>
      <c r="J7" s="19" t="inlineStr">
        <is>
          <t>E</t>
        </is>
      </c>
      <c r="K7" s="19" t="inlineStr"/>
      <c r="L7" s="19" t="inlineStr"/>
    </row>
    <row r="8">
      <c r="A8" s="22" t="inlineStr">
        <is>
          <t>RX661351</t>
        </is>
      </c>
      <c r="B8" s="23" t="inlineStr">
        <is>
          <t>Liquid Aluminum Sulfate (Iron Free)</t>
        </is>
      </c>
      <c r="C8" s="22" t="inlineStr">
        <is>
          <t>DEPARTMENT OF WATER MANAGEMENT</t>
        </is>
      </c>
      <c r="D8" s="22" t="inlineStr">
        <is>
          <t>USALCO</t>
        </is>
      </c>
      <c r="E8" s="22" t="n">
        <v>7</v>
      </c>
      <c r="F8" s="22" t="n">
        <v>1</v>
      </c>
      <c r="G8" s="24" t="n">
        <v>3248945.81</v>
      </c>
      <c r="H8" s="22" t="inlineStr">
        <is>
          <t>A. Specification Development Phase</t>
        </is>
      </c>
      <c r="I8" s="22" t="inlineStr">
        <is>
          <t>Still open</t>
        </is>
      </c>
      <c r="J8" s="22" t="inlineStr">
        <is>
          <t>E</t>
        </is>
      </c>
      <c r="K8" s="22" t="inlineStr"/>
      <c r="L8" s="22" t="inlineStr"/>
    </row>
    <row r="9">
      <c r="A9" s="19" t="inlineStr">
        <is>
          <t>RX604388</t>
        </is>
      </c>
      <c r="B9" s="20" t="inlineStr">
        <is>
          <t>Transfered from APRF No. 513665.  Requesting a Direct Voucher - Exhibit B for O'Hare due to expired contract. Elevators,1-MOD/Final 7/27/26 nt</t>
        </is>
      </c>
      <c r="C9" s="19" t="inlineStr">
        <is>
          <t>CHICAGO DEPARTMENT OF AVIATION</t>
        </is>
      </c>
      <c r="D9" s="19" t="inlineStr">
        <is>
          <t>SCHINDLER ELEVATOR CORP</t>
        </is>
      </c>
      <c r="E9" s="19" t="n">
        <v>3</v>
      </c>
      <c r="F9" s="19" t="n">
        <v>1</v>
      </c>
      <c r="G9" s="21" t="n">
        <v>2596967.79</v>
      </c>
      <c r="H9" s="19" t="inlineStr">
        <is>
          <t>D. Solicitation Response Under Evaluation</t>
        </is>
      </c>
      <c r="I9" s="19" t="inlineStr">
        <is>
          <t>Still open</t>
        </is>
      </c>
      <c r="J9" s="19" t="inlineStr">
        <is>
          <t>E</t>
        </is>
      </c>
      <c r="K9" s="19" t="inlineStr"/>
      <c r="L9" s="19" t="inlineStr"/>
    </row>
    <row r="10">
      <c r="A10" s="22" t="inlineStr">
        <is>
          <t>RX634792</t>
        </is>
      </c>
      <c r="B10" s="23" t="inlineStr">
        <is>
          <t>PURCHASE OF BLACK AND BLUE MOBILE CARTS</t>
        </is>
      </c>
      <c r="C10" s="22" t="inlineStr">
        <is>
          <t>DEPARTMENT OF STREETS AND SANITATION</t>
        </is>
      </c>
      <c r="D10" s="22" t="inlineStr">
        <is>
          <t>CASCADE ENGINEERING, INC</t>
        </is>
      </c>
      <c r="E10" s="22" t="n">
        <v>4</v>
      </c>
      <c r="F10" s="22" t="n">
        <v>1</v>
      </c>
      <c r="G10" s="24" t="n">
        <v>2406381.45</v>
      </c>
      <c r="H10" s="22" t="inlineStr">
        <is>
          <t>C. Solicitation or Bidding Phase</t>
        </is>
      </c>
      <c r="I10" s="22" t="inlineStr">
        <is>
          <t>Still open</t>
        </is>
      </c>
      <c r="J10" s="22" t="inlineStr">
        <is>
          <t>E</t>
        </is>
      </c>
      <c r="K10" s="22" t="inlineStr"/>
      <c r="L10" s="22" t="inlineStr"/>
    </row>
    <row r="11">
      <c r="A11" s="19" t="inlineStr">
        <is>
          <t>RX492778</t>
        </is>
      </c>
      <c r="B11" s="20" t="inlineStr">
        <is>
          <t>Street and Parkway Restoration Central North Region</t>
        </is>
      </c>
      <c r="C11" s="19" t="inlineStr">
        <is>
          <t>DEPARTMENT OF WATER MANAGEMENT</t>
        </is>
      </c>
      <c r="D11" s="19" t="inlineStr">
        <is>
          <t>SUMIT CONSTRUCTION CO., INC.</t>
        </is>
      </c>
      <c r="E11" s="19" t="n">
        <v>2</v>
      </c>
      <c r="F11" s="19" t="n">
        <v>1</v>
      </c>
      <c r="G11" s="21" t="n">
        <v>1902848.11</v>
      </c>
      <c r="H11" s="19" t="inlineStr">
        <is>
          <t>H. One Time Purchase</t>
        </is>
      </c>
      <c r="I11" s="26" t="inlineStr">
        <is>
          <t>Claimed awarded - UNVERIFIED</t>
        </is>
      </c>
      <c r="J11" s="19" t="inlineStr">
        <is>
          <t>C</t>
        </is>
      </c>
      <c r="K11" s="19" t="inlineStr">
        <is>
          <t>385131</t>
        </is>
      </c>
      <c r="L11" s="19" t="inlineStr">
        <is>
          <t>BID</t>
        </is>
      </c>
    </row>
    <row r="12">
      <c r="A12" s="22" t="inlineStr">
        <is>
          <t>RX596048</t>
        </is>
      </c>
      <c r="B12" s="23" t="inlineStr">
        <is>
          <t>FFIB Industrial Fence $578,668.60</t>
        </is>
      </c>
      <c r="C12" s="22" t="inlineStr">
        <is>
          <t>CHICAGO FIRE DEPARTMENT</t>
        </is>
      </c>
      <c r="D12" s="22" t="inlineStr">
        <is>
          <t>INDUSTRIAL FENCE INC.</t>
        </is>
      </c>
      <c r="E12" s="22" t="n">
        <v>22</v>
      </c>
      <c r="F12" s="22" t="n">
        <v>3</v>
      </c>
      <c r="G12" s="24" t="n">
        <v>1061040.05</v>
      </c>
      <c r="H12" s="22" t="inlineStr">
        <is>
          <t>B. City Law Review</t>
        </is>
      </c>
      <c r="I12" s="22" t="inlineStr">
        <is>
          <t>Still open</t>
        </is>
      </c>
      <c r="J12" s="22" t="inlineStr">
        <is>
          <t>E</t>
        </is>
      </c>
      <c r="K12" s="22" t="inlineStr"/>
      <c r="L12" s="22" t="inlineStr"/>
    </row>
    <row r="13">
      <c r="A13" s="19" t="inlineStr">
        <is>
          <t>RX492777</t>
        </is>
      </c>
      <c r="B13" s="20" t="inlineStr">
        <is>
          <t>Street and Parkway Restoration North Region</t>
        </is>
      </c>
      <c r="C13" s="19" t="inlineStr">
        <is>
          <t>DEPARTMENT OF WATER MANAGEMENT</t>
        </is>
      </c>
      <c r="D13" s="19" t="inlineStr">
        <is>
          <t>SUMIT CONSTRUCTION CO., INC.</t>
        </is>
      </c>
      <c r="E13" s="19" t="n">
        <v>1</v>
      </c>
      <c r="F13" s="19" t="n">
        <v>1</v>
      </c>
      <c r="G13" s="21" t="n">
        <v>938950.36</v>
      </c>
      <c r="H13" s="19" t="inlineStr">
        <is>
          <t>H. One Time Purchase</t>
        </is>
      </c>
      <c r="I13" s="26" t="inlineStr">
        <is>
          <t>Claimed awarded - UNVERIFIED</t>
        </is>
      </c>
      <c r="J13" s="19" t="inlineStr">
        <is>
          <t>C</t>
        </is>
      </c>
      <c r="K13" s="19" t="inlineStr">
        <is>
          <t>385131</t>
        </is>
      </c>
      <c r="L13" s="19" t="inlineStr">
        <is>
          <t>BID</t>
        </is>
      </c>
    </row>
    <row r="14">
      <c r="A14" s="22" t="inlineStr">
        <is>
          <t>RX650171</t>
        </is>
      </c>
      <c r="B14" s="23" t="inlineStr">
        <is>
          <t>PROVIDE AN ELECTRICIANCUSTOMER, TROUBLESHOOTACCURPRESS AND BACK GAUGE FOROPERATION</t>
        </is>
      </c>
      <c r="C14" s="22" t="inlineStr">
        <is>
          <t>CHICAGO DEPARTMENT OF TRANSPORTATION</t>
        </is>
      </c>
      <c r="D14" s="22" t="inlineStr">
        <is>
          <t>PALM ELECTRIC COMPANY</t>
        </is>
      </c>
      <c r="E14" s="22" t="n">
        <v>10</v>
      </c>
      <c r="F14" s="22" t="n">
        <v>3</v>
      </c>
      <c r="G14" s="24" t="n">
        <v>891296.67</v>
      </c>
      <c r="H14" s="22" t="inlineStr">
        <is>
          <t>B. City Law Review</t>
        </is>
      </c>
      <c r="I14" s="22" t="inlineStr">
        <is>
          <t>Still open</t>
        </is>
      </c>
      <c r="J14" s="22" t="inlineStr">
        <is>
          <t>E</t>
        </is>
      </c>
      <c r="K14" s="22" t="inlineStr"/>
      <c r="L14" s="22" t="inlineStr"/>
    </row>
    <row r="15">
      <c r="A15" s="19" t="inlineStr">
        <is>
          <t>RX682957</t>
        </is>
      </c>
      <c r="B15" s="20" t="inlineStr">
        <is>
          <t>There is currently no active contract for Integrated Pest Management. The vendor chose not to extend beyond the May 29, 2025 expiration date. 2FM subm</t>
        </is>
      </c>
      <c r="C15" s="19" t="inlineStr">
        <is>
          <t>DEPARTMENT OF FLEET AND FACILITY MANAGEMENT</t>
        </is>
      </c>
      <c r="D15" s="19" t="inlineStr">
        <is>
          <t>ABC Humane Wildlife Control &amp; Prevention, Inc.</t>
        </is>
      </c>
      <c r="E15" s="19" t="n">
        <v>21</v>
      </c>
      <c r="F15" s="19" t="n">
        <v>2</v>
      </c>
      <c r="G15" s="21" t="n">
        <v>824511.78</v>
      </c>
      <c r="H15" s="19" t="inlineStr">
        <is>
          <t>A. Specification Development Phase</t>
        </is>
      </c>
      <c r="I15" s="19" t="inlineStr">
        <is>
          <t>Still open</t>
        </is>
      </c>
      <c r="J15" s="19" t="inlineStr">
        <is>
          <t>E</t>
        </is>
      </c>
      <c r="K15" s="19" t="inlineStr"/>
      <c r="L15" s="19" t="inlineStr"/>
    </row>
    <row r="16">
      <c r="A16" s="22" t="inlineStr">
        <is>
          <t>RX492772</t>
        </is>
      </c>
      <c r="B16" s="23" t="inlineStr">
        <is>
          <t>Street and Parkway and Restoration Project No. 19-623 Central South Region</t>
        </is>
      </c>
      <c r="C16" s="22" t="inlineStr">
        <is>
          <t>DEPARTMENT OF WATER MANAGEMENT</t>
        </is>
      </c>
      <c r="D16" s="22" t="inlineStr">
        <is>
          <t>MAT CONSTRUCTION</t>
        </is>
      </c>
      <c r="E16" s="22" t="n">
        <v>1</v>
      </c>
      <c r="F16" s="22" t="n">
        <v>1</v>
      </c>
      <c r="G16" s="24" t="n">
        <v>687712.6800000001</v>
      </c>
      <c r="H16" s="22" t="inlineStr">
        <is>
          <t>H. One Time Purchase</t>
        </is>
      </c>
      <c r="I16" s="25" t="inlineStr">
        <is>
          <t>Claimed awarded - UNVERIFIED</t>
        </is>
      </c>
      <c r="J16" s="22" t="inlineStr">
        <is>
          <t>E</t>
        </is>
      </c>
      <c r="K16" s="22" t="inlineStr"/>
      <c r="L16" s="22" t="inlineStr"/>
    </row>
    <row r="17">
      <c r="A17" s="19" t="inlineStr">
        <is>
          <t>VDPALM ELECTRIC</t>
        </is>
      </c>
      <c r="B17" s="20" t="inlineStr">
        <is>
          <t>Invoice# I1257961</t>
        </is>
      </c>
      <c r="C17" s="19" t="inlineStr">
        <is>
          <t>CHICAGO DEPARTMENT OF AVIATION</t>
        </is>
      </c>
      <c r="D17" s="19" t="inlineStr">
        <is>
          <t>PALM ELECTRIC COMPANY</t>
        </is>
      </c>
      <c r="E17" s="19" t="n">
        <v>1</v>
      </c>
      <c r="F17" s="19" t="n">
        <v>1</v>
      </c>
      <c r="G17" s="21" t="n">
        <v>684760.97</v>
      </c>
      <c r="H17" s="19" t="inlineStr">
        <is>
          <t>C. Solicitation or Bidding Phase</t>
        </is>
      </c>
      <c r="I17" s="19" t="inlineStr">
        <is>
          <t>Still open</t>
        </is>
      </c>
      <c r="J17" s="19" t="inlineStr">
        <is>
          <t>E</t>
        </is>
      </c>
      <c r="K17" s="19" t="inlineStr"/>
      <c r="L17" s="19" t="inlineStr"/>
    </row>
    <row r="18">
      <c r="A18" s="22" t="inlineStr">
        <is>
          <t>RX590958</t>
        </is>
      </c>
      <c r="B18" s="23" t="inlineStr">
        <is>
          <t>WB/MM/INVOICE#598412/$1221.66</t>
        </is>
      </c>
      <c r="C18" s="22" t="inlineStr">
        <is>
          <t>DEPARTMENT OF FLEET AND FACILITY MANAGEMENT</t>
        </is>
      </c>
      <c r="D18" s="22" t="inlineStr">
        <is>
          <t>JACOB PRESS' SONS INC</t>
        </is>
      </c>
      <c r="E18" s="22" t="n">
        <v>35</v>
      </c>
      <c r="F18" s="22" t="n">
        <v>1</v>
      </c>
      <c r="G18" s="24" t="n">
        <v>678952.98</v>
      </c>
      <c r="H18" s="22" t="inlineStr">
        <is>
          <t>B. City Law Review</t>
        </is>
      </c>
      <c r="I18" s="22" t="inlineStr">
        <is>
          <t>Still open</t>
        </is>
      </c>
      <c r="J18" s="22" t="inlineStr">
        <is>
          <t>E</t>
        </is>
      </c>
      <c r="K18" s="22" t="inlineStr"/>
      <c r="L18" s="22" t="inlineStr"/>
    </row>
    <row r="19">
      <c r="A19" s="19" t="inlineStr">
        <is>
          <t>VDATLAS TECHNICAL CONSULTANTS</t>
        </is>
      </c>
      <c r="B19" s="20" t="inlineStr">
        <is>
          <t>PO 114541 Exhibit B for Atlas Technical Consultants LLC</t>
        </is>
      </c>
      <c r="C19" s="19" t="inlineStr">
        <is>
          <t>CHICAGO DEPARTMENT OF TRANSPORTATION</t>
        </is>
      </c>
      <c r="D19" s="19" t="inlineStr">
        <is>
          <t>Atlas Technical Consultants LLC</t>
        </is>
      </c>
      <c r="E19" s="19" t="n">
        <v>1</v>
      </c>
      <c r="F19" s="19" t="n">
        <v>1</v>
      </c>
      <c r="G19" s="21" t="n">
        <v>503441.06</v>
      </c>
      <c r="H19" s="19" t="inlineStr">
        <is>
          <t>G. Not Applicable (Office Depot use Only)</t>
        </is>
      </c>
      <c r="I19" s="26" t="inlineStr">
        <is>
          <t>Claimed awarded - UNVERIFIED</t>
        </is>
      </c>
      <c r="J19" s="19" t="inlineStr">
        <is>
          <t>E</t>
        </is>
      </c>
      <c r="K19" s="19" t="inlineStr"/>
      <c r="L19" s="19" t="inlineStr"/>
    </row>
    <row r="20">
      <c r="A20" s="22" t="inlineStr">
        <is>
          <t>RX425669</t>
        </is>
      </c>
      <c r="B20" s="23" t="inlineStr">
        <is>
          <t>R4 Services / JK / EJ / INV # A410397 / $42,446.68 / June 2026</t>
        </is>
      </c>
      <c r="C20" s="22" t="inlineStr">
        <is>
          <t>DEPARTMENT OF FLEET AND FACILITY MANAGEMENT</t>
        </is>
      </c>
      <c r="D20" s="22" t="inlineStr">
        <is>
          <t>R4 SERVICES, LLC.</t>
        </is>
      </c>
      <c r="E20" s="22" t="n">
        <v>8</v>
      </c>
      <c r="F20" s="22" t="n">
        <v>1</v>
      </c>
      <c r="G20" s="24" t="n">
        <v>484042.33</v>
      </c>
      <c r="H20" s="22" t="inlineStr">
        <is>
          <t>E. ROA - (Recommendation of Award)</t>
        </is>
      </c>
      <c r="I20" s="22" t="inlineStr">
        <is>
          <t>Still open</t>
        </is>
      </c>
      <c r="J20" s="22" t="inlineStr">
        <is>
          <t>E</t>
        </is>
      </c>
      <c r="K20" s="22" t="inlineStr"/>
      <c r="L20" s="22" t="inlineStr"/>
    </row>
    <row r="21">
      <c r="A21" s="19" t="inlineStr">
        <is>
          <t>RX690281</t>
        </is>
      </c>
      <c r="B21" s="20" t="inlineStr">
        <is>
          <t>TB/AH/10 INVOICES/$348,811.34</t>
        </is>
      </c>
      <c r="C21" s="19" t="inlineStr">
        <is>
          <t>DEPARTMENT OF FLEET AND FACILITY MANAGEMENT</t>
        </is>
      </c>
      <c r="D21" s="19" t="inlineStr">
        <is>
          <t>SPEEDY GONZALEZ LANDSCAPING INC</t>
        </is>
      </c>
      <c r="E21" s="19" t="n">
        <v>5</v>
      </c>
      <c r="F21" s="19" t="n">
        <v>1</v>
      </c>
      <c r="G21" s="21" t="n">
        <v>460263.55</v>
      </c>
      <c r="H21" s="19" t="inlineStr">
        <is>
          <t>C. Solicitation or Bidding Phase</t>
        </is>
      </c>
      <c r="I21" s="19" t="inlineStr">
        <is>
          <t>Still open</t>
        </is>
      </c>
      <c r="J21" s="19" t="inlineStr">
        <is>
          <t>E</t>
        </is>
      </c>
      <c r="K21" s="19" t="inlineStr"/>
      <c r="L21" s="19" t="inlineStr"/>
    </row>
    <row r="22">
      <c r="A22" s="22" t="inlineStr">
        <is>
          <t>VDARLINGTON GLASS MIRROR</t>
        </is>
      </c>
      <c r="B22" s="23" t="inlineStr">
        <is>
          <t>#5 Invoices  $242,660.23  Transferred from APRF No. 505880.  Replace broken glass at Rotunda, H&amp;R plant, T3 UL vestibule 3H, and bullet resistant pMOD</t>
        </is>
      </c>
      <c r="C22" s="22" t="inlineStr">
        <is>
          <t>CHICAGO DEPARTMENT OF AVIATION</t>
        </is>
      </c>
      <c r="D22" s="22" t="inlineStr">
        <is>
          <t>ARLINGTON GLASS &amp; MIRROR</t>
        </is>
      </c>
      <c r="E22" s="22" t="n">
        <v>3</v>
      </c>
      <c r="F22" s="22" t="n">
        <v>1</v>
      </c>
      <c r="G22" s="24" t="n">
        <v>456128.15</v>
      </c>
      <c r="H22" s="22" t="inlineStr">
        <is>
          <t>B. City Law Review</t>
        </is>
      </c>
      <c r="I22" s="22" t="inlineStr">
        <is>
          <t>Still open</t>
        </is>
      </c>
      <c r="J22" s="22" t="inlineStr">
        <is>
          <t>E</t>
        </is>
      </c>
      <c r="K22" s="22" t="inlineStr"/>
      <c r="L22" s="22" t="inlineStr"/>
    </row>
    <row r="23">
      <c r="A23" s="19" t="inlineStr">
        <is>
          <t>VDP R STREICH SONS</t>
        </is>
      </c>
      <c r="B23" s="20" t="inlineStr">
        <is>
          <t>Transferred from APRF No. 511689.  ONE TIME PURCHASE OF TWENTY-FOUR (24) MOBILE COLUMN HOISTS WITH EXTENSION KITS1-MOD/Final 4/16/26 kf</t>
        </is>
      </c>
      <c r="C23" s="19" t="inlineStr">
        <is>
          <t>CHICAGO DEPARTMENT OF AVIATION</t>
        </is>
      </c>
      <c r="D23" s="19" t="inlineStr">
        <is>
          <t>P. R. STREICH &amp; SONS</t>
        </is>
      </c>
      <c r="E23" s="19" t="n">
        <v>2</v>
      </c>
      <c r="F23" s="19" t="n">
        <v>1</v>
      </c>
      <c r="G23" s="21" t="n">
        <v>404724.23</v>
      </c>
      <c r="H23" s="19" t="inlineStr">
        <is>
          <t>H. One Time Purchase</t>
        </is>
      </c>
      <c r="I23" s="19" t="inlineStr">
        <is>
          <t>Still open</t>
        </is>
      </c>
      <c r="J23" s="19" t="inlineStr">
        <is>
          <t>E</t>
        </is>
      </c>
      <c r="K23" s="19" t="inlineStr"/>
      <c r="L23" s="19" t="inlineStr"/>
    </row>
    <row r="24">
      <c r="A24" s="22" t="inlineStr">
        <is>
          <t>RX693525</t>
        </is>
      </c>
      <c r="B24" s="23" t="inlineStr">
        <is>
          <t>VARIOUS STREET SIGN MAKING SUPPLIES</t>
        </is>
      </c>
      <c r="C24" s="22" t="inlineStr">
        <is>
          <t>CHICAGO DEPARTMENT OF TRANSPORTATION</t>
        </is>
      </c>
      <c r="D24" s="22" t="inlineStr">
        <is>
          <t>RI-DEL MFG. INC.</t>
        </is>
      </c>
      <c r="E24" s="22" t="n">
        <v>4</v>
      </c>
      <c r="F24" s="22" t="n">
        <v>1</v>
      </c>
      <c r="G24" s="24" t="n">
        <v>383274.22</v>
      </c>
      <c r="H24" s="22" t="inlineStr">
        <is>
          <t>A. Specification Development Phase</t>
        </is>
      </c>
      <c r="I24" s="22" t="inlineStr">
        <is>
          <t>Still open</t>
        </is>
      </c>
      <c r="J24" s="22" t="inlineStr">
        <is>
          <t>E</t>
        </is>
      </c>
      <c r="K24" s="22" t="inlineStr"/>
      <c r="L24" s="22" t="inlineStr"/>
    </row>
    <row r="25">
      <c r="A25" s="19" t="inlineStr">
        <is>
          <t>RX596443</t>
        </is>
      </c>
      <c r="B25" s="20" t="inlineStr">
        <is>
          <t>Landscape Maintenance Services</t>
        </is>
      </c>
      <c r="C25" s="19" t="inlineStr">
        <is>
          <t>CHICAGO DEPARTMENT OF TRANSPORTATION</t>
        </is>
      </c>
      <c r="D25" s="19" t="inlineStr">
        <is>
          <t>A SAFE HAVEN FOUNDATION</t>
        </is>
      </c>
      <c r="E25" s="19" t="n">
        <v>9</v>
      </c>
      <c r="F25" s="19" t="n">
        <v>2</v>
      </c>
      <c r="G25" s="21" t="n">
        <v>380345.75</v>
      </c>
      <c r="H25" s="19" t="inlineStr">
        <is>
          <t>B. City Law Review</t>
        </is>
      </c>
      <c r="I25" s="19" t="inlineStr">
        <is>
          <t>Still open</t>
        </is>
      </c>
      <c r="J25" s="19" t="inlineStr">
        <is>
          <t>E</t>
        </is>
      </c>
      <c r="K25" s="19" t="inlineStr"/>
      <c r="L25" s="19" t="inlineStr"/>
    </row>
    <row r="26">
      <c r="A26" s="22" t="inlineStr">
        <is>
          <t>VDFLOWERS COMMUNICATIONS</t>
        </is>
      </c>
      <c r="B26" s="23" t="inlineStr">
        <is>
          <t>Emergency Preparedness Kits</t>
        </is>
      </c>
      <c r="C26" s="22" t="inlineStr">
        <is>
          <t>CHICAGO DEPARTMENT OF PUBLIC HEALTH</t>
        </is>
      </c>
      <c r="D26" s="22" t="inlineStr">
        <is>
          <t>FLOWERS COMMUNICATIONS GROUP</t>
        </is>
      </c>
      <c r="E26" s="22" t="n">
        <v>3</v>
      </c>
      <c r="F26" s="22" t="n">
        <v>1</v>
      </c>
      <c r="G26" s="24" t="n">
        <v>372418</v>
      </c>
      <c r="H26" s="22" t="inlineStr">
        <is>
          <t>H. One Time Purchase</t>
        </is>
      </c>
      <c r="I26" s="22" t="inlineStr">
        <is>
          <t>Still open</t>
        </is>
      </c>
      <c r="J26" s="22" t="inlineStr">
        <is>
          <t>E</t>
        </is>
      </c>
      <c r="K26" s="22" t="inlineStr"/>
      <c r="L26" s="22" t="inlineStr"/>
    </row>
    <row r="27">
      <c r="A27" s="19" t="inlineStr">
        <is>
          <t>RX493564</t>
        </is>
      </c>
      <c r="B27" s="20" t="inlineStr">
        <is>
          <t>Sewer Construction</t>
        </is>
      </c>
      <c r="C27" s="19" t="inlineStr">
        <is>
          <t>DEPARTMENT OF WATER MANAGEMENT</t>
        </is>
      </c>
      <c r="D27" s="19" t="inlineStr">
        <is>
          <t>RELIABLE CONTRACTING AND EQUIPMENT COMPANY</t>
        </is>
      </c>
      <c r="E27" s="19" t="n">
        <v>1</v>
      </c>
      <c r="F27" s="19" t="n">
        <v>1</v>
      </c>
      <c r="G27" s="21" t="n">
        <v>363157.77</v>
      </c>
      <c r="H27" s="19" t="inlineStr">
        <is>
          <t>H. One Time Purchase</t>
        </is>
      </c>
      <c r="I27" s="19" t="inlineStr">
        <is>
          <t>Still open</t>
        </is>
      </c>
      <c r="J27" s="19" t="inlineStr">
        <is>
          <t>C</t>
        </is>
      </c>
      <c r="K27" s="19" t="inlineStr">
        <is>
          <t>383808</t>
        </is>
      </c>
      <c r="L27" s="19" t="inlineStr">
        <is>
          <t>BID</t>
        </is>
      </c>
    </row>
    <row r="28">
      <c r="A28" s="22" t="inlineStr">
        <is>
          <t>RX607835</t>
        </is>
      </c>
      <c r="B28" s="23" t="inlineStr">
        <is>
          <t xml:space="preserve">Current Spec 127930's Scope of services for this Exhibit B is outside of the current contract. Additional language was added to the new Specification </t>
        </is>
      </c>
      <c r="C28" s="22" t="inlineStr">
        <is>
          <t>DEPARTMENT OF FLEET AND FACILITY MANAGEMENT</t>
        </is>
      </c>
      <c r="D28" s="22" t="inlineStr">
        <is>
          <t>WISS, JANNEY, ELSTNER, &amp; ASSOCIATES, INC.</t>
        </is>
      </c>
      <c r="E28" s="22" t="n">
        <v>7</v>
      </c>
      <c r="F28" s="22" t="n">
        <v>1</v>
      </c>
      <c r="G28" s="24" t="n">
        <v>353043.77</v>
      </c>
      <c r="H28" s="22" t="inlineStr">
        <is>
          <t>H. One Time Purchase</t>
        </is>
      </c>
      <c r="I28" s="22" t="inlineStr">
        <is>
          <t>Still open</t>
        </is>
      </c>
      <c r="J28" s="22" t="inlineStr">
        <is>
          <t>E</t>
        </is>
      </c>
      <c r="K28" s="22" t="inlineStr"/>
      <c r="L28" s="22" t="inlineStr"/>
    </row>
    <row r="29">
      <c r="A29" s="19" t="inlineStr">
        <is>
          <t>RX605613</t>
        </is>
      </c>
      <c r="B29" s="20" t="inlineStr">
        <is>
          <t>Invoice# 5332152783 Maintenance of the Supervisory Monitoring System &amp; Fire Alarm System for October 2025 Monthly Service</t>
        </is>
      </c>
      <c r="C29" s="19" t="inlineStr">
        <is>
          <t>CHICAGO DEPARTMENT OF AVIATION</t>
        </is>
      </c>
      <c r="D29" s="19" t="inlineStr">
        <is>
          <t>SIEMENS INDUSTRY INC. 01</t>
        </is>
      </c>
      <c r="E29" s="19" t="n">
        <v>1</v>
      </c>
      <c r="F29" s="19" t="n">
        <v>1</v>
      </c>
      <c r="G29" s="21" t="n">
        <v>347623.41</v>
      </c>
      <c r="H29" s="19" t="inlineStr">
        <is>
          <t>E. ROA - (Recommendation of Award)</t>
        </is>
      </c>
      <c r="I29" s="26" t="inlineStr">
        <is>
          <t>Claimed awarded - UNVERIFIED</t>
        </is>
      </c>
      <c r="J29" s="19" t="inlineStr">
        <is>
          <t>E</t>
        </is>
      </c>
      <c r="K29" s="19" t="inlineStr"/>
      <c r="L29" s="19" t="inlineStr"/>
    </row>
    <row r="30">
      <c r="A30" s="22" t="inlineStr">
        <is>
          <t>RX511569</t>
        </is>
      </c>
      <c r="B30" s="23" t="inlineStr">
        <is>
          <t>WATER - DRINKING</t>
        </is>
      </c>
      <c r="C30" s="22" t="inlineStr">
        <is>
          <t>DEPARTMENT OF STREETS AND SANITATION</t>
        </is>
      </c>
      <c r="D30" s="22" t="inlineStr">
        <is>
          <t>BLUETRITON BRANDS INC</t>
        </is>
      </c>
      <c r="E30" s="22" t="n">
        <v>9</v>
      </c>
      <c r="F30" s="22" t="n">
        <v>2</v>
      </c>
      <c r="G30" s="24" t="n">
        <v>331645.87</v>
      </c>
      <c r="H30" s="22" t="inlineStr">
        <is>
          <t>A. Specification Development Phase</t>
        </is>
      </c>
      <c r="I30" s="25" t="inlineStr">
        <is>
          <t>Claimed awarded - UNVERIFIED</t>
        </is>
      </c>
      <c r="J30" s="22" t="inlineStr">
        <is>
          <t>E</t>
        </is>
      </c>
      <c r="K30" s="22" t="inlineStr"/>
      <c r="L30" s="22" t="inlineStr"/>
    </row>
    <row r="31">
      <c r="A31" s="19" t="inlineStr">
        <is>
          <t>RX746444</t>
        </is>
      </c>
      <c r="B31" s="20" t="inlineStr">
        <is>
          <t>TARP - SALT TARPING</t>
        </is>
      </c>
      <c r="C31" s="19" t="inlineStr">
        <is>
          <t>DEPARTMENT OF STREETS AND SANITATION</t>
        </is>
      </c>
      <c r="D31" s="19" t="inlineStr">
        <is>
          <t>CHICAGO UNITED INDUSTRIES, LTD</t>
        </is>
      </c>
      <c r="E31" s="19" t="n">
        <v>1</v>
      </c>
      <c r="F31" s="19" t="n">
        <v>1</v>
      </c>
      <c r="G31" s="21" t="n">
        <v>327473.06</v>
      </c>
      <c r="H31" s="19" t="inlineStr">
        <is>
          <t>A. Specification Development Phase</t>
        </is>
      </c>
      <c r="I31" s="19" t="inlineStr">
        <is>
          <t>Still open</t>
        </is>
      </c>
      <c r="J31" s="19" t="inlineStr">
        <is>
          <t>E</t>
        </is>
      </c>
      <c r="K31" s="19" t="inlineStr"/>
      <c r="L31" s="19" t="inlineStr"/>
    </row>
    <row r="32">
      <c r="A32" s="22" t="inlineStr">
        <is>
          <t>VDELECTRONIC KNOWLEDGE INTERCH</t>
        </is>
      </c>
      <c r="B32" s="23" t="inlineStr">
        <is>
          <t>TIER 2 SUPPORT - QUANT 16 SERVICES</t>
        </is>
      </c>
      <c r="C32" s="22" t="inlineStr">
        <is>
          <t>CHICAGO DEPARTMENT OF PUBLIC HEALTH</t>
        </is>
      </c>
      <c r="D32" s="22" t="inlineStr">
        <is>
          <t>Electronic Knowledge Interchange</t>
        </is>
      </c>
      <c r="E32" s="22" t="n">
        <v>5</v>
      </c>
      <c r="F32" s="22" t="n">
        <v>1</v>
      </c>
      <c r="G32" s="24" t="n">
        <v>306000</v>
      </c>
      <c r="H32" s="22" t="inlineStr">
        <is>
          <t>H. One Time Purchase</t>
        </is>
      </c>
      <c r="I32" s="22" t="inlineStr">
        <is>
          <t>Still open</t>
        </is>
      </c>
      <c r="J32" s="22" t="inlineStr">
        <is>
          <t>E</t>
        </is>
      </c>
      <c r="K32" s="22" t="inlineStr"/>
      <c r="L32" s="22" t="inlineStr"/>
    </row>
    <row r="33">
      <c r="A33" s="19" t="inlineStr">
        <is>
          <t>RX710856</t>
        </is>
      </c>
      <c r="B33" s="20" t="inlineStr">
        <is>
          <t>TB/INV#9008/$13,057.00</t>
        </is>
      </c>
      <c r="C33" s="19" t="inlineStr">
        <is>
          <t>DEPARTMENT OF FLEET AND FACILITY MANAGEMENT</t>
        </is>
      </c>
      <c r="D33" s="19" t="inlineStr">
        <is>
          <t>CAR WASH PARTNERS INC</t>
        </is>
      </c>
      <c r="E33" s="19" t="n">
        <v>34</v>
      </c>
      <c r="F33" s="19" t="n">
        <v>1</v>
      </c>
      <c r="G33" s="21" t="n">
        <v>287936.99</v>
      </c>
      <c r="H33" s="19" t="inlineStr">
        <is>
          <t>A. Specification Development Phase</t>
        </is>
      </c>
      <c r="I33" s="19" t="inlineStr">
        <is>
          <t>Still open</t>
        </is>
      </c>
      <c r="J33" s="19" t="inlineStr">
        <is>
          <t>E</t>
        </is>
      </c>
      <c r="K33" s="19" t="inlineStr"/>
      <c r="L33" s="19" t="inlineStr"/>
    </row>
    <row r="34">
      <c r="A34" s="22" t="inlineStr">
        <is>
          <t>RX724184</t>
        </is>
      </c>
      <c r="B34" s="23" t="inlineStr">
        <is>
          <t>Hastings Air-Energy 1033282 B  JS/ JG/ Invoice No. O38604D105/ $56,691.64/ April / Exhaust System Maint</t>
        </is>
      </c>
      <c r="C34" s="22" t="inlineStr">
        <is>
          <t>DEPARTMENT OF FLEET AND FACILITY MANAGEMENT</t>
        </is>
      </c>
      <c r="D34" s="22" t="inlineStr">
        <is>
          <t>HASTINGS AIR ENERGY CONTROL</t>
        </is>
      </c>
      <c r="E34" s="22" t="n">
        <v>5</v>
      </c>
      <c r="F34" s="22" t="n">
        <v>1</v>
      </c>
      <c r="G34" s="24" t="n">
        <v>278751.49</v>
      </c>
      <c r="H34" s="22" t="inlineStr">
        <is>
          <t>A. Specification Development Phase</t>
        </is>
      </c>
      <c r="I34" s="25" t="inlineStr">
        <is>
          <t>Claimed awarded - UNVERIFIED</t>
        </is>
      </c>
      <c r="J34" s="22" t="inlineStr">
        <is>
          <t>E</t>
        </is>
      </c>
      <c r="K34" s="22" t="inlineStr"/>
      <c r="L34" s="22" t="inlineStr"/>
    </row>
    <row r="35">
      <c r="A35" s="19" t="inlineStr">
        <is>
          <t>RX659422</t>
        </is>
      </c>
      <c r="B35" s="20" t="inlineStr">
        <is>
          <t>BOARD UP SERVICES</t>
        </is>
      </c>
      <c r="C35" s="19" t="inlineStr">
        <is>
          <t>DEPARTMENT OF BUILDINGS</t>
        </is>
      </c>
      <c r="D35" s="19" t="inlineStr">
        <is>
          <t>A &amp; D PROPERTY SERVICES, INC.</t>
        </is>
      </c>
      <c r="E35" s="19" t="n">
        <v>5</v>
      </c>
      <c r="F35" s="19" t="n">
        <v>1</v>
      </c>
      <c r="G35" s="21" t="n">
        <v>277500</v>
      </c>
      <c r="H35" s="19" t="inlineStr">
        <is>
          <t>A. Specification Development Phase</t>
        </is>
      </c>
      <c r="I35" s="19" t="inlineStr">
        <is>
          <t>Still open</t>
        </is>
      </c>
      <c r="J35" s="19" t="inlineStr">
        <is>
          <t>E</t>
        </is>
      </c>
      <c r="K35" s="19" t="inlineStr"/>
      <c r="L35" s="19" t="inlineStr"/>
    </row>
    <row r="36">
      <c r="A36" s="22" t="inlineStr">
        <is>
          <t>RX608757</t>
        </is>
      </c>
      <c r="B36" s="23" t="inlineStr">
        <is>
          <t>Omicron CityKey Annual Licensing</t>
        </is>
      </c>
      <c r="C36" s="22" t="inlineStr">
        <is>
          <t>OFFICE OF CITY CLERK</t>
        </is>
      </c>
      <c r="D36" s="22" t="inlineStr">
        <is>
          <t>OMICRON TECHNOLOGY SOLUTIONS LLC</t>
        </is>
      </c>
      <c r="E36" s="22" t="n">
        <v>3</v>
      </c>
      <c r="F36" s="22" t="n">
        <v>1</v>
      </c>
      <c r="G36" s="24" t="n">
        <v>263800.02</v>
      </c>
      <c r="H36" s="22" t="inlineStr">
        <is>
          <t>B. City Law Review</t>
        </is>
      </c>
      <c r="I36" s="22" t="inlineStr">
        <is>
          <t>Still open</t>
        </is>
      </c>
      <c r="J36" s="22" t="inlineStr">
        <is>
          <t>E</t>
        </is>
      </c>
      <c r="K36" s="22" t="inlineStr"/>
      <c r="L36" s="22" t="inlineStr"/>
    </row>
    <row r="37">
      <c r="A37" s="19" t="inlineStr">
        <is>
          <t>RX628102</t>
        </is>
      </c>
      <c r="B37" s="20" t="inlineStr">
        <is>
          <t>Bella Bagno Inc is removing and installing carpet at the Bucktown/Wicker Park Branch Library. The labor services are outside of the contract prevue, a</t>
        </is>
      </c>
      <c r="C37" s="19" t="inlineStr">
        <is>
          <t>DEPARTMENT OF FLEET AND FACILITY MANAGEMENT</t>
        </is>
      </c>
      <c r="D37" s="19" t="inlineStr">
        <is>
          <t>BELLA BAGNO INC</t>
        </is>
      </c>
      <c r="E37" s="19" t="n">
        <v>2</v>
      </c>
      <c r="F37" s="19" t="n">
        <v>1</v>
      </c>
      <c r="G37" s="21" t="n">
        <v>260516.76</v>
      </c>
      <c r="H37" s="19" t="inlineStr">
        <is>
          <t>D. Solicitation Response Under Evaluation</t>
        </is>
      </c>
      <c r="I37" s="26" t="inlineStr">
        <is>
          <t>Claimed awarded - UNVERIFIED</t>
        </is>
      </c>
      <c r="J37" s="19" t="inlineStr">
        <is>
          <t>E</t>
        </is>
      </c>
      <c r="K37" s="19" t="inlineStr"/>
      <c r="L37" s="19" t="inlineStr"/>
    </row>
    <row r="38">
      <c r="A38" s="22" t="inlineStr">
        <is>
          <t>VDSUNBELT STAFFING</t>
        </is>
      </c>
      <c r="B38" s="23" t="inlineStr">
        <is>
          <t>Sunbelt Outstanding Invoices</t>
        </is>
      </c>
      <c r="C38" s="22" t="inlineStr">
        <is>
          <t>CHICAGO DEPARTMENT OF PUBLIC HEALTH</t>
        </is>
      </c>
      <c r="D38" s="22" t="inlineStr">
        <is>
          <t>SUNBELT STAFFING LLC</t>
        </is>
      </c>
      <c r="E38" s="22" t="n">
        <v>2</v>
      </c>
      <c r="F38" s="22" t="n">
        <v>1</v>
      </c>
      <c r="G38" s="24" t="n">
        <v>247286</v>
      </c>
      <c r="H38" s="22" t="inlineStr">
        <is>
          <t>F. SC - (Signature Cycle)</t>
        </is>
      </c>
      <c r="I38" s="22" t="inlineStr">
        <is>
          <t>Still open</t>
        </is>
      </c>
      <c r="J38" s="22" t="inlineStr">
        <is>
          <t>E</t>
        </is>
      </c>
      <c r="K38" s="22" t="inlineStr"/>
      <c r="L38" s="22" t="inlineStr"/>
    </row>
    <row r="39">
      <c r="A39" s="19" t="inlineStr">
        <is>
          <t>RX622326</t>
        </is>
      </c>
      <c r="B39" s="20" t="inlineStr">
        <is>
          <t>Perform 2025 annual planned maintenance on one Caterpillar chlorine emergency power generator and five MTU main plant power emergency generators</t>
        </is>
      </c>
      <c r="C39" s="19" t="inlineStr">
        <is>
          <t>DEPARTMENT OF WATER MANAGEMENT</t>
        </is>
      </c>
      <c r="D39" s="19" t="inlineStr">
        <is>
          <t>CHARLES EQUIPMENT ENERGY SYSTEMS LLC</t>
        </is>
      </c>
      <c r="E39" s="19" t="n">
        <v>17</v>
      </c>
      <c r="F39" s="19" t="n">
        <v>2</v>
      </c>
      <c r="G39" s="21" t="n">
        <v>231704.01</v>
      </c>
      <c r="H39" s="19" t="inlineStr">
        <is>
          <t>H. One Time Purchase</t>
        </is>
      </c>
      <c r="I39" s="19" t="inlineStr">
        <is>
          <t>Still open</t>
        </is>
      </c>
      <c r="J39" s="19" t="inlineStr">
        <is>
          <t>E</t>
        </is>
      </c>
      <c r="K39" s="19" t="inlineStr"/>
      <c r="L39" s="19" t="inlineStr"/>
    </row>
    <row r="40">
      <c r="A40" s="22" t="inlineStr">
        <is>
          <t>RX679137</t>
        </is>
      </c>
      <c r="B40" s="23" t="inlineStr">
        <is>
          <t>Landscaping Services Regions 2 and 6</t>
        </is>
      </c>
      <c r="C40" s="22" t="inlineStr">
        <is>
          <t>CHICAGO DEPARTMENT OF TRANSPORTATION</t>
        </is>
      </c>
      <c r="D40" s="22" t="inlineStr">
        <is>
          <t>CHRISTY WEBBER LANDSCAPES</t>
        </is>
      </c>
      <c r="E40" s="22" t="n">
        <v>8</v>
      </c>
      <c r="F40" s="22" t="n">
        <v>2</v>
      </c>
      <c r="G40" s="24" t="n">
        <v>230508.24</v>
      </c>
      <c r="H40" s="22" t="inlineStr">
        <is>
          <t>B. City Law Review</t>
        </is>
      </c>
      <c r="I40" s="22" t="inlineStr">
        <is>
          <t>Still open</t>
        </is>
      </c>
      <c r="J40" s="22" t="inlineStr">
        <is>
          <t>E</t>
        </is>
      </c>
      <c r="K40" s="22" t="inlineStr"/>
      <c r="L40" s="22" t="inlineStr"/>
    </row>
    <row r="41">
      <c r="A41" s="19" t="inlineStr">
        <is>
          <t>RX635010</t>
        </is>
      </c>
      <c r="B41" s="20" t="inlineStr">
        <is>
          <t>Landscape Services North &amp; South LSD</t>
        </is>
      </c>
      <c r="C41" s="19" t="inlineStr">
        <is>
          <t>CHICAGO DEPARTMENT OF TRANSPORTATION</t>
        </is>
      </c>
      <c r="D41" s="19" t="inlineStr">
        <is>
          <t>Yellowstone Landscape, Inc</t>
        </is>
      </c>
      <c r="E41" s="19" t="n">
        <v>5</v>
      </c>
      <c r="F41" s="19" t="n">
        <v>1</v>
      </c>
      <c r="G41" s="21" t="n">
        <v>226882.23</v>
      </c>
      <c r="H41" s="19" t="inlineStr">
        <is>
          <t>B. City Law Review</t>
        </is>
      </c>
      <c r="I41" s="19" t="inlineStr">
        <is>
          <t>Still open</t>
        </is>
      </c>
      <c r="J41" s="19" t="inlineStr">
        <is>
          <t>E</t>
        </is>
      </c>
      <c r="K41" s="19" t="inlineStr"/>
      <c r="L41" s="19" t="inlineStr"/>
    </row>
    <row r="42">
      <c r="A42" s="22" t="inlineStr">
        <is>
          <t>RX688692</t>
        </is>
      </c>
      <c r="B42" s="23" t="inlineStr">
        <is>
          <t>POLE PAINTING SERVICES</t>
        </is>
      </c>
      <c r="C42" s="22" t="inlineStr">
        <is>
          <t>CHICAGO DEPARTMENT OF TRANSPORTATION</t>
        </is>
      </c>
      <c r="D42" s="22" t="inlineStr">
        <is>
          <t>OOSTERBAAN &amp; SONS CO</t>
        </is>
      </c>
      <c r="E42" s="22" t="n">
        <v>1</v>
      </c>
      <c r="F42" s="22" t="n">
        <v>1</v>
      </c>
      <c r="G42" s="24" t="n">
        <v>226848</v>
      </c>
      <c r="H42" s="22" t="inlineStr">
        <is>
          <t>A. Specification Development Phase</t>
        </is>
      </c>
      <c r="I42" s="22" t="inlineStr">
        <is>
          <t>Still open</t>
        </is>
      </c>
      <c r="J42" s="22" t="inlineStr">
        <is>
          <t>E</t>
        </is>
      </c>
      <c r="K42" s="22" t="inlineStr"/>
      <c r="L42" s="22" t="inlineStr"/>
    </row>
    <row r="43">
      <c r="A43" s="19" t="inlineStr">
        <is>
          <t>RX652655</t>
        </is>
      </c>
      <c r="B43" s="20" t="inlineStr">
        <is>
          <t>LANDSCAPE SERVICES, REGIONS III &amp; V</t>
        </is>
      </c>
      <c r="C43" s="19" t="inlineStr">
        <is>
          <t>CHICAGO DEPARTMENT OF TRANSPORTATION</t>
        </is>
      </c>
      <c r="D43" s="19" t="inlineStr">
        <is>
          <t>LIZZETTE MEDINA &amp; COMPANY</t>
        </is>
      </c>
      <c r="E43" s="19" t="n">
        <v>10</v>
      </c>
      <c r="F43" s="19" t="n">
        <v>2</v>
      </c>
      <c r="G43" s="21" t="n">
        <v>224168.87</v>
      </c>
      <c r="H43" s="19" t="inlineStr">
        <is>
          <t>B. City Law Review</t>
        </is>
      </c>
      <c r="I43" s="19" t="inlineStr">
        <is>
          <t>Still open</t>
        </is>
      </c>
      <c r="J43" s="19" t="inlineStr">
        <is>
          <t>E</t>
        </is>
      </c>
      <c r="K43" s="19" t="inlineStr"/>
      <c r="L43" s="19" t="inlineStr"/>
    </row>
    <row r="44">
      <c r="A44" s="22" t="inlineStr">
        <is>
          <t>RX643941</t>
        </is>
      </c>
      <c r="B44" s="23" t="inlineStr">
        <is>
          <t>ANIMAL FOOD 2025</t>
        </is>
      </c>
      <c r="C44" s="22" t="inlineStr">
        <is>
          <t>CHICAGO ANIMAL CARE AND CONTROL</t>
        </is>
      </c>
      <c r="D44" s="22" t="inlineStr">
        <is>
          <t>LEGEND &amp; WHITE ANIMAL HEALTH</t>
        </is>
      </c>
      <c r="E44" s="22" t="n">
        <v>6</v>
      </c>
      <c r="F44" s="22" t="n">
        <v>2</v>
      </c>
      <c r="G44" s="24" t="n">
        <v>195992.28</v>
      </c>
      <c r="H44" s="22" t="inlineStr">
        <is>
          <t>C. Solicitation or Bidding Phase</t>
        </is>
      </c>
      <c r="I44" s="22" t="inlineStr">
        <is>
          <t>Still open</t>
        </is>
      </c>
      <c r="J44" s="22" t="inlineStr">
        <is>
          <t>E</t>
        </is>
      </c>
      <c r="K44" s="22" t="inlineStr"/>
      <c r="L44" s="22" t="inlineStr"/>
    </row>
    <row r="45">
      <c r="A45" s="19" t="inlineStr">
        <is>
          <t>RX600854</t>
        </is>
      </c>
      <c r="B45" s="20" t="inlineStr">
        <is>
          <t xml:space="preserve">There is currently no active contract for this type of paper. The items being purchased are not part of the current Murnane contract.  The Department </t>
        </is>
      </c>
      <c r="C45" s="19" t="inlineStr">
        <is>
          <t>DEPARTMENT OF FLEET AND FACILITY MANAGEMENT</t>
        </is>
      </c>
      <c r="D45" s="19" t="inlineStr">
        <is>
          <t>MURNANE PAPER COMPANY</t>
        </is>
      </c>
      <c r="E45" s="19" t="n">
        <v>14</v>
      </c>
      <c r="F45" s="19" t="n">
        <v>3</v>
      </c>
      <c r="G45" s="21" t="n">
        <v>195550.45</v>
      </c>
      <c r="H45" s="19" t="inlineStr">
        <is>
          <t>A. Specification Development Phase</t>
        </is>
      </c>
      <c r="I45" s="19" t="inlineStr">
        <is>
          <t>Still open</t>
        </is>
      </c>
      <c r="J45" s="19" t="inlineStr">
        <is>
          <t>E</t>
        </is>
      </c>
      <c r="K45" s="19" t="inlineStr"/>
      <c r="L45" s="19" t="inlineStr"/>
    </row>
    <row r="46">
      <c r="A46" s="22" t="inlineStr">
        <is>
          <t>RX663987</t>
        </is>
      </c>
      <c r="B46" s="23" t="inlineStr">
        <is>
          <t>JK / CA / INV#6660-3816-1 / WO#2626297</t>
        </is>
      </c>
      <c r="C46" s="22" t="inlineStr">
        <is>
          <t>DEPARTMENT OF FLEET AND FACILITY MANAGEMENT</t>
        </is>
      </c>
      <c r="D46" s="22" t="inlineStr">
        <is>
          <t>Boschung America, LLC</t>
        </is>
      </c>
      <c r="E46" s="22" t="n">
        <v>4</v>
      </c>
      <c r="F46" s="22" t="n">
        <v>1</v>
      </c>
      <c r="G46" s="24" t="n">
        <v>189750.66</v>
      </c>
      <c r="H46" s="22" t="inlineStr">
        <is>
          <t>B. City Law Review</t>
        </is>
      </c>
      <c r="I46" s="25" t="inlineStr">
        <is>
          <t>Claimed awarded - UNVERIFIED</t>
        </is>
      </c>
      <c r="J46" s="22" t="inlineStr">
        <is>
          <t>C</t>
        </is>
      </c>
      <c r="K46" s="22" t="inlineStr">
        <is>
          <t>388473</t>
        </is>
      </c>
      <c r="L46" s="22" t="inlineStr">
        <is>
          <t>REFERENCE CONTRACT</t>
        </is>
      </c>
    </row>
    <row r="47">
      <c r="A47" s="19" t="inlineStr">
        <is>
          <t>RX647383</t>
        </is>
      </c>
      <c r="B47" s="20" t="inlineStr">
        <is>
          <t>Arlington did not want to proceed with the contract  extension unless they had their price increases. CDA put forth 3 price increases for 5% each. DPS</t>
        </is>
      </c>
      <c r="C47" s="19" t="inlineStr">
        <is>
          <t>DEPARTMENT OF FLEET AND FACILITY MANAGEMENT</t>
        </is>
      </c>
      <c r="D47" s="19" t="inlineStr">
        <is>
          <t>ARLINGTON GLASS &amp; MIRROR</t>
        </is>
      </c>
      <c r="E47" s="19" t="n">
        <v>28</v>
      </c>
      <c r="F47" s="19" t="n">
        <v>1</v>
      </c>
      <c r="G47" s="21" t="n">
        <v>179178.83</v>
      </c>
      <c r="H47" s="19" t="inlineStr">
        <is>
          <t>A. Specification Development Phase</t>
        </is>
      </c>
      <c r="I47" s="19" t="inlineStr">
        <is>
          <t>Still open</t>
        </is>
      </c>
      <c r="J47" s="19" t="inlineStr">
        <is>
          <t>E</t>
        </is>
      </c>
      <c r="K47" s="19" t="inlineStr"/>
      <c r="L47" s="19" t="inlineStr"/>
    </row>
    <row r="48">
      <c r="A48" s="22" t="inlineStr">
        <is>
          <t>RX713262</t>
        </is>
      </c>
      <c r="B48" s="23" t="inlineStr">
        <is>
          <t>Volcanic Bike Inv-1333 $173,853</t>
        </is>
      </c>
      <c r="C48" s="22" t="inlineStr">
        <is>
          <t>CHICAGO POLICE DEPARTMENT</t>
        </is>
      </c>
      <c r="D48" s="22" t="inlineStr">
        <is>
          <t>Volcanic Bikes</t>
        </is>
      </c>
      <c r="E48" s="22" t="n">
        <v>2</v>
      </c>
      <c r="F48" s="22" t="n">
        <v>1</v>
      </c>
      <c r="G48" s="24" t="n">
        <v>173853</v>
      </c>
      <c r="H48" s="22" t="inlineStr">
        <is>
          <t>B. City Law Review</t>
        </is>
      </c>
      <c r="I48" s="22" t="inlineStr">
        <is>
          <t>Still open</t>
        </is>
      </c>
      <c r="J48" s="22" t="inlineStr">
        <is>
          <t>E</t>
        </is>
      </c>
      <c r="K48" s="22" t="inlineStr"/>
      <c r="L48" s="22" t="inlineStr"/>
    </row>
    <row r="49">
      <c r="A49" s="19" t="inlineStr">
        <is>
          <t>RX734541</t>
        </is>
      </c>
      <c r="B49" s="20" t="inlineStr">
        <is>
          <t>BOARD UP SERVICES</t>
        </is>
      </c>
      <c r="C49" s="19" t="inlineStr">
        <is>
          <t>DEPARTMENT OF BUILDINGS</t>
        </is>
      </c>
      <c r="D49" s="19" t="inlineStr">
        <is>
          <t>A &amp; D PROPERTY SERVICES, INC.</t>
        </is>
      </c>
      <c r="E49" s="19" t="n">
        <v>3</v>
      </c>
      <c r="F49" s="19" t="n">
        <v>1</v>
      </c>
      <c r="G49" s="21" t="n">
        <v>159600</v>
      </c>
      <c r="H49" s="19" t="inlineStr">
        <is>
          <t>C. Solicitation or Bidding Phase</t>
        </is>
      </c>
      <c r="I49" s="19" t="inlineStr">
        <is>
          <t>Still open</t>
        </is>
      </c>
      <c r="J49" s="19" t="inlineStr">
        <is>
          <t>E</t>
        </is>
      </c>
      <c r="K49" s="19" t="inlineStr"/>
      <c r="L49" s="19" t="inlineStr"/>
    </row>
    <row r="50">
      <c r="A50" s="22" t="inlineStr">
        <is>
          <t>RX712876</t>
        </is>
      </c>
      <c r="B50" s="23" t="inlineStr">
        <is>
          <t>City Sticker Design Services</t>
        </is>
      </c>
      <c r="C50" s="22" t="inlineStr">
        <is>
          <t>OFFICE OF CITY CLERK</t>
        </is>
      </c>
      <c r="D50" s="22" t="inlineStr">
        <is>
          <t>TAYLOR COMMUNICATIONS INC</t>
        </is>
      </c>
      <c r="E50" s="22" t="n">
        <v>5</v>
      </c>
      <c r="F50" s="22" t="n">
        <v>1</v>
      </c>
      <c r="G50" s="24" t="n">
        <v>156506.59</v>
      </c>
      <c r="H50" s="22" t="inlineStr">
        <is>
          <t>A. Specification Development Phase</t>
        </is>
      </c>
      <c r="I50" s="22" t="inlineStr">
        <is>
          <t>Still open</t>
        </is>
      </c>
      <c r="J50" s="22" t="inlineStr">
        <is>
          <t>E</t>
        </is>
      </c>
      <c r="K50" s="22" t="inlineStr"/>
      <c r="L50" s="22" t="inlineStr"/>
    </row>
    <row r="51">
      <c r="A51" s="19" t="inlineStr">
        <is>
          <t>RX669621</t>
        </is>
      </c>
      <c r="B51" s="20" t="inlineStr">
        <is>
          <t>CDA requesting authorization to pay Siemens Industry Inc PO #84871, per service's procured in 2025 under active contract. Contract reached their vendo</t>
        </is>
      </c>
      <c r="C51" s="19" t="inlineStr">
        <is>
          <t>CHICAGO DEPARTMENT OF AVIATION</t>
        </is>
      </c>
      <c r="D51" s="19" t="inlineStr">
        <is>
          <t>SIEMENS INDUSTRY INC. 01</t>
        </is>
      </c>
      <c r="E51" s="19" t="n">
        <v>1</v>
      </c>
      <c r="F51" s="19" t="n">
        <v>1</v>
      </c>
      <c r="G51" s="21" t="n">
        <v>156240</v>
      </c>
      <c r="H51" s="19" t="inlineStr">
        <is>
          <t>E. ROA - (Recommendation of Award)</t>
        </is>
      </c>
      <c r="I51" s="26" t="inlineStr">
        <is>
          <t>Claimed awarded - UNVERIFIED</t>
        </is>
      </c>
      <c r="J51" s="19" t="inlineStr">
        <is>
          <t>E</t>
        </is>
      </c>
      <c r="K51" s="19" t="inlineStr"/>
      <c r="L51" s="19" t="inlineStr"/>
    </row>
    <row r="52">
      <c r="A52" s="22" t="inlineStr">
        <is>
          <t>VDCSI 3000 CONSTRUCTION JV</t>
        </is>
      </c>
      <c r="B52" s="23" t="inlineStr">
        <is>
          <t>PO 180678 REL 295456 CSI 3000JV Exhibit B Invoice Reconciliation</t>
        </is>
      </c>
      <c r="C52" s="22" t="inlineStr">
        <is>
          <t>CHICAGO DEPARTMENT OF TRANSPORTATION</t>
        </is>
      </c>
      <c r="D52" s="22" t="inlineStr">
        <is>
          <t>CSI 3000 Construction JV LLC</t>
        </is>
      </c>
      <c r="E52" s="22" t="n">
        <v>1</v>
      </c>
      <c r="F52" s="22" t="n">
        <v>1</v>
      </c>
      <c r="G52" s="24" t="n">
        <v>156098.14</v>
      </c>
      <c r="H52" s="22" t="inlineStr">
        <is>
          <t>E. ROA - (Recommendation of Award)</t>
        </is>
      </c>
      <c r="I52" s="25" t="inlineStr">
        <is>
          <t>Claimed awarded - UNVERIFIED</t>
        </is>
      </c>
      <c r="J52" s="22" t="inlineStr">
        <is>
          <t>E</t>
        </is>
      </c>
      <c r="K52" s="22" t="inlineStr"/>
      <c r="L52" s="22" t="inlineStr"/>
    </row>
    <row r="53">
      <c r="A53" s="19" t="inlineStr">
        <is>
          <t>RX690671</t>
        </is>
      </c>
      <c r="B53" s="20" t="inlineStr">
        <is>
          <t xml:space="preserve">2FM currently holds two helicopter maintenance contracts; however, the Bell 407 and 429 aircraft are not covered under either agreement due to a lack </t>
        </is>
      </c>
      <c r="C53" s="19" t="inlineStr">
        <is>
          <t>DEPARTMENT OF FLEET AND FACILITY MANAGEMENT</t>
        </is>
      </c>
      <c r="D53" s="19" t="inlineStr">
        <is>
          <t>Helicopters, Inc.</t>
        </is>
      </c>
      <c r="E53" s="19" t="n">
        <v>7</v>
      </c>
      <c r="F53" s="19" t="n">
        <v>1</v>
      </c>
      <c r="G53" s="21" t="n">
        <v>150773.81</v>
      </c>
      <c r="H53" s="19" t="inlineStr">
        <is>
          <t>B. City Law Review</t>
        </is>
      </c>
      <c r="I53" s="27" t="inlineStr">
        <is>
          <t>Converted - non-competitive award</t>
        </is>
      </c>
      <c r="J53" s="19" t="inlineStr">
        <is>
          <t>A</t>
        </is>
      </c>
      <c r="K53" s="19" t="inlineStr">
        <is>
          <t>386844</t>
        </is>
      </c>
      <c r="L53" s="19" t="inlineStr">
        <is>
          <t>EMERGENCY</t>
        </is>
      </c>
    </row>
    <row r="54">
      <c r="A54" s="22" t="inlineStr">
        <is>
          <t>RX710994</t>
        </is>
      </c>
      <c r="B54" s="23" t="inlineStr">
        <is>
          <t>TB/CC/INVOICE #3371/$4495.20</t>
        </is>
      </c>
      <c r="C54" s="22" t="inlineStr">
        <is>
          <t>DEPARTMENT OF FLEET AND FACILITY MANAGEMENT</t>
        </is>
      </c>
      <c r="D54" s="22" t="inlineStr">
        <is>
          <t>C &amp; C COMMUNICATIONS IL</t>
        </is>
      </c>
      <c r="E54" s="22" t="n">
        <v>23</v>
      </c>
      <c r="F54" s="22" t="n">
        <v>1</v>
      </c>
      <c r="G54" s="24" t="n">
        <v>148760.52</v>
      </c>
      <c r="H54" s="22" t="inlineStr">
        <is>
          <t>A. Specification Development Phase</t>
        </is>
      </c>
      <c r="I54" s="22" t="inlineStr">
        <is>
          <t>Still open</t>
        </is>
      </c>
      <c r="J54" s="22" t="inlineStr">
        <is>
          <t>E</t>
        </is>
      </c>
      <c r="K54" s="22" t="inlineStr"/>
      <c r="L54" s="22" t="inlineStr"/>
    </row>
    <row r="55">
      <c r="A55" s="19" t="inlineStr">
        <is>
          <t>RX492769</t>
        </is>
      </c>
      <c r="B55" s="20" t="inlineStr">
        <is>
          <t>Street and Parkway Repair Project NO. 19-625 North Region</t>
        </is>
      </c>
      <c r="C55" s="19" t="inlineStr">
        <is>
          <t>DEPARTMENT OF WATER MANAGEMENT</t>
        </is>
      </c>
      <c r="D55" s="19" t="inlineStr">
        <is>
          <t>SEVEN D CONSTRUCTION COMPANY</t>
        </is>
      </c>
      <c r="E55" s="19" t="n">
        <v>1</v>
      </c>
      <c r="F55" s="19" t="n">
        <v>1</v>
      </c>
      <c r="G55" s="21" t="n">
        <v>143357.36</v>
      </c>
      <c r="H55" s="19" t="inlineStr">
        <is>
          <t>H. One Time Purchase</t>
        </is>
      </c>
      <c r="I55" s="26" t="inlineStr">
        <is>
          <t>Claimed awarded - UNVERIFIED</t>
        </is>
      </c>
      <c r="J55" s="19" t="inlineStr">
        <is>
          <t>C</t>
        </is>
      </c>
      <c r="K55" s="19" t="inlineStr">
        <is>
          <t>383513</t>
        </is>
      </c>
      <c r="L55" s="19" t="inlineStr">
        <is>
          <t>BID</t>
        </is>
      </c>
    </row>
    <row r="56">
      <c r="A56" s="22" t="inlineStr">
        <is>
          <t>VDCHRISTY WEBBER LANDSCAPES</t>
        </is>
      </c>
      <c r="B56" s="23" t="inlineStr">
        <is>
          <t>Landscaping Services Standalone Jackson Park 2026</t>
        </is>
      </c>
      <c r="C56" s="22" t="inlineStr">
        <is>
          <t>CHICAGO DEPARTMENT OF TRANSPORTATION</t>
        </is>
      </c>
      <c r="D56" s="22" t="inlineStr">
        <is>
          <t>CHRISTY WEBBER LANDSCAPES</t>
        </is>
      </c>
      <c r="E56" s="22" t="n">
        <v>1</v>
      </c>
      <c r="F56" s="22" t="n">
        <v>1</v>
      </c>
      <c r="G56" s="24" t="n">
        <v>136608.73</v>
      </c>
      <c r="H56" s="22" t="inlineStr">
        <is>
          <t>B. City Law Review</t>
        </is>
      </c>
      <c r="I56" s="22" t="inlineStr">
        <is>
          <t>Still open</t>
        </is>
      </c>
      <c r="J56" s="22" t="inlineStr">
        <is>
          <t>E</t>
        </is>
      </c>
      <c r="K56" s="22" t="inlineStr"/>
      <c r="L56" s="22" t="inlineStr"/>
    </row>
    <row r="57">
      <c r="A57" s="19" t="inlineStr">
        <is>
          <t>RX738666</t>
        </is>
      </c>
      <c r="B57" s="20" t="inlineStr">
        <is>
          <t>Equipment Depot of Illinois, Inc. 50081462 G   JS/ WW/ Invoice # 1300174268/ $136,232.00/2 DUA FUEL FORKLIFTS 900 E. 10RD</t>
        </is>
      </c>
      <c r="C57" s="19" t="inlineStr">
        <is>
          <t>DEPARTMENT OF FLEET AND FACILITY MANAGEMENT</t>
        </is>
      </c>
      <c r="D57" s="19" t="inlineStr">
        <is>
          <t>EQUIPMENT DEPOT OF ILLINOIS INC</t>
        </is>
      </c>
      <c r="E57" s="19" t="n">
        <v>1</v>
      </c>
      <c r="F57" s="19" t="n">
        <v>1</v>
      </c>
      <c r="G57" s="21" t="n">
        <v>136232</v>
      </c>
      <c r="H57" s="19" t="inlineStr">
        <is>
          <t>A. Specification Development Phase</t>
        </is>
      </c>
      <c r="I57" s="19" t="inlineStr">
        <is>
          <t>Still open</t>
        </is>
      </c>
      <c r="J57" s="19" t="inlineStr">
        <is>
          <t>E</t>
        </is>
      </c>
      <c r="K57" s="19" t="inlineStr"/>
      <c r="L57" s="19" t="inlineStr"/>
    </row>
    <row r="58">
      <c r="A58" s="22" t="inlineStr">
        <is>
          <t>RX702002</t>
        </is>
      </c>
      <c r="B58" s="23" t="inlineStr">
        <is>
          <t>Medical supplies for the animals housed at CACC</t>
        </is>
      </c>
      <c r="C58" s="22" t="inlineStr">
        <is>
          <t>CHICAGO ANIMAL CARE AND CONTROL</t>
        </is>
      </c>
      <c r="D58" s="22" t="inlineStr">
        <is>
          <t>MIDWEST VETERINARY SUPPLY, INC.</t>
        </is>
      </c>
      <c r="E58" s="22" t="n">
        <v>2</v>
      </c>
      <c r="F58" s="22" t="n">
        <v>1</v>
      </c>
      <c r="G58" s="24" t="n">
        <v>129282.77</v>
      </c>
      <c r="H58" s="22" t="inlineStr">
        <is>
          <t>A. Specification Development Phase</t>
        </is>
      </c>
      <c r="I58" s="22" t="inlineStr">
        <is>
          <t>Still open</t>
        </is>
      </c>
      <c r="J58" s="22" t="inlineStr">
        <is>
          <t>E</t>
        </is>
      </c>
      <c r="K58" s="22" t="inlineStr"/>
      <c r="L58" s="22" t="inlineStr"/>
    </row>
    <row r="59">
      <c r="A59" s="19" t="inlineStr">
        <is>
          <t>VDPAN OCEANIC ENGINEERING</t>
        </is>
      </c>
      <c r="B59" s="20" t="inlineStr">
        <is>
          <t>Sewer Construction</t>
        </is>
      </c>
      <c r="C59" s="19" t="inlineStr">
        <is>
          <t>DEPARTMENT OF WATER MANAGEMENT</t>
        </is>
      </c>
      <c r="D59" s="19" t="inlineStr">
        <is>
          <t>PAN-OCEANIC ENGINEERING CO INC</t>
        </is>
      </c>
      <c r="E59" s="19" t="n">
        <v>1</v>
      </c>
      <c r="F59" s="19" t="n">
        <v>1</v>
      </c>
      <c r="G59" s="21" t="n">
        <v>121426.74</v>
      </c>
      <c r="H59" s="19" t="inlineStr">
        <is>
          <t>H. One Time Purchase</t>
        </is>
      </c>
      <c r="I59" s="26" t="inlineStr">
        <is>
          <t>Claimed awarded - UNVERIFIED</t>
        </is>
      </c>
      <c r="J59" s="19" t="inlineStr">
        <is>
          <t>E</t>
        </is>
      </c>
      <c r="K59" s="19" t="inlineStr"/>
      <c r="L59" s="19" t="inlineStr"/>
    </row>
    <row r="60">
      <c r="A60" s="22" t="inlineStr">
        <is>
          <t>RX609670</t>
        </is>
      </c>
      <c r="B60" s="23" t="inlineStr">
        <is>
          <t>Aps 82_Fitness Equipment Maintenance Project</t>
        </is>
      </c>
      <c r="C60" s="22" t="inlineStr">
        <is>
          <t>DEPARTMENT OF FAMILY AND SUPPORT SERVICES</t>
        </is>
      </c>
      <c r="D60" s="22" t="inlineStr">
        <is>
          <t>DIRECT FITNESS SOLUTIONS, LLC</t>
        </is>
      </c>
      <c r="E60" s="22" t="n">
        <v>2</v>
      </c>
      <c r="F60" s="22" t="n">
        <v>1</v>
      </c>
      <c r="G60" s="24" t="n">
        <v>120600</v>
      </c>
      <c r="H60" s="22" t="inlineStr">
        <is>
          <t>A. Specification Development Phase</t>
        </is>
      </c>
      <c r="I60" s="22" t="inlineStr">
        <is>
          <t>Still open</t>
        </is>
      </c>
      <c r="J60" s="22" t="inlineStr">
        <is>
          <t>E</t>
        </is>
      </c>
      <c r="K60" s="22" t="inlineStr"/>
      <c r="L60" s="22" t="inlineStr"/>
    </row>
    <row r="61">
      <c r="A61" s="19" t="inlineStr">
        <is>
          <t>RX334841</t>
        </is>
      </c>
      <c r="B61" s="20" t="inlineStr">
        <is>
          <t>Exhibit B Collins Engineers, Inc. PO 30193 $117,913.97</t>
        </is>
      </c>
      <c r="C61" s="19" t="inlineStr">
        <is>
          <t>CHICAGO DEPARTMENT OF TRANSPORTATION</t>
        </is>
      </c>
      <c r="D61" s="19" t="inlineStr">
        <is>
          <t>COLLINS ENGINEERS INC</t>
        </is>
      </c>
      <c r="E61" s="19" t="n">
        <v>1</v>
      </c>
      <c r="F61" s="19" t="n">
        <v>1</v>
      </c>
      <c r="G61" s="21" t="n">
        <v>117913.97</v>
      </c>
      <c r="H61" s="19" t="inlineStr">
        <is>
          <t>H. One Time Purchase</t>
        </is>
      </c>
      <c r="I61" s="26" t="inlineStr">
        <is>
          <t>Claimed awarded - UNVERIFIED</t>
        </is>
      </c>
      <c r="J61" s="19" t="inlineStr">
        <is>
          <t>E</t>
        </is>
      </c>
      <c r="K61" s="19" t="inlineStr"/>
      <c r="L61" s="19" t="inlineStr"/>
    </row>
    <row r="62">
      <c r="A62" s="22" t="inlineStr">
        <is>
          <t>RX362438</t>
        </is>
      </c>
      <c r="B62" s="23" t="inlineStr">
        <is>
          <t>Mpox/HIV consulting</t>
        </is>
      </c>
      <c r="C62" s="22" t="inlineStr">
        <is>
          <t>CHICAGO DEPARTMENT OF PUBLIC HEALTH</t>
        </is>
      </c>
      <c r="D62" s="22" t="inlineStr">
        <is>
          <t>AVOQ LLC</t>
        </is>
      </c>
      <c r="E62" s="22" t="n">
        <v>1</v>
      </c>
      <c r="F62" s="22" t="n">
        <v>1</v>
      </c>
      <c r="G62" s="24" t="n">
        <v>115000</v>
      </c>
      <c r="H62" s="22" t="inlineStr">
        <is>
          <t>H. One Time Purchase</t>
        </is>
      </c>
      <c r="I62" s="25" t="inlineStr">
        <is>
          <t>Claimed awarded - UNVERIFIED</t>
        </is>
      </c>
      <c r="J62" s="22" t="inlineStr">
        <is>
          <t>E</t>
        </is>
      </c>
      <c r="K62" s="22" t="inlineStr"/>
      <c r="L62" s="22" t="inlineStr"/>
    </row>
    <row r="63">
      <c r="A63" s="19" t="inlineStr">
        <is>
          <t>RX729906</t>
        </is>
      </c>
      <c r="B63" s="20" t="inlineStr">
        <is>
          <t>Veterinary medical pharmaceuticals</t>
        </is>
      </c>
      <c r="C63" s="19" t="inlineStr">
        <is>
          <t>CHICAGO ANIMAL CARE AND CONTROL</t>
        </is>
      </c>
      <c r="D63" s="19" t="inlineStr">
        <is>
          <t>Wood Dale Pharmacy</t>
        </is>
      </c>
      <c r="E63" s="19" t="n">
        <v>4</v>
      </c>
      <c r="F63" s="19" t="n">
        <v>1</v>
      </c>
      <c r="G63" s="21" t="n">
        <v>112637.08</v>
      </c>
      <c r="H63" s="19" t="inlineStr">
        <is>
          <t>A. Specification Development Phase</t>
        </is>
      </c>
      <c r="I63" s="19" t="inlineStr">
        <is>
          <t>Still open</t>
        </is>
      </c>
      <c r="J63" s="19" t="inlineStr">
        <is>
          <t>E</t>
        </is>
      </c>
      <c r="K63" s="19" t="inlineStr"/>
      <c r="L63" s="19" t="inlineStr"/>
    </row>
    <row r="64">
      <c r="A64" s="22" t="inlineStr">
        <is>
          <t>RX709555</t>
        </is>
      </c>
      <c r="B64" s="23" t="inlineStr">
        <is>
          <t>Purchase and Delivery of Wooden Barricades</t>
        </is>
      </c>
      <c r="C64" s="22" t="inlineStr">
        <is>
          <t>DEPARTMENT OF STREETS AND SANITATION</t>
        </is>
      </c>
      <c r="D64" s="22" t="inlineStr">
        <is>
          <t>BARRICADE LITES, INC.</t>
        </is>
      </c>
      <c r="E64" s="22" t="n">
        <v>1</v>
      </c>
      <c r="F64" s="22" t="n">
        <v>1</v>
      </c>
      <c r="G64" s="24" t="n">
        <v>97204.10000000001</v>
      </c>
      <c r="H64" s="22" t="inlineStr">
        <is>
          <t>A. Specification Development Phase</t>
        </is>
      </c>
      <c r="I64" s="22" t="inlineStr">
        <is>
          <t>Still open</t>
        </is>
      </c>
      <c r="J64" s="22" t="inlineStr">
        <is>
          <t>E</t>
        </is>
      </c>
      <c r="K64" s="22" t="inlineStr"/>
      <c r="L64" s="22" t="inlineStr"/>
    </row>
    <row r="65">
      <c r="A65" s="19" t="inlineStr">
        <is>
          <t>RX729894</t>
        </is>
      </c>
      <c r="B65" s="20" t="inlineStr">
        <is>
          <t>Cremation services for Animal Control.  VLI and Time Extension entered. June 2026 Invoice.</t>
        </is>
      </c>
      <c r="C65" s="19" t="inlineStr">
        <is>
          <t>CHICAGO ANIMAL CARE AND CONTROL</t>
        </is>
      </c>
      <c r="D65" s="19" t="inlineStr">
        <is>
          <t>THE SAINT FRANCIS GROUP</t>
        </is>
      </c>
      <c r="E65" s="19" t="n">
        <v>2</v>
      </c>
      <c r="F65" s="19" t="n">
        <v>1</v>
      </c>
      <c r="G65" s="21" t="n">
        <v>93731.39999999999</v>
      </c>
      <c r="H65" s="19" t="inlineStr">
        <is>
          <t>A. Specification Development Phase</t>
        </is>
      </c>
      <c r="I65" s="26" t="inlineStr">
        <is>
          <t>Claimed awarded - UNVERIFIED</t>
        </is>
      </c>
      <c r="J65" s="19" t="inlineStr">
        <is>
          <t>E</t>
        </is>
      </c>
      <c r="K65" s="19" t="inlineStr"/>
      <c r="L65" s="19" t="inlineStr"/>
    </row>
    <row r="66">
      <c r="A66" s="22" t="inlineStr">
        <is>
          <t>RX679901</t>
        </is>
      </c>
      <c r="B66" s="23" t="inlineStr">
        <is>
          <t>KB/MM/ INV#56736/ $693.39</t>
        </is>
      </c>
      <c r="C66" s="22" t="inlineStr">
        <is>
          <t>DEPARTMENT OF FLEET AND FACILITY MANAGEMENT</t>
        </is>
      </c>
      <c r="D66" s="22" t="inlineStr">
        <is>
          <t>P. R. STREICH &amp; SONS</t>
        </is>
      </c>
      <c r="E66" s="22" t="n">
        <v>16</v>
      </c>
      <c r="F66" s="22" t="n">
        <v>1</v>
      </c>
      <c r="G66" s="24" t="n">
        <v>92999.35000000001</v>
      </c>
      <c r="H66" s="22" t="inlineStr">
        <is>
          <t>B. City Law Review</t>
        </is>
      </c>
      <c r="I66" s="22" t="inlineStr">
        <is>
          <t>Still open</t>
        </is>
      </c>
      <c r="J66" s="22" t="inlineStr">
        <is>
          <t>E</t>
        </is>
      </c>
      <c r="K66" s="22" t="inlineStr"/>
      <c r="L66" s="22" t="inlineStr"/>
    </row>
    <row r="67">
      <c r="A67" s="19" t="inlineStr">
        <is>
          <t>VDLEGEND WHITE ANIMAL HEALTH</t>
        </is>
      </c>
      <c r="B67" s="20" t="inlineStr">
        <is>
          <t>ANIMAL CARE AND CONTROL SUPPLIES</t>
        </is>
      </c>
      <c r="C67" s="19" t="inlineStr">
        <is>
          <t>CHICAGO ANIMAL CARE AND CONTROL</t>
        </is>
      </c>
      <c r="D67" s="19" t="inlineStr">
        <is>
          <t>LEGEND &amp; WHITE ANIMAL HEALTH</t>
        </is>
      </c>
      <c r="E67" s="19" t="n">
        <v>3</v>
      </c>
      <c r="F67" s="19" t="n">
        <v>1</v>
      </c>
      <c r="G67" s="21" t="n">
        <v>88485.04000000001</v>
      </c>
      <c r="H67" s="19" t="inlineStr">
        <is>
          <t>A. Specification Development Phase</t>
        </is>
      </c>
      <c r="I67" s="19" t="inlineStr">
        <is>
          <t>Still open</t>
        </is>
      </c>
      <c r="J67" s="19" t="inlineStr">
        <is>
          <t>E</t>
        </is>
      </c>
      <c r="K67" s="19" t="inlineStr"/>
      <c r="L67" s="19" t="inlineStr"/>
    </row>
    <row r="68">
      <c r="A68" s="22" t="inlineStr">
        <is>
          <t>RX522404</t>
        </is>
      </c>
      <c r="B68" s="23" t="inlineStr">
        <is>
          <t>Purchase of title insurance, recording of deed and lease amendment for $2,364.</t>
        </is>
      </c>
      <c r="C68" s="22" t="inlineStr">
        <is>
          <t>DEPARTMENT OF PLANNING AND DEVELOPMENT</t>
        </is>
      </c>
      <c r="D68" s="22" t="inlineStr">
        <is>
          <t>GREATER ILLINOIS TITLE CO. INC.</t>
        </is>
      </c>
      <c r="E68" s="22" t="n">
        <v>2</v>
      </c>
      <c r="F68" s="22" t="n">
        <v>1</v>
      </c>
      <c r="G68" s="24" t="n">
        <v>80039</v>
      </c>
      <c r="H68" s="22" t="inlineStr">
        <is>
          <t>A. Specification Development Phase</t>
        </is>
      </c>
      <c r="I68" s="22" t="inlineStr">
        <is>
          <t>Still open</t>
        </is>
      </c>
      <c r="J68" s="22" t="inlineStr">
        <is>
          <t>E</t>
        </is>
      </c>
      <c r="K68" s="22" t="inlineStr"/>
      <c r="L68" s="22" t="inlineStr"/>
    </row>
    <row r="69">
      <c r="A69" s="19" t="inlineStr">
        <is>
          <t>VDVECTOR DISEASE CONTROL INTER</t>
        </is>
      </c>
      <c r="B69" s="20" t="inlineStr">
        <is>
          <t>Fisher Scientific lab supply</t>
        </is>
      </c>
      <c r="C69" s="19" t="inlineStr">
        <is>
          <t>CHICAGO DEPARTMENT OF PUBLIC HEALTH</t>
        </is>
      </c>
      <c r="D69" s="19" t="inlineStr">
        <is>
          <t>VECTOR DISEASE CONTROL INTERNATIONAL LLC</t>
        </is>
      </c>
      <c r="E69" s="19" t="n">
        <v>1</v>
      </c>
      <c r="F69" s="19" t="n">
        <v>1</v>
      </c>
      <c r="G69" s="21" t="n">
        <v>79161.2</v>
      </c>
      <c r="H69" s="19" t="inlineStr">
        <is>
          <t>H. One Time Purchase</t>
        </is>
      </c>
      <c r="I69" s="19" t="inlineStr">
        <is>
          <t>Still open</t>
        </is>
      </c>
      <c r="J69" s="19" t="inlineStr">
        <is>
          <t>E</t>
        </is>
      </c>
      <c r="K69" s="19" t="inlineStr"/>
      <c r="L69" s="19" t="inlineStr"/>
    </row>
    <row r="70">
      <c r="A70" s="22" t="inlineStr">
        <is>
          <t>RX723748</t>
        </is>
      </c>
      <c r="B70" s="23" t="inlineStr">
        <is>
          <t>Landscape Services North &amp; South LSD</t>
        </is>
      </c>
      <c r="C70" s="22" t="inlineStr">
        <is>
          <t>CHICAGO DEPARTMENT OF TRANSPORTATION</t>
        </is>
      </c>
      <c r="D70" s="22" t="inlineStr">
        <is>
          <t>Yellowstone Landscape, Inc</t>
        </is>
      </c>
      <c r="E70" s="22" t="n">
        <v>1</v>
      </c>
      <c r="F70" s="22" t="n">
        <v>1</v>
      </c>
      <c r="G70" s="24" t="n">
        <v>76280.53</v>
      </c>
      <c r="H70" s="22" t="inlineStr">
        <is>
          <t>B. City Law Review</t>
        </is>
      </c>
      <c r="I70" s="22" t="inlineStr">
        <is>
          <t>Still open</t>
        </is>
      </c>
      <c r="J70" s="22" t="inlineStr">
        <is>
          <t>E</t>
        </is>
      </c>
      <c r="K70" s="22" t="inlineStr"/>
      <c r="L70" s="22" t="inlineStr"/>
    </row>
    <row r="71">
      <c r="A71" s="19" t="inlineStr">
        <is>
          <t>VDGREATER ILLINOIS TITLE</t>
        </is>
      </c>
      <c r="B71" s="20" t="inlineStr">
        <is>
          <t>Greater Illinois Title Company Invoices from Nov 2025 to Dec 2025</t>
        </is>
      </c>
      <c r="C71" s="19" t="inlineStr">
        <is>
          <t>DEPARTMENT OF PLANNING AND DEVELOPMENT</t>
        </is>
      </c>
      <c r="D71" s="19" t="inlineStr">
        <is>
          <t>GREATER ILLINOIS TITLE CO. INC.</t>
        </is>
      </c>
      <c r="E71" s="19" t="n">
        <v>4</v>
      </c>
      <c r="F71" s="19" t="n">
        <v>1</v>
      </c>
      <c r="G71" s="21" t="n">
        <v>74125</v>
      </c>
      <c r="H71" s="19" t="inlineStr"/>
      <c r="I71" s="19" t="inlineStr">
        <is>
          <t>Still open</t>
        </is>
      </c>
      <c r="J71" s="19" t="inlineStr">
        <is>
          <t>E</t>
        </is>
      </c>
      <c r="K71" s="19" t="inlineStr"/>
      <c r="L71" s="19" t="inlineStr"/>
    </row>
    <row r="72">
      <c r="A72" s="22" t="inlineStr">
        <is>
          <t>VDCDW GOVERNMENT</t>
        </is>
      </c>
      <c r="B72" s="23" t="inlineStr">
        <is>
          <t>1 invoice for CDWG That was canceled by mistake after 2FM merged with IT and the PO invoice was cancel and was not paid.</t>
        </is>
      </c>
      <c r="C72" s="22" t="inlineStr">
        <is>
          <t>DEPARTMENT OF TECHNOLOGY AND INNOVATION</t>
        </is>
      </c>
      <c r="D72" s="22" t="inlineStr">
        <is>
          <t>CDW GOVERNMENT, LLC.</t>
        </is>
      </c>
      <c r="E72" s="22" t="n">
        <v>1</v>
      </c>
      <c r="F72" s="22" t="n">
        <v>1</v>
      </c>
      <c r="G72" s="24" t="n">
        <v>69919.94</v>
      </c>
      <c r="H72" s="22" t="inlineStr">
        <is>
          <t>H. One Time Purchase</t>
        </is>
      </c>
      <c r="I72" s="22" t="inlineStr">
        <is>
          <t>Still open</t>
        </is>
      </c>
      <c r="J72" s="22" t="inlineStr">
        <is>
          <t>E</t>
        </is>
      </c>
      <c r="K72" s="22" t="inlineStr"/>
      <c r="L72" s="22" t="inlineStr"/>
    </row>
    <row r="73">
      <c r="A73" s="19" t="inlineStr">
        <is>
          <t>VDBOARD TRUSTEES UNIV ILLINOIS</t>
        </is>
      </c>
      <c r="B73" s="20" t="inlineStr">
        <is>
          <t>Community Services, (Testing and Vaccine Services) December 2025</t>
        </is>
      </c>
      <c r="C73" s="19" t="inlineStr">
        <is>
          <t>CHICAGO DEPARTMENT OF PUBLIC HEALTH</t>
        </is>
      </c>
      <c r="D73" s="19" t="inlineStr">
        <is>
          <t>BOARD OF TRUSTEES OF THE UNIV. OF ILLINOIS</t>
        </is>
      </c>
      <c r="E73" s="19" t="n">
        <v>1</v>
      </c>
      <c r="F73" s="19" t="n">
        <v>1</v>
      </c>
      <c r="G73" s="21" t="n">
        <v>69415.23</v>
      </c>
      <c r="H73" s="19" t="inlineStr">
        <is>
          <t>A. Specification Development Phase</t>
        </is>
      </c>
      <c r="I73" s="19" t="inlineStr">
        <is>
          <t>Still open</t>
        </is>
      </c>
      <c r="J73" s="19" t="inlineStr">
        <is>
          <t>E</t>
        </is>
      </c>
      <c r="K73" s="19" t="inlineStr"/>
      <c r="L73" s="19" t="inlineStr"/>
    </row>
    <row r="74">
      <c r="A74" s="22" t="inlineStr">
        <is>
          <t>RX696070</t>
        </is>
      </c>
      <c r="B74" s="23" t="inlineStr">
        <is>
          <t>ELECTRICALPRODUCTS AND SUPPLIES</t>
        </is>
      </c>
      <c r="C74" s="22" t="inlineStr">
        <is>
          <t>CHICAGO DEPARTMENT OF TRANSPORTATION</t>
        </is>
      </c>
      <c r="D74" s="22" t="inlineStr">
        <is>
          <t>GRAYBAR ELECTRIC CO INC</t>
        </is>
      </c>
      <c r="E74" s="22" t="n">
        <v>1</v>
      </c>
      <c r="F74" s="22" t="n">
        <v>1</v>
      </c>
      <c r="G74" s="24" t="n">
        <v>69314.85000000001</v>
      </c>
      <c r="H74" s="22" t="inlineStr">
        <is>
          <t>B. City Law Review</t>
        </is>
      </c>
      <c r="I74" s="22" t="inlineStr">
        <is>
          <t>Still open</t>
        </is>
      </c>
      <c r="J74" s="22" t="inlineStr">
        <is>
          <t>E</t>
        </is>
      </c>
      <c r="K74" s="22" t="inlineStr"/>
      <c r="L74" s="22" t="inlineStr"/>
    </row>
    <row r="75">
      <c r="A75" s="19" t="inlineStr">
        <is>
          <t>RX700212</t>
        </is>
      </c>
      <c r="B75" s="20" t="inlineStr">
        <is>
          <t>DCASE submitted a new contract request for RENTAL AND MAINTENANCE OF PORTABLE CHEMICAL TOILETS, SINKS, WASTE WATER BARRELS, PORTABLE WATERLESS HAND SA</t>
        </is>
      </c>
      <c r="C75" s="19" t="inlineStr">
        <is>
          <t>DEPARTMENT OF FLEET AND FACILITY MANAGEMENT</t>
        </is>
      </c>
      <c r="D75" s="19" t="inlineStr">
        <is>
          <t>Service Sanitation Inc.</t>
        </is>
      </c>
      <c r="E75" s="19" t="n">
        <v>10</v>
      </c>
      <c r="F75" s="19" t="n">
        <v>3</v>
      </c>
      <c r="G75" s="21" t="n">
        <v>68314.5</v>
      </c>
      <c r="H75" s="19" t="inlineStr">
        <is>
          <t>D. Solicitation Response Under Evaluation</t>
        </is>
      </c>
      <c r="I75" s="28" t="inlineStr">
        <is>
          <t>Converted - competitive award</t>
        </is>
      </c>
      <c r="J75" s="19" t="inlineStr">
        <is>
          <t>B</t>
        </is>
      </c>
      <c r="K75" s="19" t="inlineStr">
        <is>
          <t>381051</t>
        </is>
      </c>
      <c r="L75" s="19" t="inlineStr">
        <is>
          <t>BID</t>
        </is>
      </c>
    </row>
    <row r="76">
      <c r="A76" s="22" t="inlineStr">
        <is>
          <t>VDBANDIT INDUSTRIES</t>
        </is>
      </c>
      <c r="B76" s="23" t="inlineStr">
        <is>
          <t>STUMP GRINDING</t>
        </is>
      </c>
      <c r="C76" s="22" t="inlineStr">
        <is>
          <t>DEPARTMENT OF STREETS AND SANITATION</t>
        </is>
      </c>
      <c r="D76" s="22" t="inlineStr">
        <is>
          <t>BANDIT INDUSTRIES, INC</t>
        </is>
      </c>
      <c r="E76" s="22" t="n">
        <v>2</v>
      </c>
      <c r="F76" s="22" t="n">
        <v>1</v>
      </c>
      <c r="G76" s="24" t="n">
        <v>68173.46000000001</v>
      </c>
      <c r="H76" s="22" t="inlineStr">
        <is>
          <t>D. Solicitation Response Under Evaluation</t>
        </is>
      </c>
      <c r="I76" s="22" t="inlineStr">
        <is>
          <t>Still open</t>
        </is>
      </c>
      <c r="J76" s="22" t="inlineStr">
        <is>
          <t>E</t>
        </is>
      </c>
      <c r="K76" s="22" t="inlineStr"/>
      <c r="L76" s="22" t="inlineStr"/>
    </row>
    <row r="77">
      <c r="A77" s="19" t="inlineStr">
        <is>
          <t>RX667061</t>
        </is>
      </c>
      <c r="B77" s="20" t="inlineStr">
        <is>
          <t>EXHIBIT B - TALOGY PO 251333 INVOICES $67,689.70</t>
        </is>
      </c>
      <c r="C77" s="19" t="inlineStr">
        <is>
          <t>DEPARTMENT OF HUMAN RESOURCES</t>
        </is>
      </c>
      <c r="D77" s="19" t="inlineStr">
        <is>
          <t>Talogy, LLC</t>
        </is>
      </c>
      <c r="E77" s="19" t="n">
        <v>1</v>
      </c>
      <c r="F77" s="19" t="n">
        <v>1</v>
      </c>
      <c r="G77" s="21" t="n">
        <v>67689.7</v>
      </c>
      <c r="H77" s="19" t="inlineStr">
        <is>
          <t>A. Specification Development Phase</t>
        </is>
      </c>
      <c r="I77" s="26" t="inlineStr">
        <is>
          <t>Claimed awarded - UNVERIFIED</t>
        </is>
      </c>
      <c r="J77" s="19" t="inlineStr">
        <is>
          <t>E</t>
        </is>
      </c>
      <c r="K77" s="19" t="inlineStr"/>
      <c r="L77" s="19" t="inlineStr"/>
    </row>
    <row r="78">
      <c r="A78" s="22" t="inlineStr">
        <is>
          <t>RX724825</t>
        </is>
      </c>
      <c r="B78" s="23" t="inlineStr">
        <is>
          <t>S&amp;S Lead Dept.  2FM utilizes PO 92930 for the Purchase of Paint Products and Accessories.  The contract expired on 3/7/25.   S&amp;S submitted a replaceme</t>
        </is>
      </c>
      <c r="C78" s="22" t="inlineStr">
        <is>
          <t>DEPARTMENT OF FLEET AND FACILITY MANAGEMENT</t>
        </is>
      </c>
      <c r="D78" s="22" t="inlineStr">
        <is>
          <t>RAE PRODUCTS &amp; CHEMICALS CORP.</t>
        </is>
      </c>
      <c r="E78" s="22" t="n">
        <v>3</v>
      </c>
      <c r="F78" s="22" t="n">
        <v>1</v>
      </c>
      <c r="G78" s="24" t="n">
        <v>67075.71000000001</v>
      </c>
      <c r="H78" s="22" t="inlineStr">
        <is>
          <t>A. Specification Development Phase</t>
        </is>
      </c>
      <c r="I78" s="22" t="inlineStr">
        <is>
          <t>Still open</t>
        </is>
      </c>
      <c r="J78" s="22" t="inlineStr">
        <is>
          <t>E</t>
        </is>
      </c>
      <c r="K78" s="22" t="inlineStr"/>
      <c r="L78" s="22" t="inlineStr"/>
    </row>
    <row r="79">
      <c r="A79" s="19" t="inlineStr">
        <is>
          <t>RX698477</t>
        </is>
      </c>
      <c r="B79" s="20" t="inlineStr">
        <is>
          <t>Chemical reagents and larvicideSurveillance fee</t>
        </is>
      </c>
      <c r="C79" s="19" t="inlineStr">
        <is>
          <t>CHICAGO DEPARTMENT OF PUBLIC HEALTH</t>
        </is>
      </c>
      <c r="D79" s="19" t="inlineStr">
        <is>
          <t>VECTOR DISEASE CONTROL INTERNATIONAL LLC</t>
        </is>
      </c>
      <c r="E79" s="19" t="n">
        <v>1</v>
      </c>
      <c r="F79" s="19" t="n">
        <v>1</v>
      </c>
      <c r="G79" s="21" t="n">
        <v>66126.92</v>
      </c>
      <c r="H79" s="19" t="inlineStr">
        <is>
          <t>H. One Time Purchase</t>
        </is>
      </c>
      <c r="I79" s="19" t="inlineStr">
        <is>
          <t>Still open</t>
        </is>
      </c>
      <c r="J79" s="19" t="inlineStr">
        <is>
          <t>E</t>
        </is>
      </c>
      <c r="K79" s="19" t="inlineStr"/>
      <c r="L79" s="19" t="inlineStr"/>
    </row>
    <row r="80">
      <c r="A80" s="22" t="inlineStr">
        <is>
          <t>RX676831</t>
        </is>
      </c>
      <c r="B80" s="23" t="inlineStr">
        <is>
          <t>BOTTLED DRINKING WATER, DISTILLED WATER &amp; WATER COOLER RENTALS</t>
        </is>
      </c>
      <c r="C80" s="22" t="inlineStr">
        <is>
          <t>CHICAGO DEPARTMENT OF TRANSPORTATION</t>
        </is>
      </c>
      <c r="D80" s="22" t="inlineStr">
        <is>
          <t>BLUETRITON BRANDS INC</t>
        </is>
      </c>
      <c r="E80" s="22" t="n">
        <v>27</v>
      </c>
      <c r="F80" s="22" t="n">
        <v>5</v>
      </c>
      <c r="G80" s="24" t="n">
        <v>63682.14</v>
      </c>
      <c r="H80" s="22" t="inlineStr">
        <is>
          <t>A. Specification Development Phase</t>
        </is>
      </c>
      <c r="I80" s="22" t="inlineStr">
        <is>
          <t>Still open</t>
        </is>
      </c>
      <c r="J80" s="22" t="inlineStr">
        <is>
          <t>E</t>
        </is>
      </c>
      <c r="K80" s="22" t="inlineStr"/>
      <c r="L80" s="22" t="inlineStr"/>
    </row>
    <row r="81">
      <c r="A81" s="19" t="inlineStr">
        <is>
          <t>RX605420</t>
        </is>
      </c>
      <c r="B81" s="20" t="inlineStr">
        <is>
          <t>eBicycle purchase for Parking Enforcement Aides</t>
        </is>
      </c>
      <c r="C81" s="19" t="inlineStr">
        <is>
          <t>DEPARTMENT OF FINANCE</t>
        </is>
      </c>
      <c r="D81" s="19" t="inlineStr">
        <is>
          <t>Volcanic Bikes</t>
        </is>
      </c>
      <c r="E81" s="19" t="n">
        <v>1</v>
      </c>
      <c r="F81" s="19" t="n">
        <v>1</v>
      </c>
      <c r="G81" s="21" t="n">
        <v>61200</v>
      </c>
      <c r="H81" s="19" t="inlineStr">
        <is>
          <t>H. One Time Purchase</t>
        </is>
      </c>
      <c r="I81" s="19" t="inlineStr">
        <is>
          <t>Still open</t>
        </is>
      </c>
      <c r="J81" s="19" t="inlineStr">
        <is>
          <t>E</t>
        </is>
      </c>
      <c r="K81" s="19" t="inlineStr"/>
      <c r="L81" s="19" t="inlineStr"/>
    </row>
    <row r="82">
      <c r="A82" s="22" t="inlineStr">
        <is>
          <t>VDCANON U S A</t>
        </is>
      </c>
      <c r="B82" s="23" t="inlineStr">
        <is>
          <t>PRINTING EQUIPMENT</t>
        </is>
      </c>
      <c r="C82" s="22" t="inlineStr">
        <is>
          <t>DEPARTMENT OF LAW</t>
        </is>
      </c>
      <c r="D82" s="22" t="inlineStr">
        <is>
          <t>CANON U.S.A., INC</t>
        </is>
      </c>
      <c r="E82" s="22" t="n">
        <v>1</v>
      </c>
      <c r="F82" s="22" t="n">
        <v>1</v>
      </c>
      <c r="G82" s="24" t="n">
        <v>60771.56</v>
      </c>
      <c r="H82" s="22" t="inlineStr">
        <is>
          <t>C. Solicitation or Bidding Phase</t>
        </is>
      </c>
      <c r="I82" s="22" t="inlineStr">
        <is>
          <t>Still open</t>
        </is>
      </c>
      <c r="J82" s="22" t="inlineStr">
        <is>
          <t>C</t>
        </is>
      </c>
      <c r="K82" s="22" t="inlineStr">
        <is>
          <t>388093</t>
        </is>
      </c>
      <c r="L82" s="22" t="inlineStr">
        <is>
          <t>CONTRACT ASSIGNMENT/TRANSFER</t>
        </is>
      </c>
    </row>
    <row r="83">
      <c r="A83" s="19" t="inlineStr">
        <is>
          <t>VDRUSH UNIVERSITY MEDICAL CENT</t>
        </is>
      </c>
      <c r="B83" s="20" t="inlineStr">
        <is>
          <t>Community Testing, Infection Prevention</t>
        </is>
      </c>
      <c r="C83" s="19" t="inlineStr">
        <is>
          <t>CHICAGO DEPARTMENT OF PUBLIC HEALTH</t>
        </is>
      </c>
      <c r="D83" s="19" t="inlineStr">
        <is>
          <t>RUSH UNIVERSITY MEDICAL CENTER</t>
        </is>
      </c>
      <c r="E83" s="19" t="n">
        <v>2</v>
      </c>
      <c r="F83" s="19" t="n">
        <v>1</v>
      </c>
      <c r="G83" s="21" t="n">
        <v>60732.8</v>
      </c>
      <c r="H83" s="19" t="inlineStr">
        <is>
          <t>A. Specification Development Phase</t>
        </is>
      </c>
      <c r="I83" s="19" t="inlineStr">
        <is>
          <t>Still open</t>
        </is>
      </c>
      <c r="J83" s="19" t="inlineStr">
        <is>
          <t>E</t>
        </is>
      </c>
      <c r="K83" s="19" t="inlineStr"/>
      <c r="L83" s="19" t="inlineStr"/>
    </row>
    <row r="84">
      <c r="A84" s="22" t="inlineStr">
        <is>
          <t>RX698916</t>
        </is>
      </c>
      <c r="B84" s="23" t="inlineStr">
        <is>
          <t>Feb 2026 Waste Management Services at Midway. To pay Invoice # 55883</t>
        </is>
      </c>
      <c r="C84" s="22" t="inlineStr">
        <is>
          <t>CHICAGO DEPARTMENT OF AVIATION</t>
        </is>
      </c>
      <c r="D84" s="22" t="inlineStr">
        <is>
          <t>WASTE MANAGEMENT - METRO 01</t>
        </is>
      </c>
      <c r="E84" s="22" t="n">
        <v>2</v>
      </c>
      <c r="F84" s="22" t="n">
        <v>1</v>
      </c>
      <c r="G84" s="24" t="n">
        <v>58167.62</v>
      </c>
      <c r="H84" s="22" t="inlineStr">
        <is>
          <t>A. Specification Development Phase</t>
        </is>
      </c>
      <c r="I84" s="22" t="inlineStr">
        <is>
          <t>Still open</t>
        </is>
      </c>
      <c r="J84" s="22" t="inlineStr">
        <is>
          <t>E</t>
        </is>
      </c>
      <c r="K84" s="22" t="inlineStr"/>
      <c r="L84" s="22" t="inlineStr"/>
    </row>
    <row r="85">
      <c r="A85" s="19" t="inlineStr">
        <is>
          <t>RX708700</t>
        </is>
      </c>
      <c r="B85" s="20" t="inlineStr">
        <is>
          <t>TB/MM/2 INVOICES/$1353.00</t>
        </is>
      </c>
      <c r="C85" s="19" t="inlineStr">
        <is>
          <t>DEPARTMENT OF FLEET AND FACILITY MANAGEMENT</t>
        </is>
      </c>
      <c r="D85" s="19" t="inlineStr">
        <is>
          <t>PRESSURE WASHING SYSTEMS</t>
        </is>
      </c>
      <c r="E85" s="19" t="n">
        <v>9</v>
      </c>
      <c r="F85" s="19" t="n">
        <v>1</v>
      </c>
      <c r="G85" s="21" t="n">
        <v>56232</v>
      </c>
      <c r="H85" s="19" t="inlineStr">
        <is>
          <t>A. Specification Development Phase</t>
        </is>
      </c>
      <c r="I85" s="19" t="inlineStr">
        <is>
          <t>Still open</t>
        </is>
      </c>
      <c r="J85" s="19" t="inlineStr">
        <is>
          <t>E</t>
        </is>
      </c>
      <c r="K85" s="19" t="inlineStr"/>
      <c r="L85" s="19" t="inlineStr"/>
    </row>
    <row r="86">
      <c r="A86" s="22" t="inlineStr">
        <is>
          <t>RX677490</t>
        </is>
      </c>
      <c r="B86" s="23" t="inlineStr">
        <is>
          <t>TB/GR/INV #6101269-0/$6272.00</t>
        </is>
      </c>
      <c r="C86" s="22" t="inlineStr">
        <is>
          <t>DEPARTMENT OF FLEET AND FACILITY MANAGEMENT</t>
        </is>
      </c>
      <c r="D86" s="22" t="inlineStr">
        <is>
          <t>WAREHOUSE DIRECT, INC.</t>
        </is>
      </c>
      <c r="E86" s="22" t="n">
        <v>7</v>
      </c>
      <c r="F86" s="22" t="n">
        <v>1</v>
      </c>
      <c r="G86" s="24" t="n">
        <v>53447.92</v>
      </c>
      <c r="H86" s="22" t="inlineStr">
        <is>
          <t>A. Specification Development Phase</t>
        </is>
      </c>
      <c r="I86" s="22" t="inlineStr">
        <is>
          <t>Still open</t>
        </is>
      </c>
      <c r="J86" s="22" t="inlineStr">
        <is>
          <t>E</t>
        </is>
      </c>
      <c r="K86" s="22" t="inlineStr"/>
      <c r="L86" s="22" t="inlineStr"/>
    </row>
    <row r="87">
      <c r="A87" s="19" t="inlineStr">
        <is>
          <t>RX691891</t>
        </is>
      </c>
      <c r="B87" s="20" t="inlineStr">
        <is>
          <t>Vohne Liche Kennels Inv 21389 $50,059</t>
        </is>
      </c>
      <c r="C87" s="19" t="inlineStr">
        <is>
          <t>CHICAGO POLICE DEPARTMENT</t>
        </is>
      </c>
      <c r="D87" s="19" t="inlineStr">
        <is>
          <t>VOHNE LICHE KENNELS INC</t>
        </is>
      </c>
      <c r="E87" s="19" t="n">
        <v>1</v>
      </c>
      <c r="F87" s="19" t="n">
        <v>1</v>
      </c>
      <c r="G87" s="21" t="n">
        <v>50059</v>
      </c>
      <c r="H87" s="19" t="inlineStr">
        <is>
          <t>A. Specification Development Phase</t>
        </is>
      </c>
      <c r="I87" s="19" t="inlineStr">
        <is>
          <t>Still open</t>
        </is>
      </c>
      <c r="J87" s="19" t="inlineStr">
        <is>
          <t>E</t>
        </is>
      </c>
      <c r="K87" s="19" t="inlineStr"/>
      <c r="L87" s="19" t="inlineStr"/>
    </row>
    <row r="88">
      <c r="A88" s="22" t="inlineStr">
        <is>
          <t>RX607736</t>
        </is>
      </c>
      <c r="B88" s="23" t="inlineStr">
        <is>
          <t>TB/AO/INVOICE #S3388-1/$418.50</t>
        </is>
      </c>
      <c r="C88" s="22" t="inlineStr">
        <is>
          <t>DEPARTMENT OF FLEET AND FACILITY MANAGEMENT</t>
        </is>
      </c>
      <c r="D88" s="22" t="inlineStr">
        <is>
          <t>AGAE CONTRACTORS, INC.</t>
        </is>
      </c>
      <c r="E88" s="22" t="n">
        <v>24</v>
      </c>
      <c r="F88" s="22" t="n">
        <v>3</v>
      </c>
      <c r="G88" s="24" t="n">
        <v>48852.45</v>
      </c>
      <c r="H88" s="22" t="inlineStr">
        <is>
          <t>C. Solicitation or Bidding Phase</t>
        </is>
      </c>
      <c r="I88" s="22" t="inlineStr">
        <is>
          <t>Still open</t>
        </is>
      </c>
      <c r="J88" s="22" t="inlineStr">
        <is>
          <t>E</t>
        </is>
      </c>
      <c r="K88" s="22" t="inlineStr"/>
      <c r="L88" s="22" t="inlineStr"/>
    </row>
    <row r="89">
      <c r="A89" s="19" t="inlineStr">
        <is>
          <t>VDDLT SOLUTIONS</t>
        </is>
      </c>
      <c r="B89" s="20" t="inlineStr">
        <is>
          <t>1- 2025 unpaid DLT invoice for Oracle Active Data Guard Processor. This invoice was received after the Finance cutoff received date of 02/27/2026</t>
        </is>
      </c>
      <c r="C89" s="19" t="inlineStr">
        <is>
          <t>DEPARTMENT OF TECHNOLOGY AND INNOVATION</t>
        </is>
      </c>
      <c r="D89" s="19" t="inlineStr">
        <is>
          <t>DLT SOLUTIONS LLC</t>
        </is>
      </c>
      <c r="E89" s="19" t="n">
        <v>1</v>
      </c>
      <c r="F89" s="19" t="n">
        <v>1</v>
      </c>
      <c r="G89" s="21" t="n">
        <v>48673.35</v>
      </c>
      <c r="H89" s="19" t="inlineStr">
        <is>
          <t>H. One Time Purchase</t>
        </is>
      </c>
      <c r="I89" s="19" t="inlineStr">
        <is>
          <t>Still open</t>
        </is>
      </c>
      <c r="J89" s="19" t="inlineStr">
        <is>
          <t>A</t>
        </is>
      </c>
      <c r="K89" s="19" t="inlineStr">
        <is>
          <t>387728</t>
        </is>
      </c>
      <c r="L89" s="19" t="inlineStr">
        <is>
          <t>JOINT PURCHASE</t>
        </is>
      </c>
    </row>
    <row r="90">
      <c r="A90" s="22" t="inlineStr">
        <is>
          <t>VDCIS SUPPORT</t>
        </is>
      </c>
      <c r="B90" s="23" t="inlineStr">
        <is>
          <t>CIS Maintenance/Support-December</t>
        </is>
      </c>
      <c r="C90" s="22" t="inlineStr">
        <is>
          <t>CHICAGO DEPARTMENT OF PUBLIC HEALTH</t>
        </is>
      </c>
      <c r="D90" s="22" t="inlineStr">
        <is>
          <t>CIS Support, Inc.</t>
        </is>
      </c>
      <c r="E90" s="22" t="n">
        <v>8</v>
      </c>
      <c r="F90" s="22" t="n">
        <v>1</v>
      </c>
      <c r="G90" s="24" t="n">
        <v>46950</v>
      </c>
      <c r="H90" s="22" t="inlineStr">
        <is>
          <t>H. One Time Purchase</t>
        </is>
      </c>
      <c r="I90" s="22" t="inlineStr">
        <is>
          <t>Still open</t>
        </is>
      </c>
      <c r="J90" s="22" t="inlineStr">
        <is>
          <t>E</t>
        </is>
      </c>
      <c r="K90" s="22" t="inlineStr"/>
      <c r="L90" s="22" t="inlineStr"/>
    </row>
    <row r="91">
      <c r="A91" s="19" t="inlineStr">
        <is>
          <t>RX624517</t>
        </is>
      </c>
      <c r="B91" s="20" t="inlineStr">
        <is>
          <t>TB/GC/INV #189156/$45,500.00</t>
        </is>
      </c>
      <c r="C91" s="19" t="inlineStr">
        <is>
          <t>DEPARTMENT OF FLEET AND FACILITY MANAGEMENT</t>
        </is>
      </c>
      <c r="D91" s="19" t="inlineStr">
        <is>
          <t>A.M. BUS COMPANY, INC.</t>
        </is>
      </c>
      <c r="E91" s="19" t="n">
        <v>1</v>
      </c>
      <c r="F91" s="19" t="n">
        <v>1</v>
      </c>
      <c r="G91" s="21" t="n">
        <v>45500</v>
      </c>
      <c r="H91" s="19" t="inlineStr">
        <is>
          <t>H. One Time Purchase</t>
        </is>
      </c>
      <c r="I91" s="19" t="inlineStr">
        <is>
          <t>Still open</t>
        </is>
      </c>
      <c r="J91" s="19" t="inlineStr">
        <is>
          <t>E</t>
        </is>
      </c>
      <c r="K91" s="19" t="inlineStr"/>
      <c r="L91" s="19" t="inlineStr"/>
    </row>
    <row r="92">
      <c r="A92" s="22" t="inlineStr">
        <is>
          <t>RX606988</t>
        </is>
      </c>
      <c r="B92" s="23" t="inlineStr">
        <is>
          <t>Waste Management 1040290 L   JS/ VJ/ 2-INVOICES/ $11,477.36/ Mar Services/</t>
        </is>
      </c>
      <c r="C92" s="22" t="inlineStr">
        <is>
          <t>DEPARTMENT OF FLEET AND FACILITY MANAGEMENT</t>
        </is>
      </c>
      <c r="D92" s="22" t="inlineStr">
        <is>
          <t>WASTE MANAGEMENT OF ILLINOIS</t>
        </is>
      </c>
      <c r="E92" s="22" t="n">
        <v>3</v>
      </c>
      <c r="F92" s="22" t="n">
        <v>1</v>
      </c>
      <c r="G92" s="24" t="n">
        <v>45141.92</v>
      </c>
      <c r="H92" s="22" t="inlineStr">
        <is>
          <t>B. City Law Review</t>
        </is>
      </c>
      <c r="I92" s="22" t="inlineStr">
        <is>
          <t>Still open</t>
        </is>
      </c>
      <c r="J92" s="22" t="inlineStr">
        <is>
          <t>E</t>
        </is>
      </c>
      <c r="K92" s="22" t="inlineStr"/>
      <c r="L92" s="22" t="inlineStr"/>
    </row>
    <row r="93">
      <c r="A93" s="19" t="inlineStr">
        <is>
          <t>VDAVOQ</t>
        </is>
      </c>
      <c r="B93" s="20" t="inlineStr">
        <is>
          <t>January 2025 Consulting Services CDPH MPV/HIVFebruary 2025 Consulting Services CDPH MPV/HIV</t>
        </is>
      </c>
      <c r="C93" s="19" t="inlineStr">
        <is>
          <t>CHICAGO DEPARTMENT OF PUBLIC HEALTH</t>
        </is>
      </c>
      <c r="D93" s="19" t="inlineStr">
        <is>
          <t>AVOQ LLC</t>
        </is>
      </c>
      <c r="E93" s="19" t="n">
        <v>1</v>
      </c>
      <c r="F93" s="19" t="n">
        <v>1</v>
      </c>
      <c r="G93" s="21" t="n">
        <v>40000</v>
      </c>
      <c r="H93" s="19" t="inlineStr">
        <is>
          <t>H. One Time Purchase</t>
        </is>
      </c>
      <c r="I93" s="19" t="inlineStr">
        <is>
          <t>Still open</t>
        </is>
      </c>
      <c r="J93" s="19" t="inlineStr">
        <is>
          <t>E</t>
        </is>
      </c>
      <c r="K93" s="19" t="inlineStr"/>
      <c r="L93" s="19" t="inlineStr"/>
    </row>
    <row r="94">
      <c r="A94" s="22" t="inlineStr">
        <is>
          <t>RX428355</t>
        </is>
      </c>
      <c r="B94" s="23" t="inlineStr">
        <is>
          <t>VETERINARY CLEANING SUPPLIES</t>
        </is>
      </c>
      <c r="C94" s="22" t="inlineStr">
        <is>
          <t>CHICAGO ANIMAL CARE AND CONTROL</t>
        </is>
      </c>
      <c r="D94" s="22" t="inlineStr">
        <is>
          <t>MIDWEST VETERINARY SUPPLY, INC.</t>
        </is>
      </c>
      <c r="E94" s="22" t="n">
        <v>2</v>
      </c>
      <c r="F94" s="22" t="n">
        <v>1</v>
      </c>
      <c r="G94" s="24" t="n">
        <v>39554.51</v>
      </c>
      <c r="H94" s="22" t="inlineStr">
        <is>
          <t>B. City Law Review</t>
        </is>
      </c>
      <c r="I94" s="22" t="inlineStr">
        <is>
          <t>Still open</t>
        </is>
      </c>
      <c r="J94" s="22" t="inlineStr">
        <is>
          <t>E</t>
        </is>
      </c>
      <c r="K94" s="22" t="inlineStr"/>
      <c r="L94" s="22" t="inlineStr"/>
    </row>
    <row r="95">
      <c r="A95" s="19" t="inlineStr">
        <is>
          <t>RX697238</t>
        </is>
      </c>
      <c r="B95" s="20" t="inlineStr">
        <is>
          <t>Various Safety Equipment</t>
        </is>
      </c>
      <c r="C95" s="19" t="inlineStr">
        <is>
          <t>CHICAGO DEPARTMENT OF TRANSPORTATION</t>
        </is>
      </c>
      <c r="D95" s="19" t="inlineStr">
        <is>
          <t>AIR ONE EQUIPMENT INC</t>
        </is>
      </c>
      <c r="E95" s="19" t="n">
        <v>1</v>
      </c>
      <c r="F95" s="19" t="n">
        <v>1</v>
      </c>
      <c r="G95" s="21" t="n">
        <v>35226.55</v>
      </c>
      <c r="H95" s="19" t="inlineStr">
        <is>
          <t>B. City Law Review</t>
        </is>
      </c>
      <c r="I95" s="19" t="inlineStr">
        <is>
          <t>Still open</t>
        </is>
      </c>
      <c r="J95" s="19" t="inlineStr">
        <is>
          <t>E</t>
        </is>
      </c>
      <c r="K95" s="19" t="inlineStr"/>
      <c r="L95" s="19" t="inlineStr"/>
    </row>
    <row r="96">
      <c r="A96" s="22" t="inlineStr">
        <is>
          <t>VDLANDMARK MANAGEMENT SOLUTION</t>
        </is>
      </c>
      <c r="B96" s="23" t="inlineStr">
        <is>
          <t>FLEET AND FACILITY MANAGEMENT ("2FM") IS THE LEAD DEPARTMENT FOR PO 32909 INTEGRATED PEST MANAGEMENT SERVICES, THROUGH ABC HUMANE WILDLIFE/LANDMARK PE</t>
        </is>
      </c>
      <c r="C96" s="22" t="inlineStr">
        <is>
          <t>DEPARTMENT OF WATER MANAGEMENT</t>
        </is>
      </c>
      <c r="D96" s="22" t="inlineStr">
        <is>
          <t>Landmark Management Solutions LLC.</t>
        </is>
      </c>
      <c r="E96" s="22" t="n">
        <v>1</v>
      </c>
      <c r="F96" s="22" t="n">
        <v>1</v>
      </c>
      <c r="G96" s="24" t="n">
        <v>34562.66</v>
      </c>
      <c r="H96" s="22" t="inlineStr">
        <is>
          <t>H. One Time Purchase</t>
        </is>
      </c>
      <c r="I96" s="25" t="inlineStr">
        <is>
          <t>Claimed awarded - UNVERIFIED</t>
        </is>
      </c>
      <c r="J96" s="22" t="inlineStr">
        <is>
          <t>E</t>
        </is>
      </c>
      <c r="K96" s="22" t="inlineStr"/>
      <c r="L96" s="22" t="inlineStr"/>
    </row>
    <row r="97">
      <c r="A97" s="19" t="inlineStr">
        <is>
          <t>RX669739</t>
        </is>
      </c>
      <c r="B97" s="20" t="inlineStr">
        <is>
          <t>Republic Services Inv# 005898442</t>
        </is>
      </c>
      <c r="C97" s="19" t="inlineStr">
        <is>
          <t>CHICAGO POLICE DEPARTMENT</t>
        </is>
      </c>
      <c r="D97" s="19" t="inlineStr">
        <is>
          <t xml:space="preserve">REPUBLIC SERVICES INC </t>
        </is>
      </c>
      <c r="E97" s="19" t="n">
        <v>9</v>
      </c>
      <c r="F97" s="19" t="n">
        <v>1</v>
      </c>
      <c r="G97" s="21" t="n">
        <v>33940.73</v>
      </c>
      <c r="H97" s="19" t="inlineStr">
        <is>
          <t>A. Specification Development Phase</t>
        </is>
      </c>
      <c r="I97" s="19" t="inlineStr">
        <is>
          <t>Still open</t>
        </is>
      </c>
      <c r="J97" s="19" t="inlineStr">
        <is>
          <t>E</t>
        </is>
      </c>
      <c r="K97" s="19" t="inlineStr"/>
      <c r="L97" s="19" t="inlineStr"/>
    </row>
    <row r="98">
      <c r="A98" s="22" t="inlineStr">
        <is>
          <t>VDSEBIS DIRECT</t>
        </is>
      </c>
      <c r="B98" s="23" t="inlineStr">
        <is>
          <t>Office of the City Clerk - Chicago Vehicle Stickers</t>
        </is>
      </c>
      <c r="C98" s="22" t="inlineStr">
        <is>
          <t>OFFICE OF CITY CLERK</t>
        </is>
      </c>
      <c r="D98" s="22" t="inlineStr">
        <is>
          <t>SEBIS DIRECT</t>
        </is>
      </c>
      <c r="E98" s="22" t="n">
        <v>4</v>
      </c>
      <c r="F98" s="22" t="n">
        <v>1</v>
      </c>
      <c r="G98" s="24" t="n">
        <v>32830.95</v>
      </c>
      <c r="H98" s="22" t="inlineStr">
        <is>
          <t>A. Specification Development Phase</t>
        </is>
      </c>
      <c r="I98" s="22" t="inlineStr">
        <is>
          <t>Still open</t>
        </is>
      </c>
      <c r="J98" s="22" t="inlineStr">
        <is>
          <t>E</t>
        </is>
      </c>
      <c r="K98" s="22" t="inlineStr"/>
      <c r="L98" s="22" t="inlineStr"/>
    </row>
    <row r="99">
      <c r="A99" s="19" t="inlineStr">
        <is>
          <t>VDCLARITY PARTNERS</t>
        </is>
      </c>
      <c r="B99" s="20" t="inlineStr">
        <is>
          <t>HAN Maintenance and Support Services - June 2026</t>
        </is>
      </c>
      <c r="C99" s="19" t="inlineStr">
        <is>
          <t>CHICAGO DEPARTMENT OF PUBLIC HEALTH</t>
        </is>
      </c>
      <c r="D99" s="19" t="inlineStr">
        <is>
          <t>CLARITY PARTNERS LLC</t>
        </is>
      </c>
      <c r="E99" s="19" t="n">
        <v>1</v>
      </c>
      <c r="F99" s="19" t="n">
        <v>1</v>
      </c>
      <c r="G99" s="21" t="n">
        <v>31978.33</v>
      </c>
      <c r="H99" s="19" t="inlineStr">
        <is>
          <t>H. One Time Purchase</t>
        </is>
      </c>
      <c r="I99" s="19" t="inlineStr">
        <is>
          <t>Still open</t>
        </is>
      </c>
      <c r="J99" s="19" t="inlineStr">
        <is>
          <t>E</t>
        </is>
      </c>
      <c r="K99" s="19" t="inlineStr"/>
      <c r="L99" s="19" t="inlineStr"/>
    </row>
    <row r="100">
      <c r="A100" s="22" t="inlineStr">
        <is>
          <t>RX717990</t>
        </is>
      </c>
      <c r="B100" s="23" t="inlineStr">
        <is>
          <t>TB/MM/4 INVOICES/$4019.00</t>
        </is>
      </c>
      <c r="C100" s="22" t="inlineStr">
        <is>
          <t>DEPARTMENT OF FLEET AND FACILITY MANAGEMENT</t>
        </is>
      </c>
      <c r="D100" s="22" t="inlineStr">
        <is>
          <t>PRESSURE WASHING SYSTEMS</t>
        </is>
      </c>
      <c r="E100" s="22" t="n">
        <v>7</v>
      </c>
      <c r="F100" s="22" t="n">
        <v>1</v>
      </c>
      <c r="G100" s="24" t="n">
        <v>31723</v>
      </c>
      <c r="H100" s="22" t="inlineStr">
        <is>
          <t>B. City Law Review</t>
        </is>
      </c>
      <c r="I100" s="22" t="inlineStr">
        <is>
          <t>Still open</t>
        </is>
      </c>
      <c r="J100" s="22" t="inlineStr">
        <is>
          <t>E</t>
        </is>
      </c>
      <c r="K100" s="22" t="inlineStr"/>
      <c r="L100" s="22" t="inlineStr"/>
    </row>
    <row r="101">
      <c r="A101" s="19" t="inlineStr">
        <is>
          <t>VDGOLDSTAR COMMUNICATION</t>
        </is>
      </c>
      <c r="B101" s="20" t="inlineStr">
        <is>
          <t>CDPH 2025 Vaccine Outreach and Anti-Tobacco Media Campaign Services.</t>
        </is>
      </c>
      <c r="C101" s="19" t="inlineStr">
        <is>
          <t>CHICAGO DEPARTMENT OF PUBLIC HEALTH</t>
        </is>
      </c>
      <c r="D101" s="19" t="inlineStr">
        <is>
          <t>GOLDSTAR COMMUNICATION</t>
        </is>
      </c>
      <c r="E101" s="19" t="n">
        <v>2</v>
      </c>
      <c r="F101" s="19" t="n">
        <v>1</v>
      </c>
      <c r="G101" s="21" t="n">
        <v>30476.25</v>
      </c>
      <c r="H101" s="19" t="inlineStr">
        <is>
          <t>H. One Time Purchase</t>
        </is>
      </c>
      <c r="I101" s="19" t="inlineStr">
        <is>
          <t>Still open</t>
        </is>
      </c>
      <c r="J101" s="19" t="inlineStr">
        <is>
          <t>E</t>
        </is>
      </c>
      <c r="K101" s="19" t="inlineStr"/>
      <c r="L101" s="19" t="inlineStr"/>
    </row>
    <row r="102">
      <c r="A102" s="22" t="inlineStr">
        <is>
          <t>RX717298</t>
        </is>
      </c>
      <c r="B102" s="23" t="inlineStr">
        <is>
          <t>TB/AO/2 INVOICES/$29,195.38</t>
        </is>
      </c>
      <c r="C102" s="22" t="inlineStr">
        <is>
          <t>DEPARTMENT OF FLEET AND FACILITY MANAGEMENT</t>
        </is>
      </c>
      <c r="D102" s="22" t="inlineStr">
        <is>
          <t>ROOT BROS MFG &amp; SUPPLY CO</t>
        </is>
      </c>
      <c r="E102" s="22" t="n">
        <v>1</v>
      </c>
      <c r="F102" s="22" t="n">
        <v>1</v>
      </c>
      <c r="G102" s="24" t="n">
        <v>29195.38</v>
      </c>
      <c r="H102" s="22" t="inlineStr">
        <is>
          <t>A. Specification Development Phase</t>
        </is>
      </c>
      <c r="I102" s="22" t="inlineStr">
        <is>
          <t>Still open</t>
        </is>
      </c>
      <c r="J102" s="22" t="inlineStr">
        <is>
          <t>C</t>
        </is>
      </c>
      <c r="K102" s="22" t="inlineStr">
        <is>
          <t>376209</t>
        </is>
      </c>
      <c r="L102" s="22" t="inlineStr">
        <is>
          <t>BID</t>
        </is>
      </c>
    </row>
    <row r="103">
      <c r="A103" s="19" t="inlineStr">
        <is>
          <t>VDPEST MANAGEMENT SUPPLY</t>
        </is>
      </c>
      <c r="B103" s="20" t="inlineStr">
        <is>
          <t>Purchase of Rodenticide</t>
        </is>
      </c>
      <c r="C103" s="19" t="inlineStr">
        <is>
          <t>DEPARTMENT OF STREETS AND SANITATION</t>
        </is>
      </c>
      <c r="D103" s="19" t="inlineStr">
        <is>
          <t>PEST MANAGEMENT SUPPLY</t>
        </is>
      </c>
      <c r="E103" s="19" t="n">
        <v>1</v>
      </c>
      <c r="F103" s="19" t="n">
        <v>1</v>
      </c>
      <c r="G103" s="21" t="n">
        <v>28637.75</v>
      </c>
      <c r="H103" s="19" t="inlineStr">
        <is>
          <t>A. Specification Development Phase</t>
        </is>
      </c>
      <c r="I103" s="19" t="inlineStr">
        <is>
          <t>Still open</t>
        </is>
      </c>
      <c r="J103" s="19" t="inlineStr">
        <is>
          <t>E</t>
        </is>
      </c>
      <c r="K103" s="19" t="inlineStr"/>
      <c r="L103" s="19" t="inlineStr"/>
    </row>
    <row r="104">
      <c r="A104" s="22" t="inlineStr">
        <is>
          <t>RX687026</t>
        </is>
      </c>
      <c r="B104" s="23" t="inlineStr">
        <is>
          <t>Invoice#  112505  2026 Midway Deicing Materials - Magnesium Chloride 50lb bag. To pay invoice # 112505</t>
        </is>
      </c>
      <c r="C104" s="22" t="inlineStr">
        <is>
          <t>CHICAGO DEPARTMENT OF AVIATION</t>
        </is>
      </c>
      <c r="D104" s="22" t="inlineStr">
        <is>
          <t>VALDES LLC</t>
        </is>
      </c>
      <c r="E104" s="22" t="n">
        <v>1</v>
      </c>
      <c r="F104" s="22" t="n">
        <v>1</v>
      </c>
      <c r="G104" s="24" t="n">
        <v>27965</v>
      </c>
      <c r="H104" s="22" t="inlineStr">
        <is>
          <t>A. Specification Development Phase</t>
        </is>
      </c>
      <c r="I104" s="22" t="inlineStr">
        <is>
          <t>Still open</t>
        </is>
      </c>
      <c r="J104" s="22" t="inlineStr">
        <is>
          <t>E</t>
        </is>
      </c>
      <c r="K104" s="22" t="inlineStr"/>
      <c r="L104" s="22" t="inlineStr"/>
    </row>
    <row r="105">
      <c r="A105" s="19" t="inlineStr">
        <is>
          <t>RX529316</t>
        </is>
      </c>
      <c r="B105" s="20" t="inlineStr">
        <is>
          <t>ZIPCAR  54117025 - C   JS/ WW/ 10-INVS/ $1,943.08/ DECEMBER 2025 CHARGES</t>
        </is>
      </c>
      <c r="C105" s="19" t="inlineStr">
        <is>
          <t>DEPARTMENT OF FLEET AND FACILITY MANAGEMENT</t>
        </is>
      </c>
      <c r="D105" s="19" t="inlineStr">
        <is>
          <t>ZIPCAR  INC</t>
        </is>
      </c>
      <c r="E105" s="19" t="n">
        <v>9</v>
      </c>
      <c r="F105" s="19" t="n">
        <v>1</v>
      </c>
      <c r="G105" s="21" t="n">
        <v>27515.51</v>
      </c>
      <c r="H105" s="19" t="inlineStr">
        <is>
          <t>B. City Law Review</t>
        </is>
      </c>
      <c r="I105" s="19" t="inlineStr">
        <is>
          <t>Still open</t>
        </is>
      </c>
      <c r="J105" s="19" t="inlineStr">
        <is>
          <t>E</t>
        </is>
      </c>
      <c r="K105" s="19" t="inlineStr"/>
      <c r="L105" s="19" t="inlineStr"/>
    </row>
    <row r="106">
      <c r="A106" s="22" t="inlineStr">
        <is>
          <t>RX689540</t>
        </is>
      </c>
      <c r="B106" s="23" t="inlineStr">
        <is>
          <t>TB/INV#11302025/$1770.00</t>
        </is>
      </c>
      <c r="C106" s="22" t="inlineStr">
        <is>
          <t>DEPARTMENT OF FLEET AND FACILITY MANAGEMENT</t>
        </is>
      </c>
      <c r="D106" s="22" t="inlineStr">
        <is>
          <t>5410 Car Wash LLC</t>
        </is>
      </c>
      <c r="E106" s="22" t="n">
        <v>4</v>
      </c>
      <c r="F106" s="22" t="n">
        <v>1</v>
      </c>
      <c r="G106" s="24" t="n">
        <v>24511.81</v>
      </c>
      <c r="H106" s="22" t="inlineStr">
        <is>
          <t>A. Specification Development Phase</t>
        </is>
      </c>
      <c r="I106" s="22" t="inlineStr">
        <is>
          <t>Still open</t>
        </is>
      </c>
      <c r="J106" s="22" t="inlineStr">
        <is>
          <t>E</t>
        </is>
      </c>
      <c r="K106" s="22" t="inlineStr"/>
      <c r="L106" s="22" t="inlineStr"/>
    </row>
    <row r="107">
      <c r="A107" s="19" t="inlineStr">
        <is>
          <t>VDSANITATION</t>
        </is>
      </c>
      <c r="B107" s="20" t="inlineStr">
        <is>
          <t>Exhibit B_ 8160</t>
        </is>
      </c>
      <c r="C107" s="19" t="inlineStr">
        <is>
          <t>DEPARTMENT OF FAMILY AND SUPPORT SERVICES</t>
        </is>
      </c>
      <c r="D107" s="19" t="inlineStr">
        <is>
          <t>Service Sanitation Inc.</t>
        </is>
      </c>
      <c r="E107" s="19" t="n">
        <v>3</v>
      </c>
      <c r="F107" s="19" t="n">
        <v>1</v>
      </c>
      <c r="G107" s="21" t="n">
        <v>23964</v>
      </c>
      <c r="H107" s="19" t="inlineStr">
        <is>
          <t>A. Specification Development Phase</t>
        </is>
      </c>
      <c r="I107" s="26" t="inlineStr">
        <is>
          <t>Claimed awarded - UNVERIFIED</t>
        </is>
      </c>
      <c r="J107" s="19" t="inlineStr">
        <is>
          <t>A</t>
        </is>
      </c>
      <c r="K107" s="19" t="inlineStr">
        <is>
          <t>381051</t>
        </is>
      </c>
      <c r="L107" s="19" t="inlineStr">
        <is>
          <t>BID</t>
        </is>
      </c>
    </row>
    <row r="108">
      <c r="A108" s="22" t="inlineStr">
        <is>
          <t>VDBLUETRITON BRANDS</t>
        </is>
      </c>
      <c r="B108" s="23" t="inlineStr">
        <is>
          <t>water</t>
        </is>
      </c>
      <c r="C108" s="22" t="inlineStr">
        <is>
          <t>DEPARTMENT OF STREETS AND SANITATION</t>
        </is>
      </c>
      <c r="D108" s="22" t="inlineStr">
        <is>
          <t>BLUETRITON BRANDS INC</t>
        </is>
      </c>
      <c r="E108" s="22" t="n">
        <v>16</v>
      </c>
      <c r="F108" s="22" t="n">
        <v>3</v>
      </c>
      <c r="G108" s="24" t="n">
        <v>22188.54</v>
      </c>
      <c r="H108" s="22" t="inlineStr">
        <is>
          <t>D. Solicitation Response Under Evaluation</t>
        </is>
      </c>
      <c r="I108" s="22" t="inlineStr">
        <is>
          <t>Still open</t>
        </is>
      </c>
      <c r="J108" s="22" t="inlineStr">
        <is>
          <t>E</t>
        </is>
      </c>
      <c r="K108" s="22" t="inlineStr"/>
      <c r="L108" s="22" t="inlineStr"/>
    </row>
    <row r="109">
      <c r="A109" s="19" t="inlineStr">
        <is>
          <t>RX707120</t>
        </is>
      </c>
      <c r="B109" s="20" t="inlineStr">
        <is>
          <t>EXHIBIT B - MEDICAL/PHYSICAL EXAMS AND DRUG TESTING/LAB SERVICES - OCCUPATIONAL HEALTH CENTERS DBA CONCENTRA INVOICES $20,353.00</t>
        </is>
      </c>
      <c r="C109" s="19" t="inlineStr">
        <is>
          <t>DEPARTMENT OF HUMAN RESOURCES</t>
        </is>
      </c>
      <c r="D109" s="19" t="inlineStr">
        <is>
          <t>OCCUPATIONAL HEALTH CENTERS</t>
        </is>
      </c>
      <c r="E109" s="19" t="n">
        <v>1</v>
      </c>
      <c r="F109" s="19" t="n">
        <v>1</v>
      </c>
      <c r="G109" s="21" t="n">
        <v>20353</v>
      </c>
      <c r="H109" s="19" t="inlineStr">
        <is>
          <t>A. Specification Development Phase</t>
        </is>
      </c>
      <c r="I109" s="26" t="inlineStr">
        <is>
          <t>Claimed awarded - UNVERIFIED</t>
        </is>
      </c>
      <c r="J109" s="19" t="inlineStr">
        <is>
          <t>E</t>
        </is>
      </c>
      <c r="K109" s="19" t="inlineStr"/>
      <c r="L109" s="19" t="inlineStr"/>
    </row>
    <row r="110">
      <c r="A110" s="22" t="inlineStr">
        <is>
          <t>VDKIVVIT</t>
        </is>
      </c>
      <c r="B110" s="23" t="inlineStr">
        <is>
          <t>November 2023 Consulting Services - CDPH Crystal Meth</t>
        </is>
      </c>
      <c r="C110" s="22" t="inlineStr">
        <is>
          <t>CHICAGO DEPARTMENT OF PUBLIC HEALTH</t>
        </is>
      </c>
      <c r="D110" s="22" t="inlineStr">
        <is>
          <t>KIVVIT</t>
        </is>
      </c>
      <c r="E110" s="22" t="n">
        <v>1</v>
      </c>
      <c r="F110" s="22" t="n">
        <v>1</v>
      </c>
      <c r="G110" s="24" t="n">
        <v>20000</v>
      </c>
      <c r="H110" s="22" t="inlineStr">
        <is>
          <t>H. One Time Purchase</t>
        </is>
      </c>
      <c r="I110" s="22" t="inlineStr">
        <is>
          <t>Still open</t>
        </is>
      </c>
      <c r="J110" s="22" t="inlineStr">
        <is>
          <t>E</t>
        </is>
      </c>
      <c r="K110" s="22" t="inlineStr"/>
      <c r="L110" s="22" t="inlineStr"/>
    </row>
    <row r="111">
      <c r="A111" s="19" t="inlineStr">
        <is>
          <t>RX693906</t>
        </is>
      </c>
      <c r="B111" s="20" t="inlineStr">
        <is>
          <t>2026 Midway Snow Equipment &amp; Snow Vehicles washing (Services to pay invoice numbers: INV110941, INV111047 &amp; INV111054</t>
        </is>
      </c>
      <c r="C111" s="19" t="inlineStr">
        <is>
          <t>CHICAGO DEPARTMENT OF AVIATION</t>
        </is>
      </c>
      <c r="D111" s="19" t="inlineStr">
        <is>
          <t>P.W.S. ENVIRONMENTAL, INC.</t>
        </is>
      </c>
      <c r="E111" s="19" t="n">
        <v>2</v>
      </c>
      <c r="F111" s="19" t="n">
        <v>1</v>
      </c>
      <c r="G111" s="21" t="n">
        <v>19552</v>
      </c>
      <c r="H111" s="19" t="inlineStr">
        <is>
          <t>A. Specification Development Phase</t>
        </is>
      </c>
      <c r="I111" s="19" t="inlineStr">
        <is>
          <t>Still open</t>
        </is>
      </c>
      <c r="J111" s="19" t="inlineStr">
        <is>
          <t>E</t>
        </is>
      </c>
      <c r="K111" s="19" t="inlineStr"/>
      <c r="L111" s="19" t="inlineStr"/>
    </row>
    <row r="112">
      <c r="A112" s="22" t="inlineStr">
        <is>
          <t>VDPOLACH APPRAISAL</t>
        </is>
      </c>
      <c r="B112" s="23" t="inlineStr">
        <is>
          <t>TB/MS/INV #16467/$18,135.00</t>
        </is>
      </c>
      <c r="C112" s="22" t="inlineStr">
        <is>
          <t>DEPARTMENT OF FLEET AND FACILITY MANAGEMENT</t>
        </is>
      </c>
      <c r="D112" s="22" t="inlineStr">
        <is>
          <t>POLACH APPRAISAL GROUP, INC</t>
        </is>
      </c>
      <c r="E112" s="22" t="n">
        <v>2</v>
      </c>
      <c r="F112" s="22" t="n">
        <v>1</v>
      </c>
      <c r="G112" s="24" t="n">
        <v>18135</v>
      </c>
      <c r="H112" s="22" t="inlineStr">
        <is>
          <t>H. One Time Purchase</t>
        </is>
      </c>
      <c r="I112" s="22" t="inlineStr">
        <is>
          <t>Still open</t>
        </is>
      </c>
      <c r="J112" s="22" t="inlineStr">
        <is>
          <t>E</t>
        </is>
      </c>
      <c r="K112" s="22" t="inlineStr"/>
      <c r="L112" s="22" t="inlineStr"/>
    </row>
    <row r="113">
      <c r="A113" s="19" t="inlineStr">
        <is>
          <t>RX656727</t>
        </is>
      </c>
      <c r="B113" s="20" t="inlineStr">
        <is>
          <t>Sophisticated Events 10237596 A  JS/ DC/ 6-Invoices/ $16,200.00/ 2FM/ Table Rentals/ Migrant Location-Touhy &amp; Sheridan</t>
        </is>
      </c>
      <c r="C113" s="19" t="inlineStr">
        <is>
          <t>DEPARTMENT OF FLEET AND FACILITY MANAGEMENT</t>
        </is>
      </c>
      <c r="D113" s="19" t="inlineStr">
        <is>
          <t>Sophisticated Events and Design Co.</t>
        </is>
      </c>
      <c r="E113" s="19" t="n">
        <v>1</v>
      </c>
      <c r="F113" s="19" t="n">
        <v>1</v>
      </c>
      <c r="G113" s="21" t="n">
        <v>16200</v>
      </c>
      <c r="H113" s="19" t="inlineStr">
        <is>
          <t>A. Specification Development Phase</t>
        </is>
      </c>
      <c r="I113" s="19" t="inlineStr">
        <is>
          <t>Still open</t>
        </is>
      </c>
      <c r="J113" s="19" t="inlineStr">
        <is>
          <t>E</t>
        </is>
      </c>
      <c r="K113" s="19" t="inlineStr"/>
      <c r="L113" s="19" t="inlineStr"/>
    </row>
    <row r="114">
      <c r="A114" s="22" t="inlineStr">
        <is>
          <t>RX612805</t>
        </is>
      </c>
      <c r="B114" s="23" t="inlineStr">
        <is>
          <t>TB/JG/INV# COCNL112025 / $1745.06</t>
        </is>
      </c>
      <c r="C114" s="22" t="inlineStr">
        <is>
          <t>DEPARTMENT OF FLEET AND FACILITY MANAGEMENT</t>
        </is>
      </c>
      <c r="D114" s="22" t="inlineStr">
        <is>
          <t>JOHNSON CONTROLS FIRE PROTECTION LP</t>
        </is>
      </c>
      <c r="E114" s="22" t="n">
        <v>6</v>
      </c>
      <c r="F114" s="22" t="n">
        <v>3</v>
      </c>
      <c r="G114" s="24" t="n">
        <v>16158.15</v>
      </c>
      <c r="H114" s="22" t="inlineStr">
        <is>
          <t>B. City Law Review</t>
        </is>
      </c>
      <c r="I114" s="25" t="inlineStr">
        <is>
          <t>Claimed awarded - UNVERIFIED</t>
        </is>
      </c>
      <c r="J114" s="22" t="inlineStr">
        <is>
          <t>E</t>
        </is>
      </c>
      <c r="K114" s="22" t="inlineStr"/>
      <c r="L114" s="22" t="inlineStr"/>
    </row>
    <row r="115">
      <c r="A115" s="19" t="inlineStr">
        <is>
          <t>RX561631</t>
        </is>
      </c>
      <c r="B115" s="20" t="inlineStr">
        <is>
          <t>DODD CAMERA - MAIU - $15,713.46 FUND 659</t>
        </is>
      </c>
      <c r="C115" s="19" t="inlineStr">
        <is>
          <t>CHICAGO POLICE DEPARTMENT</t>
        </is>
      </c>
      <c r="D115" s="19" t="inlineStr">
        <is>
          <t>DODD CAMERA HOLDINGS, INC</t>
        </is>
      </c>
      <c r="E115" s="19" t="n">
        <v>1</v>
      </c>
      <c r="F115" s="19" t="n">
        <v>1</v>
      </c>
      <c r="G115" s="21" t="n">
        <v>15713.46</v>
      </c>
      <c r="H115" s="19" t="inlineStr">
        <is>
          <t>B. City Law Review</t>
        </is>
      </c>
      <c r="I115" s="19" t="inlineStr">
        <is>
          <t>Still open</t>
        </is>
      </c>
      <c r="J115" s="19" t="inlineStr">
        <is>
          <t>E</t>
        </is>
      </c>
      <c r="K115" s="19" t="inlineStr"/>
      <c r="L115" s="19" t="inlineStr"/>
    </row>
    <row r="116">
      <c r="A116" s="22" t="inlineStr">
        <is>
          <t>VDR4</t>
        </is>
      </c>
      <c r="B116" s="23" t="inlineStr">
        <is>
          <t>#3 Invoices  $7,434.75NEED TO PAY RECURRING INVOICES FOR RECORDS RETENTIONSERVICES 3/26, 4/26, 5/26</t>
        </is>
      </c>
      <c r="C116" s="22" t="inlineStr">
        <is>
          <t>CHICAGO DEPARTMENT OF AVIATION</t>
        </is>
      </c>
      <c r="D116" s="22" t="inlineStr">
        <is>
          <t>R4 SERVICES, LLC.</t>
        </is>
      </c>
      <c r="E116" s="22" t="n">
        <v>3</v>
      </c>
      <c r="F116" s="22" t="n">
        <v>2</v>
      </c>
      <c r="G116" s="24" t="n">
        <v>15516.83</v>
      </c>
      <c r="H116" s="22" t="inlineStr">
        <is>
          <t>A. Specification Development Phase</t>
        </is>
      </c>
      <c r="I116" s="22" t="inlineStr">
        <is>
          <t>Still open</t>
        </is>
      </c>
      <c r="J116" s="22" t="inlineStr">
        <is>
          <t>E</t>
        </is>
      </c>
      <c r="K116" s="22" t="inlineStr"/>
      <c r="L116" s="22" t="inlineStr"/>
    </row>
    <row r="117">
      <c r="A117" s="19" t="inlineStr">
        <is>
          <t>VDUNIVERSITY ILLINOIS 01</t>
        </is>
      </c>
      <c r="B117" s="20" t="inlineStr">
        <is>
          <t>4/1/2025 - 4/30/2025 - COVID-19 AND OTHER PATHOGEN TESTING SERVICES IN CONGREGATE SETTINGS</t>
        </is>
      </c>
      <c r="C117" s="19" t="inlineStr">
        <is>
          <t>CHICAGO DEPARTMENT OF PUBLIC HEALTH</t>
        </is>
      </c>
      <c r="D117" s="19" t="inlineStr">
        <is>
          <t>UNIVERSITY OF ILLINOIS 01</t>
        </is>
      </c>
      <c r="E117" s="19" t="n">
        <v>2</v>
      </c>
      <c r="F117" s="19" t="n">
        <v>1</v>
      </c>
      <c r="G117" s="21" t="n">
        <v>13890</v>
      </c>
      <c r="H117" s="19" t="inlineStr">
        <is>
          <t>H. One Time Purchase</t>
        </is>
      </c>
      <c r="I117" s="19" t="inlineStr">
        <is>
          <t>Still open</t>
        </is>
      </c>
      <c r="J117" s="19" t="inlineStr">
        <is>
          <t>E</t>
        </is>
      </c>
      <c r="K117" s="19" t="inlineStr"/>
      <c r="L117" s="19" t="inlineStr"/>
    </row>
    <row r="118">
      <c r="A118" s="22" t="inlineStr">
        <is>
          <t>VDAECOM TECHNICAL</t>
        </is>
      </c>
      <c r="B118" s="23" t="inlineStr">
        <is>
          <t>31st Street Viaduct over Metra/ICRR - Exhibit B payment request for AECOM (PO #47573 - Rel 5)</t>
        </is>
      </c>
      <c r="C118" s="22" t="inlineStr">
        <is>
          <t>CHICAGO DEPARTMENT OF TRANSPORTATION</t>
        </is>
      </c>
      <c r="D118" s="22" t="inlineStr">
        <is>
          <t>AECOM TECHNICAL SERVICES</t>
        </is>
      </c>
      <c r="E118" s="22" t="n">
        <v>1</v>
      </c>
      <c r="F118" s="22" t="n">
        <v>1</v>
      </c>
      <c r="G118" s="24" t="n">
        <v>13656.95</v>
      </c>
      <c r="H118" s="22" t="inlineStr">
        <is>
          <t>G. Not Applicable (Office Depot use Only)</t>
        </is>
      </c>
      <c r="I118" s="25" t="inlineStr">
        <is>
          <t>Claimed awarded - UNVERIFIED</t>
        </is>
      </c>
      <c r="J118" s="22" t="inlineStr">
        <is>
          <t>E</t>
        </is>
      </c>
      <c r="K118" s="22" t="inlineStr"/>
      <c r="L118" s="22" t="inlineStr"/>
    </row>
    <row r="119">
      <c r="A119" s="19" t="inlineStr">
        <is>
          <t>RX656425</t>
        </is>
      </c>
      <c r="B119" s="20" t="inlineStr">
        <is>
          <t>DECEMBER 2025 INVOICE FOR O'HARE AIRPORT</t>
        </is>
      </c>
      <c r="C119" s="19" t="inlineStr">
        <is>
          <t>CHICAGO DEPARTMENT OF AVIATION</t>
        </is>
      </c>
      <c r="D119" s="19" t="inlineStr">
        <is>
          <t>DTN, LLC</t>
        </is>
      </c>
      <c r="E119" s="19" t="n">
        <v>4</v>
      </c>
      <c r="F119" s="19" t="n">
        <v>1</v>
      </c>
      <c r="G119" s="21" t="n">
        <v>12420</v>
      </c>
      <c r="H119" s="19" t="inlineStr">
        <is>
          <t>D. Solicitation Response Under Evaluation</t>
        </is>
      </c>
      <c r="I119" s="19" t="inlineStr">
        <is>
          <t>Still open</t>
        </is>
      </c>
      <c r="J119" s="19" t="inlineStr">
        <is>
          <t>E</t>
        </is>
      </c>
      <c r="K119" s="19" t="inlineStr"/>
      <c r="L119" s="19" t="inlineStr"/>
    </row>
    <row r="120">
      <c r="A120" s="22" t="inlineStr">
        <is>
          <t>VDQUALITY CAR WASH</t>
        </is>
      </c>
      <c r="B120" s="23" t="inlineStr">
        <is>
          <t>TB/9 INVOICES/$12,244.89</t>
        </is>
      </c>
      <c r="C120" s="22" t="inlineStr">
        <is>
          <t>DEPARTMENT OF FLEET AND FACILITY MANAGEMENT</t>
        </is>
      </c>
      <c r="D120" s="22" t="inlineStr">
        <is>
          <t>QUALITY CAR WASH, INC.</t>
        </is>
      </c>
      <c r="E120" s="22" t="n">
        <v>1</v>
      </c>
      <c r="F120" s="22" t="n">
        <v>1</v>
      </c>
      <c r="G120" s="24" t="n">
        <v>12244.89</v>
      </c>
      <c r="H120" s="22" t="inlineStr">
        <is>
          <t>A. Specification Development Phase</t>
        </is>
      </c>
      <c r="I120" s="22" t="inlineStr">
        <is>
          <t>Still open</t>
        </is>
      </c>
      <c r="J120" s="22" t="inlineStr">
        <is>
          <t>E</t>
        </is>
      </c>
      <c r="K120" s="22" t="inlineStr"/>
      <c r="L120" s="22" t="inlineStr"/>
    </row>
    <row r="121">
      <c r="A121" s="19" t="inlineStr">
        <is>
          <t>VDRAE PRODUCTS CHEMICALS</t>
        </is>
      </c>
      <c r="B121" s="20" t="inlineStr">
        <is>
          <t>RAE Products Inv# 204193</t>
        </is>
      </c>
      <c r="C121" s="19" t="inlineStr">
        <is>
          <t>OFFICE OF PUBLIC SAFETY ADMINISTRATION</t>
        </is>
      </c>
      <c r="D121" s="19" t="inlineStr">
        <is>
          <t>RAE PRODUCTS &amp; CHEMICALS CORP.</t>
        </is>
      </c>
      <c r="E121" s="19" t="n">
        <v>1</v>
      </c>
      <c r="F121" s="19" t="n">
        <v>1</v>
      </c>
      <c r="G121" s="21" t="n">
        <v>12233</v>
      </c>
      <c r="H121" s="19" t="inlineStr">
        <is>
          <t>A. Specification Development Phase</t>
        </is>
      </c>
      <c r="I121" s="19" t="inlineStr">
        <is>
          <t>Still open</t>
        </is>
      </c>
      <c r="J121" s="19" t="inlineStr">
        <is>
          <t>E</t>
        </is>
      </c>
      <c r="K121" s="19" t="inlineStr"/>
      <c r="L121" s="19" t="inlineStr"/>
    </row>
    <row r="122">
      <c r="A122" s="22" t="inlineStr">
        <is>
          <t>VDHELEN E CEJTIN</t>
        </is>
      </c>
      <c r="B122" s="23" t="inlineStr">
        <is>
          <t>Consultant</t>
        </is>
      </c>
      <c r="C122" s="22" t="inlineStr">
        <is>
          <t>CHICAGO DEPARTMENT OF PUBLIC HEALTH</t>
        </is>
      </c>
      <c r="D122" s="22" t="inlineStr">
        <is>
          <t>Helen E Cejtin</t>
        </is>
      </c>
      <c r="E122" s="22" t="n">
        <v>1</v>
      </c>
      <c r="F122" s="22" t="n">
        <v>1</v>
      </c>
      <c r="G122" s="24" t="n">
        <v>10446.8</v>
      </c>
      <c r="H122" s="22" t="inlineStr">
        <is>
          <t>H. One Time Purchase</t>
        </is>
      </c>
      <c r="I122" s="22" t="inlineStr">
        <is>
          <t>Still open</t>
        </is>
      </c>
      <c r="J122" s="22" t="inlineStr">
        <is>
          <t>E</t>
        </is>
      </c>
      <c r="K122" s="22" t="inlineStr"/>
      <c r="L122" s="22" t="inlineStr"/>
    </row>
    <row r="123">
      <c r="A123" s="19" t="inlineStr">
        <is>
          <t>RX682208</t>
        </is>
      </c>
      <c r="B123" s="20" t="inlineStr">
        <is>
          <t>Midway Weather Forecasting Monthly ServicesInv#210-00243356 Service from Nov.1-Nov.30 26Inv#210-00267381 Service from Feb.1-Feb. 28 26Inv#210-00248151</t>
        </is>
      </c>
      <c r="C123" s="19" t="inlineStr">
        <is>
          <t>CHICAGO DEPARTMENT OF AVIATION</t>
        </is>
      </c>
      <c r="D123" s="19" t="inlineStr">
        <is>
          <t>DTN, LLC</t>
        </is>
      </c>
      <c r="E123" s="19" t="n">
        <v>2</v>
      </c>
      <c r="F123" s="19" t="n">
        <v>1</v>
      </c>
      <c r="G123" s="21" t="n">
        <v>9990</v>
      </c>
      <c r="H123" s="19" t="inlineStr">
        <is>
          <t>D. Solicitation Response Under Evaluation</t>
        </is>
      </c>
      <c r="I123" s="19" t="inlineStr">
        <is>
          <t>Still open</t>
        </is>
      </c>
      <c r="J123" s="19" t="inlineStr">
        <is>
          <t>E</t>
        </is>
      </c>
      <c r="K123" s="19" t="inlineStr"/>
      <c r="L123" s="19" t="inlineStr"/>
    </row>
    <row r="124">
      <c r="A124" s="22" t="inlineStr">
        <is>
          <t>VDBERLIN ROSEN</t>
        </is>
      </c>
      <c r="B124" s="23" t="inlineStr">
        <is>
          <t>Berlin Rosen Public relations Nov/Dec 2025</t>
        </is>
      </c>
      <c r="C124" s="22" t="inlineStr">
        <is>
          <t>OFFICE OF THE MAYOR</t>
        </is>
      </c>
      <c r="D124" s="22" t="inlineStr">
        <is>
          <t>Berlin Rosen, LLC</t>
        </is>
      </c>
      <c r="E124" s="22" t="n">
        <v>1</v>
      </c>
      <c r="F124" s="22" t="n">
        <v>1</v>
      </c>
      <c r="G124" s="24" t="n">
        <v>9975.75</v>
      </c>
      <c r="H124" s="22" t="inlineStr">
        <is>
          <t>H. One Time Purchase</t>
        </is>
      </c>
      <c r="I124" s="22" t="inlineStr">
        <is>
          <t>Still open</t>
        </is>
      </c>
      <c r="J124" s="22" t="inlineStr">
        <is>
          <t>E</t>
        </is>
      </c>
      <c r="K124" s="22" t="inlineStr"/>
      <c r="L124" s="22" t="inlineStr"/>
    </row>
    <row r="125">
      <c r="A125" s="19" t="inlineStr">
        <is>
          <t>RX689541</t>
        </is>
      </c>
      <c r="B125" s="20" t="inlineStr">
        <is>
          <t>Crowleys Yacht Yard  53001122 A JS/ BJ/ 4-INVS/ $9,393.85/ PD9991/ WO 2583580/ ASR</t>
        </is>
      </c>
      <c r="C125" s="19" t="inlineStr">
        <is>
          <t>DEPARTMENT OF FLEET AND FACILITY MANAGEMENT</t>
        </is>
      </c>
      <c r="D125" s="19" t="inlineStr">
        <is>
          <t>CROWLEYS YACHT YARD LAKESIDE LLC</t>
        </is>
      </c>
      <c r="E125" s="19" t="n">
        <v>2</v>
      </c>
      <c r="F125" s="19" t="n">
        <v>1</v>
      </c>
      <c r="G125" s="21" t="n">
        <v>9873.85</v>
      </c>
      <c r="H125" s="19" t="inlineStr">
        <is>
          <t>A. Specification Development Phase</t>
        </is>
      </c>
      <c r="I125" s="19" t="inlineStr">
        <is>
          <t>Still open</t>
        </is>
      </c>
      <c r="J125" s="19" t="inlineStr">
        <is>
          <t>E</t>
        </is>
      </c>
      <c r="K125" s="19" t="inlineStr"/>
      <c r="L125" s="19" t="inlineStr"/>
    </row>
    <row r="126">
      <c r="A126" s="22" t="inlineStr">
        <is>
          <t>RX734523</t>
        </is>
      </c>
      <c r="B126" s="23" t="inlineStr">
        <is>
          <t>Exhibit B_$9865</t>
        </is>
      </c>
      <c r="C126" s="22" t="inlineStr">
        <is>
          <t>DEPARTMENT OF FAMILY AND SUPPORT SERVICES</t>
        </is>
      </c>
      <c r="D126" s="22" t="inlineStr">
        <is>
          <t>ACCURATE BIOMETRICS INC</t>
        </is>
      </c>
      <c r="E126" s="22" t="n">
        <v>1</v>
      </c>
      <c r="F126" s="22" t="n">
        <v>1</v>
      </c>
      <c r="G126" s="24" t="n">
        <v>9865</v>
      </c>
      <c r="H126" s="22" t="inlineStr">
        <is>
          <t>G. Not Applicable (Office Depot use Only)</t>
        </is>
      </c>
      <c r="I126" s="25" t="inlineStr">
        <is>
          <t>Claimed awarded - UNVERIFIED</t>
        </is>
      </c>
      <c r="J126" s="22" t="inlineStr">
        <is>
          <t>E</t>
        </is>
      </c>
      <c r="K126" s="22" t="inlineStr"/>
      <c r="L126" s="22" t="inlineStr"/>
    </row>
    <row r="127">
      <c r="A127" s="19" t="inlineStr">
        <is>
          <t>RX607558</t>
        </is>
      </c>
      <c r="B127" s="20" t="inlineStr">
        <is>
          <t>3 Invoices forACCT#1750627 Weather Augment Forecasting Services: 210-00278025 Period: 3/1/2026-3/31/2026; 210-00267261 Period: 2/1/2026-2/28/2026, 210</t>
        </is>
      </c>
      <c r="C127" s="19" t="inlineStr">
        <is>
          <t>CHICAGO DEPARTMENT OF AVIATION</t>
        </is>
      </c>
      <c r="D127" s="19" t="inlineStr">
        <is>
          <t>DTN, LLC</t>
        </is>
      </c>
      <c r="E127" s="19" t="n">
        <v>1</v>
      </c>
      <c r="F127" s="19" t="n">
        <v>1</v>
      </c>
      <c r="G127" s="21" t="n">
        <v>9315</v>
      </c>
      <c r="H127" s="19" t="inlineStr">
        <is>
          <t>F. SC - (Signature Cycle)</t>
        </is>
      </c>
      <c r="I127" s="28" t="inlineStr">
        <is>
          <t>Converted - competitive award</t>
        </is>
      </c>
      <c r="J127" s="19" t="inlineStr">
        <is>
          <t>A</t>
        </is>
      </c>
      <c r="K127" s="19" t="inlineStr">
        <is>
          <t>381309</t>
        </is>
      </c>
      <c r="L127" s="19" t="inlineStr">
        <is>
          <t>BID</t>
        </is>
      </c>
    </row>
    <row r="128">
      <c r="A128" s="22" t="inlineStr">
        <is>
          <t>RX657660</t>
        </is>
      </c>
      <c r="B128" s="23" t="inlineStr">
        <is>
          <t>OES:Odysseus Licensing FeeAnnual Licensing and Hosting Fee: June 2026</t>
        </is>
      </c>
      <c r="C128" s="22" t="inlineStr">
        <is>
          <t>CHICAGO DEPARTMENT OF PUBLIC HEALTH</t>
        </is>
      </c>
      <c r="D128" s="22" t="inlineStr">
        <is>
          <t>INTEGRATED SOLUTIONS CONSULTING CORPORATION</t>
        </is>
      </c>
      <c r="E128" s="22" t="n">
        <v>4</v>
      </c>
      <c r="F128" s="22" t="n">
        <v>1</v>
      </c>
      <c r="G128" s="24" t="n">
        <v>9041.799999999999</v>
      </c>
      <c r="H128" s="22" t="inlineStr">
        <is>
          <t>H. One Time Purchase</t>
        </is>
      </c>
      <c r="I128" s="29" t="inlineStr">
        <is>
          <t>Converted - non-competitive award</t>
        </is>
      </c>
      <c r="J128" s="22" t="inlineStr">
        <is>
          <t>A</t>
        </is>
      </c>
      <c r="K128" s="22" t="inlineStr">
        <is>
          <t>386925</t>
        </is>
      </c>
      <c r="L128" s="22" t="inlineStr">
        <is>
          <t>SOLE SOURCE</t>
        </is>
      </c>
    </row>
    <row r="129">
      <c r="A129" s="19" t="inlineStr">
        <is>
          <t>RX682657</t>
        </is>
      </c>
      <c r="B129" s="20" t="inlineStr">
        <is>
          <t xml:space="preserve">FLEET &amp; FACILITY MANAGEMENT ("2FM") IS THE LEAD DEPARMENT FOR PO#32909 INTEGRATED PEST MANAGEMENT SERVICES, THROUGH ABC HUMANE WILDLIFE/LANDMARK PEST </t>
        </is>
      </c>
      <c r="C129" s="19" t="inlineStr">
        <is>
          <t>DEPARTMENT OF WATER MANAGEMENT</t>
        </is>
      </c>
      <c r="D129" s="19" t="inlineStr">
        <is>
          <t>ABC Humane Wildlife Control &amp; Prevention, Inc.</t>
        </is>
      </c>
      <c r="E129" s="19" t="n">
        <v>1</v>
      </c>
      <c r="F129" s="19" t="n">
        <v>1</v>
      </c>
      <c r="G129" s="21" t="n">
        <v>9034</v>
      </c>
      <c r="H129" s="19" t="inlineStr">
        <is>
          <t>H. One Time Purchase</t>
        </is>
      </c>
      <c r="I129" s="19" t="inlineStr">
        <is>
          <t>Still open</t>
        </is>
      </c>
      <c r="J129" s="19" t="inlineStr">
        <is>
          <t>E</t>
        </is>
      </c>
      <c r="K129" s="19" t="inlineStr"/>
      <c r="L129" s="19" t="inlineStr"/>
    </row>
    <row r="130">
      <c r="A130" s="22" t="inlineStr">
        <is>
          <t>VDYOUTH MARKETING CONNECTION</t>
        </is>
      </c>
      <c r="B130" s="23" t="inlineStr">
        <is>
          <t>Branded Promotional Items</t>
        </is>
      </c>
      <c r="C130" s="22" t="inlineStr">
        <is>
          <t>CHICAGO DEPARTMENT OF PUBLIC HEALTH</t>
        </is>
      </c>
      <c r="D130" s="22" t="inlineStr">
        <is>
          <t>Youth Marketing Connection LLC</t>
        </is>
      </c>
      <c r="E130" s="22" t="n">
        <v>4</v>
      </c>
      <c r="F130" s="22" t="n">
        <v>1</v>
      </c>
      <c r="G130" s="24" t="n">
        <v>8906.65</v>
      </c>
      <c r="H130" s="22" t="inlineStr">
        <is>
          <t>H. One Time Purchase</t>
        </is>
      </c>
      <c r="I130" s="25" t="inlineStr">
        <is>
          <t>Claimed awarded - UNVERIFIED</t>
        </is>
      </c>
      <c r="J130" s="22" t="inlineStr">
        <is>
          <t>E</t>
        </is>
      </c>
      <c r="K130" s="22" t="inlineStr"/>
      <c r="L130" s="22" t="inlineStr"/>
    </row>
    <row r="131">
      <c r="A131" s="19" t="inlineStr">
        <is>
          <t>RX627877</t>
        </is>
      </c>
      <c r="B131" s="20" t="inlineStr">
        <is>
          <t>TB/VJ/3 INVOICES/$8449.16</t>
        </is>
      </c>
      <c r="C131" s="19" t="inlineStr">
        <is>
          <t>DEPARTMENT OF FLEET AND FACILITY MANAGEMENT</t>
        </is>
      </c>
      <c r="D131" s="19" t="inlineStr">
        <is>
          <t>Combined Roofing Services, LLC</t>
        </is>
      </c>
      <c r="E131" s="19" t="n">
        <v>1</v>
      </c>
      <c r="F131" s="19" t="n">
        <v>1</v>
      </c>
      <c r="G131" s="21" t="n">
        <v>8449.16</v>
      </c>
      <c r="H131" s="19" t="inlineStr">
        <is>
          <t>A. Specification Development Phase</t>
        </is>
      </c>
      <c r="I131" s="19" t="inlineStr">
        <is>
          <t>Still open</t>
        </is>
      </c>
      <c r="J131" s="19" t="inlineStr">
        <is>
          <t>E</t>
        </is>
      </c>
      <c r="K131" s="19" t="inlineStr"/>
      <c r="L131" s="19" t="inlineStr"/>
    </row>
    <row r="132">
      <c r="A132" s="22" t="inlineStr">
        <is>
          <t>VDINDUSTRIAL FENCE</t>
        </is>
      </c>
      <c r="B132" s="23" t="inlineStr">
        <is>
          <t>TB/AH/INV #25467/$636.32</t>
        </is>
      </c>
      <c r="C132" s="22" t="inlineStr">
        <is>
          <t>DEPARTMENT OF FLEET AND FACILITY MANAGEMENT</t>
        </is>
      </c>
      <c r="D132" s="22" t="inlineStr">
        <is>
          <t>INDUSTRIAL FENCE INC.</t>
        </is>
      </c>
      <c r="E132" s="22" t="n">
        <v>3</v>
      </c>
      <c r="F132" s="22" t="n">
        <v>1</v>
      </c>
      <c r="G132" s="24" t="n">
        <v>8208.049999999999</v>
      </c>
      <c r="H132" s="22" t="inlineStr">
        <is>
          <t>A. Specification Development Phase</t>
        </is>
      </c>
      <c r="I132" s="22" t="inlineStr">
        <is>
          <t>Still open</t>
        </is>
      </c>
      <c r="J132" s="22" t="inlineStr">
        <is>
          <t>E</t>
        </is>
      </c>
      <c r="K132" s="22" t="inlineStr"/>
      <c r="L132" s="22" t="inlineStr"/>
    </row>
    <row r="133">
      <c r="A133" s="19" t="inlineStr">
        <is>
          <t>RX631607</t>
        </is>
      </c>
      <c r="B133" s="20" t="inlineStr">
        <is>
          <t>TB/VJ/INVOICE #76270/$8200.00</t>
        </is>
      </c>
      <c r="C133" s="19" t="inlineStr">
        <is>
          <t>DEPARTMENT OF FLEET AND FACILITY MANAGEMENT</t>
        </is>
      </c>
      <c r="D133" s="19" t="inlineStr">
        <is>
          <t>CORPORATE CLEANING SERVICES</t>
        </is>
      </c>
      <c r="E133" s="19" t="n">
        <v>1</v>
      </c>
      <c r="F133" s="19" t="n">
        <v>1</v>
      </c>
      <c r="G133" s="21" t="n">
        <v>8200</v>
      </c>
      <c r="H133" s="19" t="inlineStr">
        <is>
          <t>A. Specification Development Phase</t>
        </is>
      </c>
      <c r="I133" s="19" t="inlineStr">
        <is>
          <t>Still open</t>
        </is>
      </c>
      <c r="J133" s="19" t="inlineStr">
        <is>
          <t>E</t>
        </is>
      </c>
      <c r="K133" s="19" t="inlineStr"/>
      <c r="L133" s="19" t="inlineStr"/>
    </row>
    <row r="134">
      <c r="A134" s="22" t="inlineStr">
        <is>
          <t>RX674586</t>
        </is>
      </c>
      <c r="B134" s="23" t="inlineStr">
        <is>
          <t>TB/GR/INVOICE #RO305183/$6671.00</t>
        </is>
      </c>
      <c r="C134" s="22" t="inlineStr">
        <is>
          <t>DEPARTMENT OF FLEET AND FACILITY MANAGEMENT</t>
        </is>
      </c>
      <c r="D134" s="22" t="inlineStr">
        <is>
          <t>DODD CAMERA HOLDINGS, INC</t>
        </is>
      </c>
      <c r="E134" s="22" t="n">
        <v>2</v>
      </c>
      <c r="F134" s="22" t="n">
        <v>1</v>
      </c>
      <c r="G134" s="24" t="n">
        <v>8036.97</v>
      </c>
      <c r="H134" s="22" t="inlineStr">
        <is>
          <t>A. Specification Development Phase</t>
        </is>
      </c>
      <c r="I134" s="22" t="inlineStr">
        <is>
          <t>Still open</t>
        </is>
      </c>
      <c r="J134" s="22" t="inlineStr">
        <is>
          <t>E</t>
        </is>
      </c>
      <c r="K134" s="22" t="inlineStr"/>
      <c r="L134" s="22" t="inlineStr"/>
    </row>
    <row r="135">
      <c r="A135" s="19" t="inlineStr">
        <is>
          <t>RX742376</t>
        </is>
      </c>
      <c r="B135" s="20" t="inlineStr">
        <is>
          <t>TB/JM/INVOICE #3931/$4000.00</t>
        </is>
      </c>
      <c r="C135" s="19" t="inlineStr">
        <is>
          <t>DEPARTMENT OF FLEET AND FACILITY MANAGEMENT</t>
        </is>
      </c>
      <c r="D135" s="19" t="inlineStr">
        <is>
          <t>Eusebio Molina</t>
        </is>
      </c>
      <c r="E135" s="19" t="n">
        <v>2</v>
      </c>
      <c r="F135" s="19" t="n">
        <v>1</v>
      </c>
      <c r="G135" s="21" t="n">
        <v>8000</v>
      </c>
      <c r="H135" s="19" t="inlineStr">
        <is>
          <t>A. Specification Development Phase</t>
        </is>
      </c>
      <c r="I135" s="19" t="inlineStr">
        <is>
          <t>Still open</t>
        </is>
      </c>
      <c r="J135" s="19" t="inlineStr">
        <is>
          <t>E</t>
        </is>
      </c>
      <c r="K135" s="19" t="inlineStr"/>
      <c r="L135" s="19" t="inlineStr"/>
    </row>
    <row r="136">
      <c r="A136" s="22" t="inlineStr">
        <is>
          <t>VDCOSTAR REALTY INFORMATION</t>
        </is>
      </c>
      <c r="B136" s="23" t="inlineStr">
        <is>
          <t>CoStar Aug 2026 Invoice</t>
        </is>
      </c>
      <c r="C136" s="22" t="inlineStr">
        <is>
          <t>DEPARTMENT OF PLANNING AND DEVELOPMENT</t>
        </is>
      </c>
      <c r="D136" s="22" t="inlineStr">
        <is>
          <t>COSTAR REALTY INFORMATION, INC</t>
        </is>
      </c>
      <c r="E136" s="22" t="n">
        <v>2</v>
      </c>
      <c r="F136" s="22" t="n">
        <v>1</v>
      </c>
      <c r="G136" s="24" t="n">
        <v>7906.6</v>
      </c>
      <c r="H136" s="22" t="inlineStr"/>
      <c r="I136" s="22" t="inlineStr">
        <is>
          <t>Still open</t>
        </is>
      </c>
      <c r="J136" s="22" t="inlineStr">
        <is>
          <t>E</t>
        </is>
      </c>
      <c r="K136" s="22" t="inlineStr"/>
      <c r="L136" s="22" t="inlineStr"/>
    </row>
    <row r="137">
      <c r="A137" s="19" t="inlineStr">
        <is>
          <t>VDGAYLORD BROS DBA GAYLORD ARC</t>
        </is>
      </c>
      <c r="B137" s="20" t="inlineStr">
        <is>
          <t>Specialized supplies for preservation project of City Council archival materials.</t>
        </is>
      </c>
      <c r="C137" s="19" t="inlineStr">
        <is>
          <t>OFFICE OF CITY CLERK</t>
        </is>
      </c>
      <c r="D137" s="19" t="inlineStr">
        <is>
          <t>Gaylord Bros Inc DBA Gaylord Archival</t>
        </is>
      </c>
      <c r="E137" s="19" t="n">
        <v>1</v>
      </c>
      <c r="F137" s="19" t="n">
        <v>1</v>
      </c>
      <c r="G137" s="21" t="n">
        <v>7396.57</v>
      </c>
      <c r="H137" s="19" t="inlineStr">
        <is>
          <t>H. One Time Purchase</t>
        </is>
      </c>
      <c r="I137" s="19" t="inlineStr">
        <is>
          <t>Still open</t>
        </is>
      </c>
      <c r="J137" s="19" t="inlineStr">
        <is>
          <t>E</t>
        </is>
      </c>
      <c r="K137" s="19" t="inlineStr"/>
      <c r="L137" s="19" t="inlineStr"/>
    </row>
    <row r="138">
      <c r="A138" s="22" t="inlineStr">
        <is>
          <t>RX613315</t>
        </is>
      </c>
      <c r="B138" s="23" t="inlineStr">
        <is>
          <t>Service Sanitation Inv 9090265 $1,250</t>
        </is>
      </c>
      <c r="C138" s="22" t="inlineStr">
        <is>
          <t>CHICAGO POLICE DEPARTMENT</t>
        </is>
      </c>
      <c r="D138" s="22" t="inlineStr">
        <is>
          <t>Service Sanitation Inc.</t>
        </is>
      </c>
      <c r="E138" s="22" t="n">
        <v>2</v>
      </c>
      <c r="F138" s="22" t="n">
        <v>2</v>
      </c>
      <c r="G138" s="24" t="n">
        <v>7167</v>
      </c>
      <c r="H138" s="22" t="inlineStr">
        <is>
          <t>A. Specification Development Phase</t>
        </is>
      </c>
      <c r="I138" s="30" t="inlineStr">
        <is>
          <t>Converted - competitive award</t>
        </is>
      </c>
      <c r="J138" s="22" t="inlineStr">
        <is>
          <t>A</t>
        </is>
      </c>
      <c r="K138" s="22" t="inlineStr">
        <is>
          <t>381051</t>
        </is>
      </c>
      <c r="L138" s="22" t="inlineStr">
        <is>
          <t>BID</t>
        </is>
      </c>
    </row>
    <row r="139">
      <c r="A139" s="19" t="inlineStr">
        <is>
          <t>RX644760</t>
        </is>
      </c>
      <c r="B139" s="20" t="inlineStr">
        <is>
          <t>#2 Invoices $7,082.00 Requesting a Direct Voucher - Exhibit B for Ohare to due VLI. A VLI extension has been requested.</t>
        </is>
      </c>
      <c r="C139" s="19" t="inlineStr">
        <is>
          <t>CHICAGO DEPARTMENT OF AVIATION</t>
        </is>
      </c>
      <c r="D139" s="19" t="inlineStr">
        <is>
          <t>Elevator Inspection Service Company, LLC</t>
        </is>
      </c>
      <c r="E139" s="19" t="n">
        <v>1</v>
      </c>
      <c r="F139" s="19" t="n">
        <v>1</v>
      </c>
      <c r="G139" s="21" t="n">
        <v>7082</v>
      </c>
      <c r="H139" s="19" t="inlineStr">
        <is>
          <t>D. Solicitation Response Under Evaluation</t>
        </is>
      </c>
      <c r="I139" s="19" t="inlineStr">
        <is>
          <t>Still open</t>
        </is>
      </c>
      <c r="J139" s="19" t="inlineStr">
        <is>
          <t>E</t>
        </is>
      </c>
      <c r="K139" s="19" t="inlineStr"/>
      <c r="L139" s="19" t="inlineStr"/>
    </row>
    <row r="140">
      <c r="A140" s="22" t="inlineStr">
        <is>
          <t>RX493566</t>
        </is>
      </c>
      <c r="B140" s="23" t="inlineStr">
        <is>
          <t>Sewer Construction</t>
        </is>
      </c>
      <c r="C140" s="22" t="inlineStr">
        <is>
          <t>DEPARTMENT OF WATER MANAGEMENT</t>
        </is>
      </c>
      <c r="D140" s="22" t="inlineStr">
        <is>
          <t>RELIABLE CONTRACTING AND EQUIPMENT COMPANY</t>
        </is>
      </c>
      <c r="E140" s="22" t="n">
        <v>1</v>
      </c>
      <c r="F140" s="22" t="n">
        <v>1</v>
      </c>
      <c r="G140" s="24" t="n">
        <v>6839.9</v>
      </c>
      <c r="H140" s="22" t="inlineStr">
        <is>
          <t>H. One Time Purchase</t>
        </is>
      </c>
      <c r="I140" s="22" t="inlineStr">
        <is>
          <t>Still open</t>
        </is>
      </c>
      <c r="J140" s="22" t="inlineStr">
        <is>
          <t>C</t>
        </is>
      </c>
      <c r="K140" s="22" t="inlineStr">
        <is>
          <t>383808</t>
        </is>
      </c>
      <c r="L140" s="22" t="inlineStr">
        <is>
          <t>BID</t>
        </is>
      </c>
    </row>
    <row r="141">
      <c r="A141" s="19" t="inlineStr">
        <is>
          <t>RX530823</t>
        </is>
      </c>
      <c r="B141" s="20" t="inlineStr">
        <is>
          <t>#4 Invoices $10,558.002025 Midway Snow Equipment &amp; Snow Vehicles washing (Services 11/9, 11/10, 11/30 to 12/2 &amp; 12/7 to 12/8) to pay invoice numbers:1</t>
        </is>
      </c>
      <c r="C141" s="19" t="inlineStr">
        <is>
          <t>CHICAGO DEPARTMENT OF AVIATION</t>
        </is>
      </c>
      <c r="D141" s="19" t="inlineStr">
        <is>
          <t>P.W.S. ENVIRONMENTAL, INC.</t>
        </is>
      </c>
      <c r="E141" s="19" t="n">
        <v>3</v>
      </c>
      <c r="F141" s="19" t="n">
        <v>1</v>
      </c>
      <c r="G141" s="21" t="n">
        <v>6310.34</v>
      </c>
      <c r="H141" s="19" t="inlineStr">
        <is>
          <t>D. Solicitation Response Under Evaluation</t>
        </is>
      </c>
      <c r="I141" s="28" t="inlineStr">
        <is>
          <t>Converted - competitive award</t>
        </is>
      </c>
      <c r="J141" s="19" t="inlineStr">
        <is>
          <t>A</t>
        </is>
      </c>
      <c r="K141" s="19" t="inlineStr">
        <is>
          <t>375509</t>
        </is>
      </c>
      <c r="L141" s="19" t="inlineStr">
        <is>
          <t>BID</t>
        </is>
      </c>
    </row>
    <row r="142">
      <c r="A142" s="22" t="inlineStr">
        <is>
          <t>RX658738</t>
        </is>
      </c>
      <c r="B142" s="23" t="inlineStr">
        <is>
          <t>TB/GR/INV #5072349294/$6015.80</t>
        </is>
      </c>
      <c r="C142" s="22" t="inlineStr">
        <is>
          <t>DEPARTMENT OF FLEET AND FACILITY MANAGEMENT</t>
        </is>
      </c>
      <c r="D142" s="22" t="inlineStr">
        <is>
          <t>RICOH USA INC</t>
        </is>
      </c>
      <c r="E142" s="22" t="n">
        <v>1</v>
      </c>
      <c r="F142" s="22" t="n">
        <v>1</v>
      </c>
      <c r="G142" s="24" t="n">
        <v>6015.8</v>
      </c>
      <c r="H142" s="22" t="inlineStr">
        <is>
          <t>A. Specification Development Phase</t>
        </is>
      </c>
      <c r="I142" s="22" t="inlineStr">
        <is>
          <t>Still open</t>
        </is>
      </c>
      <c r="J142" s="22" t="inlineStr">
        <is>
          <t>E</t>
        </is>
      </c>
      <c r="K142" s="22" t="inlineStr"/>
      <c r="L142" s="22" t="inlineStr"/>
    </row>
    <row r="143">
      <c r="A143" s="19" t="inlineStr">
        <is>
          <t>RX696374</t>
        </is>
      </c>
      <c r="B143" s="20" t="inlineStr">
        <is>
          <t>Canon Copier Services Contract in VLI process</t>
        </is>
      </c>
      <c r="C143" s="19" t="inlineStr">
        <is>
          <t>CHICAGO ANIMAL CARE AND CONTROL</t>
        </is>
      </c>
      <c r="D143" s="19" t="inlineStr">
        <is>
          <t>CANON SOLUTIONS AMERICA, INC</t>
        </is>
      </c>
      <c r="E143" s="19" t="n">
        <v>1</v>
      </c>
      <c r="F143" s="19" t="n">
        <v>1</v>
      </c>
      <c r="G143" s="21" t="n">
        <v>5595.97</v>
      </c>
      <c r="H143" s="19" t="inlineStr">
        <is>
          <t>A. Specification Development Phase</t>
        </is>
      </c>
      <c r="I143" s="19" t="inlineStr">
        <is>
          <t>Still open</t>
        </is>
      </c>
      <c r="J143" s="19" t="inlineStr">
        <is>
          <t>E</t>
        </is>
      </c>
      <c r="K143" s="19" t="inlineStr"/>
      <c r="L143" s="19" t="inlineStr"/>
    </row>
    <row r="144">
      <c r="A144" s="22" t="inlineStr">
        <is>
          <t>RX739465</t>
        </is>
      </c>
      <c r="B144" s="23" t="inlineStr">
        <is>
          <t>Republic Service Inv# 0710-005914497</t>
        </is>
      </c>
      <c r="C144" s="22" t="inlineStr">
        <is>
          <t>CHICAGO POLICE DEPARTMENT</t>
        </is>
      </c>
      <c r="D144" s="22" t="inlineStr">
        <is>
          <t xml:space="preserve">REPUBLIC SERVICES INC </t>
        </is>
      </c>
      <c r="E144" s="22" t="n">
        <v>1</v>
      </c>
      <c r="F144" s="22" t="n">
        <v>1</v>
      </c>
      <c r="G144" s="24" t="n">
        <v>4891.34</v>
      </c>
      <c r="H144" s="22" t="inlineStr">
        <is>
          <t>A. Specification Development Phase</t>
        </is>
      </c>
      <c r="I144" s="22" t="inlineStr">
        <is>
          <t>Still open</t>
        </is>
      </c>
      <c r="J144" s="22" t="inlineStr">
        <is>
          <t>E</t>
        </is>
      </c>
      <c r="K144" s="22" t="inlineStr"/>
      <c r="L144" s="22" t="inlineStr"/>
    </row>
    <row r="145">
      <c r="A145" s="19" t="inlineStr">
        <is>
          <t>VDDELL MARKETING L P</t>
        </is>
      </c>
      <c r="B145" s="20" t="inlineStr">
        <is>
          <t>All In One Desktops</t>
        </is>
      </c>
      <c r="C145" s="19" t="inlineStr">
        <is>
          <t>CHICAGO DEPARTMENT OF PUBLIC HEALTH</t>
        </is>
      </c>
      <c r="D145" s="19" t="inlineStr">
        <is>
          <t>DELL MARKETING L.P.</t>
        </is>
      </c>
      <c r="E145" s="19" t="n">
        <v>1</v>
      </c>
      <c r="F145" s="19" t="n">
        <v>1</v>
      </c>
      <c r="G145" s="21" t="n">
        <v>4815</v>
      </c>
      <c r="H145" s="19" t="inlineStr">
        <is>
          <t>H. One Time Purchase</t>
        </is>
      </c>
      <c r="I145" s="26" t="inlineStr">
        <is>
          <t>Claimed awarded - UNVERIFIED</t>
        </is>
      </c>
      <c r="J145" s="19" t="inlineStr">
        <is>
          <t>E</t>
        </is>
      </c>
      <c r="K145" s="19" t="inlineStr"/>
      <c r="L145" s="19" t="inlineStr"/>
    </row>
    <row r="146">
      <c r="A146" s="22" t="inlineStr">
        <is>
          <t>RX610618</t>
        </is>
      </c>
      <c r="B146" s="23" t="inlineStr">
        <is>
          <t>A VLI was submitted to DPS in October 2024 under Rx 623996. We held invoices for the past five months in anticipation of the VLI approval, in an effor</t>
        </is>
      </c>
      <c r="C146" s="22" t="inlineStr">
        <is>
          <t>DEPARTMENT OF FLEET AND FACILITY MANAGEMENT</t>
        </is>
      </c>
      <c r="D146" s="22" t="inlineStr">
        <is>
          <t>CANON SOLUTIONS AMERICA, INC</t>
        </is>
      </c>
      <c r="E146" s="22" t="n">
        <v>1</v>
      </c>
      <c r="F146" s="22" t="n">
        <v>1</v>
      </c>
      <c r="G146" s="24" t="n">
        <v>4492.25</v>
      </c>
      <c r="H146" s="22" t="inlineStr">
        <is>
          <t>F. SC - (Signature Cycle)</t>
        </is>
      </c>
      <c r="I146" s="22" t="inlineStr">
        <is>
          <t>Still open</t>
        </is>
      </c>
      <c r="J146" s="22" t="inlineStr">
        <is>
          <t>E</t>
        </is>
      </c>
      <c r="K146" s="22" t="inlineStr"/>
      <c r="L146" s="22" t="inlineStr"/>
    </row>
    <row r="147">
      <c r="A147" s="19" t="inlineStr">
        <is>
          <t>RX741082</t>
        </is>
      </c>
      <c r="B147" s="20" t="inlineStr">
        <is>
          <t>LKP Legislative services</t>
        </is>
      </c>
      <c r="C147" s="19" t="inlineStr">
        <is>
          <t>OFFICE OF THE MAYOR</t>
        </is>
      </c>
      <c r="D147" s="19" t="inlineStr">
        <is>
          <t>LKP CONSULTING LLC</t>
        </is>
      </c>
      <c r="E147" s="19" t="n">
        <v>1</v>
      </c>
      <c r="F147" s="19" t="n">
        <v>1</v>
      </c>
      <c r="G147" s="21" t="n">
        <v>4000</v>
      </c>
      <c r="H147" s="19" t="inlineStr">
        <is>
          <t>H. One Time Purchase</t>
        </is>
      </c>
      <c r="I147" s="19" t="inlineStr">
        <is>
          <t>Still open</t>
        </is>
      </c>
      <c r="J147" s="19" t="inlineStr">
        <is>
          <t>A</t>
        </is>
      </c>
      <c r="K147" s="19" t="inlineStr">
        <is>
          <t>386406</t>
        </is>
      </c>
      <c r="L147" s="19" t="inlineStr">
        <is>
          <t>SOLE SOURCE</t>
        </is>
      </c>
    </row>
    <row r="148">
      <c r="A148" s="22" t="inlineStr">
        <is>
          <t>RX636139</t>
        </is>
      </c>
      <c r="B148" s="23" t="inlineStr">
        <is>
          <t>State Required Safety Lane Inspections for Public Safety Vehicles</t>
        </is>
      </c>
      <c r="C148" s="22" t="inlineStr">
        <is>
          <t>CHICAGO FIRE DEPARTMENT</t>
        </is>
      </c>
      <c r="D148" s="22" t="inlineStr">
        <is>
          <t>ACORN GARAGE INC</t>
        </is>
      </c>
      <c r="E148" s="22" t="n">
        <v>6</v>
      </c>
      <c r="F148" s="22" t="n">
        <v>2</v>
      </c>
      <c r="G148" s="24" t="n">
        <v>3783</v>
      </c>
      <c r="H148" s="22" t="inlineStr">
        <is>
          <t>A. Specification Development Phase</t>
        </is>
      </c>
      <c r="I148" s="22" t="inlineStr">
        <is>
          <t>Still open</t>
        </is>
      </c>
      <c r="J148" s="22" t="inlineStr">
        <is>
          <t>E</t>
        </is>
      </c>
      <c r="K148" s="22" t="inlineStr"/>
      <c r="L148" s="22" t="inlineStr"/>
    </row>
    <row r="149">
      <c r="A149" s="19" t="inlineStr">
        <is>
          <t>RX617991</t>
        </is>
      </c>
      <c r="B149" s="20" t="inlineStr">
        <is>
          <t>TB/GR/2 INVOICES/$2999.00</t>
        </is>
      </c>
      <c r="C149" s="19" t="inlineStr">
        <is>
          <t>DEPARTMENT OF FLEET AND FACILITY MANAGEMENT</t>
        </is>
      </c>
      <c r="D149" s="19" t="inlineStr">
        <is>
          <t>HEIDELBERG USA INC.</t>
        </is>
      </c>
      <c r="E149" s="19" t="n">
        <v>2</v>
      </c>
      <c r="F149" s="19" t="n">
        <v>1</v>
      </c>
      <c r="G149" s="21" t="n">
        <v>3726.43</v>
      </c>
      <c r="H149" s="19" t="inlineStr">
        <is>
          <t>B. City Law Review</t>
        </is>
      </c>
      <c r="I149" s="19" t="inlineStr">
        <is>
          <t>Still open</t>
        </is>
      </c>
      <c r="J149" s="19" t="inlineStr">
        <is>
          <t>E</t>
        </is>
      </c>
      <c r="K149" s="19" t="inlineStr"/>
      <c r="L149" s="19" t="inlineStr"/>
    </row>
    <row r="150">
      <c r="A150" s="22" t="inlineStr">
        <is>
          <t>RX721077</t>
        </is>
      </c>
      <c r="B150" s="23" t="inlineStr">
        <is>
          <t>Hastings 1033282 B   JS/ JG/ Invoice Number: O38604D102-B/ $3,451.50/ January / Exhaust System Maint Pt. 2</t>
        </is>
      </c>
      <c r="C150" s="22" t="inlineStr">
        <is>
          <t>DEPARTMENT OF FLEET AND FACILITY MANAGEMENT</t>
        </is>
      </c>
      <c r="D150" s="22" t="inlineStr">
        <is>
          <t>HASTINGS AIR ENERGY CONTROL</t>
        </is>
      </c>
      <c r="E150" s="22" t="n">
        <v>1</v>
      </c>
      <c r="F150" s="22" t="n">
        <v>1</v>
      </c>
      <c r="G150" s="24" t="n">
        <v>3451.5</v>
      </c>
      <c r="H150" s="22" t="inlineStr">
        <is>
          <t>A. Specification Development Phase</t>
        </is>
      </c>
      <c r="I150" s="25" t="inlineStr">
        <is>
          <t>Claimed awarded - UNVERIFIED</t>
        </is>
      </c>
      <c r="J150" s="22" t="inlineStr">
        <is>
          <t>E</t>
        </is>
      </c>
      <c r="K150" s="22" t="inlineStr"/>
      <c r="L150" s="22" t="inlineStr"/>
    </row>
    <row r="151">
      <c r="A151" s="19" t="inlineStr">
        <is>
          <t>VDFRANK COONEY DBA EDUCATIONAL</t>
        </is>
      </c>
      <c r="B151" s="20" t="inlineStr">
        <is>
          <t>FRANK COONEY, INV# 7005, INVOICE DATE 2/18/26, AMOUNT $2,893.75</t>
        </is>
      </c>
      <c r="C151" s="19" t="inlineStr">
        <is>
          <t>DEPARTMENT OF HUMAN RESOURCES</t>
        </is>
      </c>
      <c r="D151" s="19" t="inlineStr">
        <is>
          <t>FRANK COONEY CO, INC. DBA EDUCATIONAL ENVIRONMENTS</t>
        </is>
      </c>
      <c r="E151" s="19" t="n">
        <v>1</v>
      </c>
      <c r="F151" s="19" t="n">
        <v>1</v>
      </c>
      <c r="G151" s="21" t="n">
        <v>2893.75</v>
      </c>
      <c r="H151" s="19" t="inlineStr">
        <is>
          <t>H. One Time Purchase</t>
        </is>
      </c>
      <c r="I151" s="26" t="inlineStr">
        <is>
          <t>Claimed awarded - UNVERIFIED</t>
        </is>
      </c>
      <c r="J151" s="19" t="inlineStr">
        <is>
          <t>E</t>
        </is>
      </c>
      <c r="K151" s="19" t="inlineStr"/>
      <c r="L151" s="19" t="inlineStr"/>
    </row>
    <row r="152">
      <c r="A152" s="22" t="inlineStr">
        <is>
          <t>VDEUSEBIO MOLINA</t>
        </is>
      </c>
      <c r="B152" s="23" t="inlineStr">
        <is>
          <t>Eusebio Molina Invoice for 10/23/2025</t>
        </is>
      </c>
      <c r="C152" s="22" t="inlineStr">
        <is>
          <t>DEPARTMENT OF PLANNING AND DEVELOPMENT</t>
        </is>
      </c>
      <c r="D152" s="22" t="inlineStr">
        <is>
          <t>Eusebio Molina</t>
        </is>
      </c>
      <c r="E152" s="22" t="n">
        <v>1</v>
      </c>
      <c r="F152" s="22" t="n">
        <v>1</v>
      </c>
      <c r="G152" s="24" t="n">
        <v>2100</v>
      </c>
      <c r="H152" s="22" t="inlineStr"/>
      <c r="I152" s="22" t="inlineStr">
        <is>
          <t>Still open</t>
        </is>
      </c>
      <c r="J152" s="22" t="inlineStr">
        <is>
          <t>E</t>
        </is>
      </c>
      <c r="K152" s="22" t="inlineStr"/>
      <c r="L152" s="22" t="inlineStr"/>
    </row>
    <row r="153">
      <c r="A153" s="19" t="inlineStr">
        <is>
          <t>RX728355</t>
        </is>
      </c>
      <c r="B153" s="20" t="inlineStr">
        <is>
          <t>medical pharmaceuticals Wood Dale Pharmacy - Apr 2026</t>
        </is>
      </c>
      <c r="C153" s="19" t="inlineStr">
        <is>
          <t>CHICAGO ANIMAL CARE AND CONTROL</t>
        </is>
      </c>
      <c r="D153" s="19" t="inlineStr">
        <is>
          <t>Wood Dale Pharmacy</t>
        </is>
      </c>
      <c r="E153" s="19" t="n">
        <v>1</v>
      </c>
      <c r="F153" s="19" t="n">
        <v>1</v>
      </c>
      <c r="G153" s="21" t="n">
        <v>2013.4</v>
      </c>
      <c r="H153" s="19" t="inlineStr">
        <is>
          <t>B. City Law Review</t>
        </is>
      </c>
      <c r="I153" s="19" t="inlineStr">
        <is>
          <t>Still open</t>
        </is>
      </c>
      <c r="J153" s="19" t="inlineStr">
        <is>
          <t>E</t>
        </is>
      </c>
      <c r="K153" s="19" t="inlineStr"/>
      <c r="L153" s="19" t="inlineStr"/>
    </row>
    <row r="154">
      <c r="A154" s="22" t="inlineStr">
        <is>
          <t>RX634676</t>
        </is>
      </c>
      <c r="B154" s="23" t="inlineStr">
        <is>
          <t>WB/JR/INVOICE #9026432648/$1830.40</t>
        </is>
      </c>
      <c r="C154" s="22" t="inlineStr">
        <is>
          <t>DEPARTMENT OF FLEET AND FACILITY MANAGEMENT</t>
        </is>
      </c>
      <c r="D154" s="22" t="inlineStr">
        <is>
          <t>WILLIAMS SCOTSMAN, INC</t>
        </is>
      </c>
      <c r="E154" s="22" t="n">
        <v>1</v>
      </c>
      <c r="F154" s="22" t="n">
        <v>1</v>
      </c>
      <c r="G154" s="24" t="n">
        <v>1830.4</v>
      </c>
      <c r="H154" s="22" t="inlineStr">
        <is>
          <t>A. Specification Development Phase</t>
        </is>
      </c>
      <c r="I154" s="22" t="inlineStr">
        <is>
          <t>Still open</t>
        </is>
      </c>
      <c r="J154" s="22" t="inlineStr">
        <is>
          <t>E</t>
        </is>
      </c>
      <c r="K154" s="22" t="inlineStr"/>
      <c r="L154" s="22" t="inlineStr"/>
    </row>
    <row r="155">
      <c r="A155" s="19" t="inlineStr">
        <is>
          <t>RX695898</t>
        </is>
      </c>
      <c r="B155" s="20" t="inlineStr">
        <is>
          <t>QUOTE#0578146</t>
        </is>
      </c>
      <c r="C155" s="19" t="inlineStr">
        <is>
          <t>CHICAGO FIRE DEPARTMENT</t>
        </is>
      </c>
      <c r="D155" s="19" t="inlineStr">
        <is>
          <t>TELEFLEX LLC</t>
        </is>
      </c>
      <c r="E155" s="19" t="n">
        <v>1</v>
      </c>
      <c r="F155" s="19" t="n">
        <v>1</v>
      </c>
      <c r="G155" s="21" t="n">
        <v>1735</v>
      </c>
      <c r="H155" s="19" t="inlineStr">
        <is>
          <t>A. Specification Development Phase</t>
        </is>
      </c>
      <c r="I155" s="19" t="inlineStr">
        <is>
          <t>Still open</t>
        </is>
      </c>
      <c r="J155" s="19" t="inlineStr">
        <is>
          <t>E</t>
        </is>
      </c>
      <c r="K155" s="19" t="inlineStr"/>
      <c r="L155" s="19" t="inlineStr"/>
    </row>
    <row r="156">
      <c r="A156" s="22" t="inlineStr">
        <is>
          <t>RX680611</t>
        </is>
      </c>
      <c r="B156" s="23" t="inlineStr">
        <is>
          <t>INV#204824</t>
        </is>
      </c>
      <c r="C156" s="22" t="inlineStr">
        <is>
          <t>CHICAGO FIRE DEPARTMENT</t>
        </is>
      </c>
      <c r="D156" s="22" t="inlineStr">
        <is>
          <t>ACORN GARAGE INC</t>
        </is>
      </c>
      <c r="E156" s="22" t="n">
        <v>2</v>
      </c>
      <c r="F156" s="22" t="n">
        <v>1</v>
      </c>
      <c r="G156" s="24" t="n">
        <v>1521</v>
      </c>
      <c r="H156" s="22" t="inlineStr">
        <is>
          <t>H. One Time Purchase</t>
        </is>
      </c>
      <c r="I156" s="22" t="inlineStr">
        <is>
          <t>Still open</t>
        </is>
      </c>
      <c r="J156" s="22" t="inlineStr">
        <is>
          <t>E</t>
        </is>
      </c>
      <c r="K156" s="22" t="inlineStr"/>
      <c r="L156" s="22" t="inlineStr"/>
    </row>
    <row r="157">
      <c r="A157" s="19" t="inlineStr">
        <is>
          <t>RX693953</t>
        </is>
      </c>
      <c r="B157" s="20" t="inlineStr">
        <is>
          <t>WEB HOSTING, PRINTING AND MAIL MANAGEMENT SERVICES FOR CITY BILLINGS; DOB, WATER, &amp; SEWER</t>
        </is>
      </c>
      <c r="C157" s="19" t="inlineStr">
        <is>
          <t>DEPARTMENT OF BUILDINGS</t>
        </is>
      </c>
      <c r="D157" s="19" t="inlineStr">
        <is>
          <t>SEBIS DIRECT</t>
        </is>
      </c>
      <c r="E157" s="19" t="n">
        <v>2</v>
      </c>
      <c r="F157" s="19" t="n">
        <v>1</v>
      </c>
      <c r="G157" s="21" t="n">
        <v>1161.8</v>
      </c>
      <c r="H157" s="19" t="inlineStr">
        <is>
          <t>F. SC - (Signature Cycle)</t>
        </is>
      </c>
      <c r="I157" s="19" t="inlineStr">
        <is>
          <t>Still open</t>
        </is>
      </c>
      <c r="J157" s="19" t="inlineStr">
        <is>
          <t>E</t>
        </is>
      </c>
      <c r="K157" s="19" t="inlineStr"/>
      <c r="L157" s="19" t="inlineStr"/>
    </row>
    <row r="158">
      <c r="A158" s="22" t="inlineStr">
        <is>
          <t>RX721173</t>
        </is>
      </c>
      <c r="B158" s="23" t="inlineStr">
        <is>
          <t>CONTRACT CURRENTLY WITH DPS FOR APPROVAL</t>
        </is>
      </c>
      <c r="C158" s="22" t="inlineStr">
        <is>
          <t>CHICAGO ANIMAL CARE AND CONTROL</t>
        </is>
      </c>
      <c r="D158" s="22" t="inlineStr">
        <is>
          <t>RADIATION DETECTION COMPANY</t>
        </is>
      </c>
      <c r="E158" s="22" t="n">
        <v>2</v>
      </c>
      <c r="F158" s="22" t="n">
        <v>1</v>
      </c>
      <c r="G158" s="24" t="n">
        <v>1013.42</v>
      </c>
      <c r="H158" s="22" t="inlineStr">
        <is>
          <t>B. City Law Review</t>
        </is>
      </c>
      <c r="I158" s="22" t="inlineStr">
        <is>
          <t>Still open</t>
        </is>
      </c>
      <c r="J158" s="22" t="inlineStr">
        <is>
          <t>E</t>
        </is>
      </c>
      <c r="K158" s="22" t="inlineStr"/>
      <c r="L158" s="22" t="inlineStr"/>
    </row>
    <row r="159">
      <c r="A159" s="19" t="inlineStr">
        <is>
          <t>VDWALZ SCALES</t>
        </is>
      </c>
      <c r="B159" s="20" t="inlineStr">
        <is>
          <t>SCALES CERTIFICATION</t>
        </is>
      </c>
      <c r="C159" s="19" t="inlineStr">
        <is>
          <t>DEPARTMENT OF BUSINESS AFFAIRS AND CONSUMER PROTECTION</t>
        </is>
      </c>
      <c r="D159" s="19" t="inlineStr">
        <is>
          <t>WALZ SCALES CO.</t>
        </is>
      </c>
      <c r="E159" s="19" t="n">
        <v>1</v>
      </c>
      <c r="F159" s="19" t="n">
        <v>1</v>
      </c>
      <c r="G159" s="21" t="n">
        <v>980</v>
      </c>
      <c r="H159" s="19" t="inlineStr">
        <is>
          <t>H. One Time Purchase</t>
        </is>
      </c>
      <c r="I159" s="19" t="inlineStr">
        <is>
          <t>Still open</t>
        </is>
      </c>
      <c r="J159" s="19" t="inlineStr">
        <is>
          <t>E</t>
        </is>
      </c>
      <c r="K159" s="19" t="inlineStr"/>
      <c r="L159" s="19" t="inlineStr"/>
    </row>
    <row r="160">
      <c r="A160" s="22" t="inlineStr">
        <is>
          <t>VDINTEGRATED SOLUTIONS CONSULT</t>
        </is>
      </c>
      <c r="B160" s="23" t="inlineStr">
        <is>
          <t>M02o5nthly Hosting Fee</t>
        </is>
      </c>
      <c r="C160" s="22" t="inlineStr">
        <is>
          <t>CHICAGO DEPARTMENT OF PUBLIC HEALTH</t>
        </is>
      </c>
      <c r="D160" s="22" t="inlineStr">
        <is>
          <t>INTEGRATED SOLUTIONS CONSULTING CORPORATION</t>
        </is>
      </c>
      <c r="E160" s="22" t="n">
        <v>1</v>
      </c>
      <c r="F160" s="22" t="n">
        <v>1</v>
      </c>
      <c r="G160" s="24" t="n">
        <v>833</v>
      </c>
      <c r="H160" s="22" t="inlineStr">
        <is>
          <t>B. City Law Review</t>
        </is>
      </c>
      <c r="I160" s="22" t="inlineStr">
        <is>
          <t>Still open</t>
        </is>
      </c>
      <c r="J160" s="22" t="inlineStr">
        <is>
          <t>C</t>
        </is>
      </c>
      <c r="K160" s="22" t="inlineStr">
        <is>
          <t>386925</t>
        </is>
      </c>
      <c r="L160" s="22" t="inlineStr">
        <is>
          <t>SOLE SOURCE</t>
        </is>
      </c>
    </row>
    <row r="161">
      <c r="A161" s="19" t="inlineStr">
        <is>
          <t>RX660908</t>
        </is>
      </c>
      <c r="B161" s="20" t="inlineStr">
        <is>
          <t>TB/DC/INV#68384/$825.00</t>
        </is>
      </c>
      <c r="C161" s="19" t="inlineStr">
        <is>
          <t>DEPARTMENT OF FLEET AND FACILITY MANAGEMENT</t>
        </is>
      </c>
      <c r="D161" s="19" t="inlineStr">
        <is>
          <t>WGN FLAG &amp; DECORATING CO</t>
        </is>
      </c>
      <c r="E161" s="19" t="n">
        <v>1</v>
      </c>
      <c r="F161" s="19" t="n">
        <v>1</v>
      </c>
      <c r="G161" s="21" t="n">
        <v>825</v>
      </c>
      <c r="H161" s="19" t="inlineStr">
        <is>
          <t>B. City Law Review</t>
        </is>
      </c>
      <c r="I161" s="19" t="inlineStr">
        <is>
          <t>Still open</t>
        </is>
      </c>
      <c r="J161" s="19" t="inlineStr">
        <is>
          <t>E</t>
        </is>
      </c>
      <c r="K161" s="19" t="inlineStr"/>
      <c r="L161" s="19" t="inlineStr"/>
    </row>
    <row r="162">
      <c r="A162" s="22" t="inlineStr">
        <is>
          <t>VDMICROSYSTEMS</t>
        </is>
      </c>
      <c r="B162" s="23" t="inlineStr">
        <is>
          <t>de-binding services for City Council archival preservation project.</t>
        </is>
      </c>
      <c r="C162" s="22" t="inlineStr">
        <is>
          <t>OFFICE OF CITY CLERK</t>
        </is>
      </c>
      <c r="D162" s="22" t="inlineStr">
        <is>
          <t>Microsystems, Inc.</t>
        </is>
      </c>
      <c r="E162" s="22" t="n">
        <v>1</v>
      </c>
      <c r="F162" s="22" t="n">
        <v>1</v>
      </c>
      <c r="G162" s="24" t="n">
        <v>825</v>
      </c>
      <c r="H162" s="22" t="inlineStr">
        <is>
          <t>H. One Time Purchase</t>
        </is>
      </c>
      <c r="I162" s="22" t="inlineStr">
        <is>
          <t>Still open</t>
        </is>
      </c>
      <c r="J162" s="22" t="inlineStr">
        <is>
          <t>E</t>
        </is>
      </c>
      <c r="K162" s="22" t="inlineStr"/>
      <c r="L162" s="22" t="inlineStr"/>
    </row>
    <row r="163">
      <c r="A163" s="19" t="inlineStr">
        <is>
          <t>VDROLLINS DBA ORKIN</t>
        </is>
      </c>
      <c r="B163" s="20" t="inlineStr">
        <is>
          <t>Orkin - pest control treatment at satellite office</t>
        </is>
      </c>
      <c r="C163" s="19" t="inlineStr">
        <is>
          <t>OFFICE OF CITY CLERK</t>
        </is>
      </c>
      <c r="D163" s="19" t="inlineStr">
        <is>
          <t>Rollins, Inc. dba Orkin, LLC</t>
        </is>
      </c>
      <c r="E163" s="19" t="n">
        <v>1</v>
      </c>
      <c r="F163" s="19" t="n">
        <v>1</v>
      </c>
      <c r="G163" s="21" t="n">
        <v>800</v>
      </c>
      <c r="H163" s="19" t="inlineStr">
        <is>
          <t>H. One Time Purchase</t>
        </is>
      </c>
      <c r="I163" s="19" t="inlineStr">
        <is>
          <t>Still open</t>
        </is>
      </c>
      <c r="J163" s="19" t="inlineStr">
        <is>
          <t>E</t>
        </is>
      </c>
      <c r="K163" s="19" t="inlineStr"/>
      <c r="L163" s="19" t="inlineStr"/>
    </row>
    <row r="164">
      <c r="A164" s="22" t="inlineStr">
        <is>
          <t>VDA M C MECHANICAL</t>
        </is>
      </c>
      <c r="B164" s="23" t="inlineStr">
        <is>
          <t>Replace 2-12V Batteries for Core point Scientific Ric</t>
        </is>
      </c>
      <c r="C164" s="22" t="inlineStr">
        <is>
          <t>CHICAGO DEPARTMENT OF PUBLIC HEALTH</t>
        </is>
      </c>
      <c r="D164" s="22" t="inlineStr">
        <is>
          <t>A. M. C. MECHANICAL, INC.</t>
        </is>
      </c>
      <c r="E164" s="22" t="n">
        <v>1</v>
      </c>
      <c r="F164" s="22" t="n">
        <v>1</v>
      </c>
      <c r="G164" s="24" t="n">
        <v>787.58</v>
      </c>
      <c r="H164" s="22" t="inlineStr">
        <is>
          <t>H. One Time Purchase</t>
        </is>
      </c>
      <c r="I164" s="22" t="inlineStr">
        <is>
          <t>Still open</t>
        </is>
      </c>
      <c r="J164" s="22" t="inlineStr">
        <is>
          <t>E</t>
        </is>
      </c>
      <c r="K164" s="22" t="inlineStr"/>
      <c r="L164" s="22" t="inlineStr"/>
    </row>
    <row r="165">
      <c r="A165" s="19" t="inlineStr">
        <is>
          <t>RX701842</t>
        </is>
      </c>
      <c r="B165" s="20" t="inlineStr">
        <is>
          <t>RENTAL AND MAINTENANCE OF PORTABLE CHEMICAL TOILETS, SINKS, WASTE WATER BARRELS, PORTABLE WATERLESS HAND SANITIZER DISPENSERS, FRESH WATER TRAILER AND</t>
        </is>
      </c>
      <c r="C165" s="19" t="inlineStr">
        <is>
          <t>DEPARTMENT OF PROCUREMENT SERVICES</t>
        </is>
      </c>
      <c r="D165" s="19" t="inlineStr">
        <is>
          <t>Service Sanitation Inc.</t>
        </is>
      </c>
      <c r="E165" s="19" t="n">
        <v>4</v>
      </c>
      <c r="F165" s="19" t="n">
        <v>1</v>
      </c>
      <c r="G165" s="21" t="n">
        <v>725</v>
      </c>
      <c r="H165" s="19" t="inlineStr">
        <is>
          <t>F. SC - (Signature Cycle)</t>
        </is>
      </c>
      <c r="I165" s="28" t="inlineStr">
        <is>
          <t>Converted - competitive award</t>
        </is>
      </c>
      <c r="J165" s="19" t="inlineStr">
        <is>
          <t>B</t>
        </is>
      </c>
      <c r="K165" s="19" t="inlineStr">
        <is>
          <t>381051</t>
        </is>
      </c>
      <c r="L165" s="19" t="inlineStr">
        <is>
          <t>BID</t>
        </is>
      </c>
    </row>
    <row r="166">
      <c r="A166" s="22" t="inlineStr">
        <is>
          <t>VDFACILITRON</t>
        </is>
      </c>
      <c r="B166" s="23" t="inlineStr">
        <is>
          <t>Facilitron payment for CityKey/MCH event.</t>
        </is>
      </c>
      <c r="C166" s="22" t="inlineStr">
        <is>
          <t>OFFICE OF CITY CLERK</t>
        </is>
      </c>
      <c r="D166" s="22" t="inlineStr">
        <is>
          <t>Facilitron, Inc.</t>
        </is>
      </c>
      <c r="E166" s="22" t="n">
        <v>1</v>
      </c>
      <c r="F166" s="22" t="n">
        <v>1</v>
      </c>
      <c r="G166" s="24" t="n">
        <v>529.83</v>
      </c>
      <c r="H166" s="22" t="inlineStr">
        <is>
          <t>H. One Time Purchase</t>
        </is>
      </c>
      <c r="I166" s="22" t="inlineStr">
        <is>
          <t>Still open</t>
        </is>
      </c>
      <c r="J166" s="22" t="inlineStr">
        <is>
          <t>E</t>
        </is>
      </c>
      <c r="K166" s="22" t="inlineStr"/>
      <c r="L166" s="22" t="inlineStr"/>
    </row>
    <row r="167">
      <c r="A167" s="19" t="inlineStr">
        <is>
          <t>RX664572</t>
        </is>
      </c>
      <c r="B167" s="20" t="inlineStr">
        <is>
          <t>20261307 - T.G.</t>
        </is>
      </c>
      <c r="C167" s="19" t="inlineStr">
        <is>
          <t>CHICAGO PUBLIC LIBRARY</t>
        </is>
      </c>
      <c r="D167" s="19" t="inlineStr">
        <is>
          <t>TORYON TECHNOLOGIES INC</t>
        </is>
      </c>
      <c r="E167" s="19" t="n">
        <v>1</v>
      </c>
      <c r="F167" s="19" t="n">
        <v>1</v>
      </c>
      <c r="G167" s="21" t="n">
        <v>514.16</v>
      </c>
      <c r="H167" s="19" t="inlineStr">
        <is>
          <t>A. Specification Development Phase</t>
        </is>
      </c>
      <c r="I167" s="19" t="inlineStr">
        <is>
          <t>Still open</t>
        </is>
      </c>
      <c r="J167" s="19" t="inlineStr">
        <is>
          <t>E</t>
        </is>
      </c>
      <c r="K167" s="19" t="inlineStr"/>
      <c r="L167" s="19" t="inlineStr"/>
    </row>
    <row r="168">
      <c r="A168" s="22" t="inlineStr">
        <is>
          <t>RX653063</t>
        </is>
      </c>
      <c r="B168" s="23" t="inlineStr">
        <is>
          <t>MAINTENANCE AND REPAIR SERVICE ON TRUCK SCALES. - QUARTERLY TRUCK SCALE MAINTENANCE AND REPAIRS PER DETAILED SPECIFICATION Q4 2025</t>
        </is>
      </c>
      <c r="C168" s="22" t="inlineStr">
        <is>
          <t>DEPARTMENT OF PROCUREMENT SERVICES</t>
        </is>
      </c>
      <c r="D168" s="22" t="inlineStr">
        <is>
          <t>A BEST SCALE CO</t>
        </is>
      </c>
      <c r="E168" s="22" t="n">
        <v>1</v>
      </c>
      <c r="F168" s="22" t="n">
        <v>1</v>
      </c>
      <c r="G168" s="24" t="n">
        <v>450</v>
      </c>
      <c r="H168" s="22" t="inlineStr">
        <is>
          <t>F. SC - (Signature Cycle)</t>
        </is>
      </c>
      <c r="I168" s="30" t="inlineStr">
        <is>
          <t>Converted - competitive award</t>
        </is>
      </c>
      <c r="J168" s="22" t="inlineStr">
        <is>
          <t>A</t>
        </is>
      </c>
      <c r="K168" s="22" t="inlineStr">
        <is>
          <t>383993</t>
        </is>
      </c>
      <c r="L168" s="22" t="inlineStr">
        <is>
          <t>BID</t>
        </is>
      </c>
    </row>
    <row r="169">
      <c r="A169" s="19" t="inlineStr">
        <is>
          <t>RX569467</t>
        </is>
      </c>
      <c r="B169" s="20" t="inlineStr">
        <is>
          <t>CHICAGO UNITED 171076 / JK/ MM/ INVOICE #37743 / $424.32</t>
        </is>
      </c>
      <c r="C169" s="19" t="inlineStr">
        <is>
          <t>DEPARTMENT OF FLEET AND FACILITY MANAGEMENT</t>
        </is>
      </c>
      <c r="D169" s="19" t="inlineStr">
        <is>
          <t>CHICAGO UNITED INDUSTRIES, LTD</t>
        </is>
      </c>
      <c r="E169" s="19" t="n">
        <v>1</v>
      </c>
      <c r="F169" s="19" t="n">
        <v>1</v>
      </c>
      <c r="G169" s="21" t="n">
        <v>424.32</v>
      </c>
      <c r="H169" s="19" t="inlineStr">
        <is>
          <t>H. One Time Purchase</t>
        </is>
      </c>
      <c r="I169" s="26" t="inlineStr">
        <is>
          <t>Claimed awarded - UNVERIFIED</t>
        </is>
      </c>
      <c r="J169" s="19" t="inlineStr">
        <is>
          <t>E</t>
        </is>
      </c>
      <c r="K169" s="19" t="inlineStr"/>
      <c r="L169" s="19" t="inlineStr"/>
    </row>
    <row r="170">
      <c r="A170" s="22" t="inlineStr">
        <is>
          <t>VDRADIATION DETECTION</t>
        </is>
      </c>
      <c r="B170" s="23" t="inlineStr">
        <is>
          <t>X-Ray detection badges - 2025 Invoice</t>
        </is>
      </c>
      <c r="C170" s="22" t="inlineStr">
        <is>
          <t>CHICAGO ANIMAL CARE AND CONTROL</t>
        </is>
      </c>
      <c r="D170" s="22" t="inlineStr">
        <is>
          <t>RADIATION DETECTION COMPANY</t>
        </is>
      </c>
      <c r="E170" s="22" t="n">
        <v>1</v>
      </c>
      <c r="F170" s="22" t="n">
        <v>1</v>
      </c>
      <c r="G170" s="24" t="n">
        <v>381.58</v>
      </c>
      <c r="H170" s="22" t="inlineStr">
        <is>
          <t>H. One Time Purchase</t>
        </is>
      </c>
      <c r="I170" s="22" t="inlineStr">
        <is>
          <t>Still open</t>
        </is>
      </c>
      <c r="J170" s="22" t="inlineStr">
        <is>
          <t>E</t>
        </is>
      </c>
      <c r="K170" s="22" t="inlineStr"/>
      <c r="L170" s="22" t="inlineStr"/>
    </row>
    <row r="171">
      <c r="A171" s="19" t="inlineStr">
        <is>
          <t>VDLUSE ENVIRONMENTAL</t>
        </is>
      </c>
      <c r="B171" s="20" t="inlineStr">
        <is>
          <t>ENVIRONMENTAL SERVICES</t>
        </is>
      </c>
      <c r="C171" s="19" t="inlineStr">
        <is>
          <t>CHICAGO DEPARTMENT OF PUBLIC HEALTH</t>
        </is>
      </c>
      <c r="D171" s="19" t="inlineStr">
        <is>
          <t>LUSE ENVIRONMENTAL SERVICES, INC.</t>
        </is>
      </c>
      <c r="E171" s="19" t="n">
        <v>1</v>
      </c>
      <c r="F171" s="19" t="n">
        <v>1</v>
      </c>
      <c r="G171" s="21" t="n">
        <v>370.7</v>
      </c>
      <c r="H171" s="19" t="inlineStr">
        <is>
          <t>G. Not Applicable (Office Depot use Only)</t>
        </is>
      </c>
      <c r="I171" s="19" t="inlineStr">
        <is>
          <t>Still open</t>
        </is>
      </c>
      <c r="J171" s="19" t="inlineStr">
        <is>
          <t>E</t>
        </is>
      </c>
      <c r="K171" s="19" t="inlineStr"/>
      <c r="L171" s="19" t="inlineStr"/>
    </row>
    <row r="172">
      <c r="A172" s="22" t="inlineStr">
        <is>
          <t>VDVERITIV OPERATING</t>
        </is>
      </c>
      <c r="B172" s="23" t="inlineStr">
        <is>
          <t>Parchment Paper for Resolutions</t>
        </is>
      </c>
      <c r="C172" s="22" t="inlineStr">
        <is>
          <t>OFFICE OF CITY CLERK</t>
        </is>
      </c>
      <c r="D172" s="22" t="inlineStr">
        <is>
          <t>VERITIV OPERATING COMPANY</t>
        </is>
      </c>
      <c r="E172" s="22" t="n">
        <v>2</v>
      </c>
      <c r="F172" s="22" t="n">
        <v>1</v>
      </c>
      <c r="G172" s="24" t="n">
        <v>335.35</v>
      </c>
      <c r="H172" s="22" t="inlineStr"/>
      <c r="I172" s="22" t="inlineStr">
        <is>
          <t>Still open</t>
        </is>
      </c>
      <c r="J172" s="22" t="inlineStr">
        <is>
          <t>E</t>
        </is>
      </c>
      <c r="K172" s="22" t="inlineStr"/>
      <c r="L172" s="22" t="inlineStr"/>
    </row>
    <row r="173">
      <c r="A173" s="19" t="inlineStr">
        <is>
          <t>VDACCURATE DOCUMENT DESTRUCTIO</t>
        </is>
      </c>
      <c r="B173" s="20" t="inlineStr">
        <is>
          <t>Accurate Document Destruction (ADD) - Document Shredding Services Four (4) Cabinets DOS: 01/21/2026 Invoice.1592910T095 (Final Invoice)</t>
        </is>
      </c>
      <c r="C173" s="19" t="inlineStr">
        <is>
          <t>DEPARTMENT OF FINANCE</t>
        </is>
      </c>
      <c r="D173" s="19" t="inlineStr">
        <is>
          <t>ACCURATE DOCUMENT DESTRUCTION</t>
        </is>
      </c>
      <c r="E173" s="19" t="n">
        <v>1</v>
      </c>
      <c r="F173" s="19" t="n">
        <v>1</v>
      </c>
      <c r="G173" s="21" t="n">
        <v>276</v>
      </c>
      <c r="H173" s="19" t="inlineStr">
        <is>
          <t>H. One Time Purchase</t>
        </is>
      </c>
      <c r="I173" s="19" t="inlineStr">
        <is>
          <t>Still open</t>
        </is>
      </c>
      <c r="J173" s="19" t="inlineStr">
        <is>
          <t>E</t>
        </is>
      </c>
      <c r="K173" s="19" t="inlineStr"/>
      <c r="L173" s="19" t="inlineStr"/>
    </row>
    <row r="174">
      <c r="A174" s="22" t="inlineStr">
        <is>
          <t>VDBAN KOE SYSTEMS</t>
        </is>
      </c>
      <c r="B174" s="23" t="inlineStr">
        <is>
          <t>Technical support for software upgrade related to business license issuance</t>
        </is>
      </c>
      <c r="C174" s="22" t="inlineStr">
        <is>
          <t>OFFICE OF CITY CLERK</t>
        </is>
      </c>
      <c r="D174" s="22" t="inlineStr">
        <is>
          <t>BAN-KOE SYSTEMS, INC</t>
        </is>
      </c>
      <c r="E174" s="22" t="n">
        <v>1</v>
      </c>
      <c r="F174" s="22" t="n">
        <v>1</v>
      </c>
      <c r="G174" s="24" t="n">
        <v>145</v>
      </c>
      <c r="H174" s="22" t="inlineStr">
        <is>
          <t>H. One Time Purchase</t>
        </is>
      </c>
      <c r="I174" s="22" t="inlineStr">
        <is>
          <t>Still open</t>
        </is>
      </c>
      <c r="J174" s="22" t="inlineStr">
        <is>
          <t>E</t>
        </is>
      </c>
      <c r="K174" s="22" t="inlineStr"/>
      <c r="L174" s="22" t="inlineStr"/>
    </row>
    <row r="175">
      <c r="A175" s="19" t="inlineStr">
        <is>
          <t>RX660559</t>
        </is>
      </c>
      <c r="B175" s="20" t="inlineStr">
        <is>
          <t>RAE Products  708377 A  JS/ PM/ INVOICE # 204502/ $46,777.11/</t>
        </is>
      </c>
      <c r="C175" s="19" t="inlineStr">
        <is>
          <t>DEPARTMENT OF FLEET AND FACILITY MANAGEMENT</t>
        </is>
      </c>
      <c r="D175" s="19" t="inlineStr">
        <is>
          <t>RAE PRODUCTS &amp; CHEMICALS CORP.</t>
        </is>
      </c>
      <c r="E175" s="19" t="n">
        <v>1</v>
      </c>
      <c r="F175" s="19" t="n">
        <v>1</v>
      </c>
      <c r="G175" s="21" t="n">
        <v>0</v>
      </c>
      <c r="H175" s="19" t="inlineStr">
        <is>
          <t>A. Specification Development Phase</t>
        </is>
      </c>
      <c r="I175" s="19" t="inlineStr">
        <is>
          <t>Still open</t>
        </is>
      </c>
      <c r="J175" s="19" t="inlineStr">
        <is>
          <t>E</t>
        </is>
      </c>
      <c r="K175" s="19" t="inlineStr"/>
      <c r="L175" s="19" t="inlineStr"/>
    </row>
    <row r="176">
      <c r="A176" s="22" t="inlineStr">
        <is>
          <t>VDEQUIPMENT DEPOT ILLINOIS</t>
        </is>
      </c>
      <c r="B176" s="23" t="inlineStr">
        <is>
          <t>SVC ORDE#W00980681, W00980669 &amp; W00980680</t>
        </is>
      </c>
      <c r="C176" s="22" t="inlineStr">
        <is>
          <t>OFFICE OF EMERGENCY MANAGEMENT AND COMMUNICATIONS</t>
        </is>
      </c>
      <c r="D176" s="22" t="inlineStr">
        <is>
          <t>EQUIPMENT DEPOT OF ILLINOIS INC</t>
        </is>
      </c>
      <c r="E176" s="22" t="n">
        <v>1</v>
      </c>
      <c r="F176" s="22" t="n">
        <v>1</v>
      </c>
      <c r="G176" s="24" t="n">
        <v>0</v>
      </c>
      <c r="H176" s="22" t="inlineStr">
        <is>
          <t>H. One Time Purchase</t>
        </is>
      </c>
      <c r="I176" s="22" t="inlineStr">
        <is>
          <t>Still open</t>
        </is>
      </c>
      <c r="J176" s="22" t="inlineStr">
        <is>
          <t>E</t>
        </is>
      </c>
      <c r="K176" s="22" t="inlineStr"/>
      <c r="L176" s="22" t="inlineStr"/>
    </row>
    <row r="177">
      <c r="A177" s="19" t="inlineStr">
        <is>
          <t>VDODP BUSINESS SOLUTIONS</t>
        </is>
      </c>
      <c r="B177" s="20" t="inlineStr">
        <is>
          <t>Elizabeth Hernandez Order</t>
        </is>
      </c>
      <c r="C177" s="19" t="inlineStr">
        <is>
          <t>DEPARTMENT OF FLEET AND FACILITY MANAGEMENT</t>
        </is>
      </c>
      <c r="D177" s="19" t="inlineStr">
        <is>
          <t>ODP BUSINESS SOLUTIONS LLC</t>
        </is>
      </c>
      <c r="E177" s="19" t="n">
        <v>1</v>
      </c>
      <c r="F177" s="19" t="n">
        <v>1</v>
      </c>
      <c r="G177" s="21" t="n">
        <v>0</v>
      </c>
      <c r="H177" s="19" t="inlineStr"/>
      <c r="I177" s="19" t="inlineStr">
        <is>
          <t>Still open</t>
        </is>
      </c>
      <c r="J177" s="19" t="inlineStr">
        <is>
          <t>E</t>
        </is>
      </c>
      <c r="K177" s="19" t="inlineStr"/>
      <c r="L177" s="19" t="inlineStr"/>
    </row>
    <row r="178">
      <c r="A178" s="22" t="inlineStr">
        <is>
          <t>VDUNKNOWN</t>
        </is>
      </c>
      <c r="B178" s="23" t="inlineStr">
        <is>
          <t>LIFT TRUCKS, SCISSOR LIFTS AND PALLET JACKS- GROUPS: A, B, C, D, E &amp; F</t>
        </is>
      </c>
      <c r="C178" s="22" t="inlineStr">
        <is>
          <t>DEPARTMENT OF FLEET AND FACILITY MANAGEMENT</t>
        </is>
      </c>
      <c r="D178" s="22" t="inlineStr"/>
      <c r="E178" s="22" t="n">
        <v>1</v>
      </c>
      <c r="F178" s="22" t="n">
        <v>1</v>
      </c>
      <c r="G178" s="24" t="n">
        <v>0</v>
      </c>
      <c r="H178" s="22" t="inlineStr"/>
      <c r="I178" s="22" t="inlineStr">
        <is>
          <t>Still open</t>
        </is>
      </c>
      <c r="J178" s="22" t="inlineStr">
        <is>
          <t>E</t>
        </is>
      </c>
      <c r="K178" s="22" t="inlineStr"/>
      <c r="L178" s="22" t="inlineStr"/>
    </row>
    <row r="179">
      <c r="A179" s="19" t="inlineStr">
        <is>
          <t>VDTRI ANGLE FABRICATION BODY</t>
        </is>
      </c>
      <c r="B179" s="20" t="inlineStr">
        <is>
          <t>Vehicle boot repairs</t>
        </is>
      </c>
      <c r="C179" s="19" t="inlineStr">
        <is>
          <t>DEPARTMENT OF FINANCE</t>
        </is>
      </c>
      <c r="D179" s="19" t="inlineStr">
        <is>
          <t>TRI-ANGLE FABRICATION &amp; BODY</t>
        </is>
      </c>
      <c r="E179" s="19" t="n">
        <v>1</v>
      </c>
      <c r="F179" s="19" t="n">
        <v>1</v>
      </c>
      <c r="G179" s="21" t="n">
        <v>0</v>
      </c>
      <c r="H179" s="19" t="inlineStr">
        <is>
          <t>H. One Time Purchase</t>
        </is>
      </c>
      <c r="I179" s="19" t="inlineStr">
        <is>
          <t>Still open</t>
        </is>
      </c>
      <c r="J179" s="19" t="inlineStr">
        <is>
          <t>E</t>
        </is>
      </c>
      <c r="K179" s="19" t="inlineStr"/>
      <c r="L179" s="19" t="inlineStr"/>
    </row>
  </sheetData>
  <autoFilter ref="A4:L179"/>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ySplit="4" topLeftCell="A5" activePane="bottomLeft" state="frozen"/>
      <selection pane="bottomLeft" activeCell="A1" sqref="A1"/>
    </sheetView>
  </sheetViews>
  <sheetFormatPr baseColWidth="8" defaultRowHeight="15"/>
  <cols>
    <col width="15" customWidth="1" min="1" max="1"/>
    <col width="14" customWidth="1" min="2" max="2"/>
    <col width="30" customWidth="1" min="3" max="3"/>
    <col width="48" customWidth="1" min="4" max="4"/>
    <col width="15" customWidth="1" min="5" max="5"/>
    <col width="17" customWidth="1" min="6" max="6"/>
    <col width="30" customWidth="1" min="7" max="7"/>
    <col width="13" customWidth="1" min="8" max="8"/>
    <col width="18" customWidth="1" min="9" max="9"/>
    <col width="12" customWidth="1" min="10" max="10"/>
    <col width="46" customWidth="1" min="11" max="11"/>
  </cols>
  <sheetData>
    <row r="1" ht="30" customHeight="1">
      <c r="A1" s="1" t="inlineStr">
        <is>
          <t>CONFIRMED CONVERSIONS - EVIDENCE TRAIL</t>
        </is>
      </c>
    </row>
    <row r="2" ht="18" customHeight="1">
      <c r="A2" s="2" t="inlineStr">
        <is>
          <t>Every row here is independently verified: linked to the awarded contract file by ID or vendor+commodity, with the award dated AFTER the Exhibit B request.</t>
        </is>
      </c>
    </row>
    <row r="4" ht="30" customHeight="1">
      <c r="A4" s="6" t="inlineStr">
        <is>
          <t>Exhibit B Req#</t>
        </is>
      </c>
      <c r="B4" s="6" t="inlineStr">
        <is>
          <t>Exhibit B Date</t>
        </is>
      </c>
      <c r="C4" s="6" t="inlineStr">
        <is>
          <t>Department</t>
        </is>
      </c>
      <c r="D4" s="6" t="inlineStr">
        <is>
          <t>Description</t>
        </is>
      </c>
      <c r="E4" s="6" t="inlineStr">
        <is>
          <t>Exhibit B Spend</t>
        </is>
      </c>
      <c r="F4" s="6" t="inlineStr">
        <is>
          <t>Awarded Contract ID</t>
        </is>
      </c>
      <c r="G4" s="6" t="inlineStr">
        <is>
          <t>Awarded Vendor</t>
        </is>
      </c>
      <c r="H4" s="6" t="inlineStr">
        <is>
          <t>Award Date</t>
        </is>
      </c>
      <c r="I4" s="6" t="inlineStr">
        <is>
          <t>Procurement Type</t>
        </is>
      </c>
      <c r="J4" s="6" t="inlineStr">
        <is>
          <t>Competitive?</t>
        </is>
      </c>
      <c r="K4" s="6" t="inlineStr">
        <is>
          <t>Match Basis</t>
        </is>
      </c>
    </row>
    <row r="5">
      <c r="A5" s="19" t="n">
        <v>728515</v>
      </c>
      <c r="B5" s="31" t="n">
        <v>46146</v>
      </c>
      <c r="C5" s="19" t="inlineStr">
        <is>
          <t>DEPARTMENT OF FLEET AND FACILITY MANAGEMENT</t>
        </is>
      </c>
      <c r="D5" s="20" t="inlineStr">
        <is>
          <t>2FM currently holds two helicopter maintenance contracts; however, the Bell 407 and 429 aircraft are not covered under e</t>
        </is>
      </c>
      <c r="E5" s="21" t="n">
        <v>89734.75999999999</v>
      </c>
      <c r="F5" s="19" t="inlineStr">
        <is>
          <t>386844</t>
        </is>
      </c>
      <c r="G5" s="19" t="inlineStr">
        <is>
          <t>Helicopters, Inc.</t>
        </is>
      </c>
      <c r="H5" s="31" t="n">
        <v>46203</v>
      </c>
      <c r="I5" s="19" t="inlineStr">
        <is>
          <t>EMERGENCY</t>
        </is>
      </c>
      <c r="J5" s="19" t="inlineStr">
        <is>
          <t>No</t>
        </is>
      </c>
      <c r="K5" s="20" t="inlineStr">
        <is>
          <t>Requisition ID link: Exhibit B new-contract RX = awarded REQ</t>
        </is>
      </c>
    </row>
    <row r="6">
      <c r="A6" s="22" t="n">
        <v>718284</v>
      </c>
      <c r="B6" s="32" t="n">
        <v>46097</v>
      </c>
      <c r="C6" s="22" t="inlineStr">
        <is>
          <t>DEPARTMENT OF FLEET AND FACILITY MANAGEMENT</t>
        </is>
      </c>
      <c r="D6" s="23" t="inlineStr">
        <is>
          <t>2FM currently holds two helicopter maintenance contracts, however the Bell 407s and 429 aircraft are not under either co</t>
        </is>
      </c>
      <c r="E6" s="24" t="n">
        <v>18935.29</v>
      </c>
      <c r="F6" s="22" t="inlineStr">
        <is>
          <t>386844</t>
        </is>
      </c>
      <c r="G6" s="22" t="inlineStr">
        <is>
          <t>Helicopters, Inc.</t>
        </is>
      </c>
      <c r="H6" s="32" t="n">
        <v>46203</v>
      </c>
      <c r="I6" s="22" t="inlineStr">
        <is>
          <t>EMERGENCY</t>
        </is>
      </c>
      <c r="J6" s="22" t="inlineStr">
        <is>
          <t>No</t>
        </is>
      </c>
      <c r="K6" s="23" t="inlineStr">
        <is>
          <t>Requisition ID link: Exhibit B new-contract RX = awarded REQ</t>
        </is>
      </c>
    </row>
    <row r="7">
      <c r="A7" s="19" t="n">
        <v>710068</v>
      </c>
      <c r="B7" s="31" t="n">
        <v>46048</v>
      </c>
      <c r="C7" s="19" t="inlineStr">
        <is>
          <t>DEPARTMENT OF FLEET AND FACILITY MANAGEMENT</t>
        </is>
      </c>
      <c r="D7" s="20" t="inlineStr">
        <is>
          <t>Helicopter 10633647 A    JS/ BJ/ 6-Invoices/ $18,010.22/ PD911Z/ WO 2603623/ ASR</t>
        </is>
      </c>
      <c r="E7" s="21" t="n">
        <v>18010.22</v>
      </c>
      <c r="F7" s="19" t="inlineStr">
        <is>
          <t>386844</t>
        </is>
      </c>
      <c r="G7" s="19" t="inlineStr">
        <is>
          <t>Helicopters, Inc.</t>
        </is>
      </c>
      <c r="H7" s="31" t="n">
        <v>46203</v>
      </c>
      <c r="I7" s="19" t="inlineStr">
        <is>
          <t>EMERGENCY</t>
        </is>
      </c>
      <c r="J7" s="19" t="inlineStr">
        <is>
          <t>No</t>
        </is>
      </c>
      <c r="K7" s="20" t="inlineStr">
        <is>
          <t>Requisition ID link: Exhibit B new-contract RX = awarded REQ</t>
        </is>
      </c>
    </row>
    <row r="8">
      <c r="A8" s="22" t="n">
        <v>739971</v>
      </c>
      <c r="B8" s="32" t="n">
        <v>46216</v>
      </c>
      <c r="C8" s="22" t="inlineStr">
        <is>
          <t>CHICAGO DEPARTMENT OF AVIATION</t>
        </is>
      </c>
      <c r="D8" s="23" t="inlineStr">
        <is>
          <t>3 Invoices forACCT#1750627 Weather Augment Forecasting Services: 210-00278025 Period: 3/1/2026-3/31/2026; 210-00267261 P</t>
        </is>
      </c>
      <c r="E8" s="24" t="n">
        <v>9315</v>
      </c>
      <c r="F8" s="22" t="inlineStr">
        <is>
          <t>381309</t>
        </is>
      </c>
      <c r="G8" s="22" t="inlineStr">
        <is>
          <t>MURRAY &amp; TRETTEL INC</t>
        </is>
      </c>
      <c r="H8" s="32" t="n">
        <v>46229</v>
      </c>
      <c r="I8" s="22" t="inlineStr">
        <is>
          <t>BID</t>
        </is>
      </c>
      <c r="J8" s="22" t="inlineStr">
        <is>
          <t>Yes</t>
        </is>
      </c>
      <c r="K8" s="23" t="inlineStr">
        <is>
          <t>Requisition ID link: Exhibit B new-contract RX = awarded REQ</t>
        </is>
      </c>
    </row>
    <row r="9">
      <c r="A9" s="19" t="n">
        <v>711517</v>
      </c>
      <c r="B9" s="31" t="n">
        <v>46052</v>
      </c>
      <c r="C9" s="19" t="inlineStr">
        <is>
          <t>DEPARTMENT OF FLEET AND FACILITY MANAGEMENT</t>
        </is>
      </c>
      <c r="D9" s="20" t="inlineStr">
        <is>
          <t>DCASE submitted a new contract request for RENTAL AND MAINTENANCE OF PORTABLE CHEMICAL TOILETS, SINKS, WASTE WATER BARRE</t>
        </is>
      </c>
      <c r="E9" s="21" t="n">
        <v>7750</v>
      </c>
      <c r="F9" s="19" t="inlineStr">
        <is>
          <t>381051</t>
        </is>
      </c>
      <c r="G9" s="19" t="inlineStr">
        <is>
          <t>Service Sanitation Inc.</t>
        </is>
      </c>
      <c r="H9" s="31" t="n">
        <v>46203</v>
      </c>
      <c r="I9" s="19" t="inlineStr">
        <is>
          <t>BID</t>
        </is>
      </c>
      <c r="J9" s="19" t="inlineStr">
        <is>
          <t>Yes</t>
        </is>
      </c>
      <c r="K9" s="20" t="inlineStr">
        <is>
          <t>Vendor match + commodity overlap (similarity 0.64)</t>
        </is>
      </c>
    </row>
    <row r="10">
      <c r="A10" s="22" t="n">
        <v>711510</v>
      </c>
      <c r="B10" s="32" t="n">
        <v>46052</v>
      </c>
      <c r="C10" s="22" t="inlineStr">
        <is>
          <t>DEPARTMENT OF FLEET AND FACILITY MANAGEMENT</t>
        </is>
      </c>
      <c r="D10" s="23" t="inlineStr">
        <is>
          <t>DCASE submitted a new contract request for RENTAL AND MAINTENANCE OF PORTABLE CHEMICAL TOILETS, SINKS, WASTE WATER BARRE</t>
        </is>
      </c>
      <c r="E10" s="24" t="n">
        <v>6700</v>
      </c>
      <c r="F10" s="22" t="inlineStr">
        <is>
          <t>381051</t>
        </is>
      </c>
      <c r="G10" s="22" t="inlineStr">
        <is>
          <t>Service Sanitation Inc.</t>
        </is>
      </c>
      <c r="H10" s="32" t="n">
        <v>46203</v>
      </c>
      <c r="I10" s="22" t="inlineStr">
        <is>
          <t>BID</t>
        </is>
      </c>
      <c r="J10" s="22" t="inlineStr">
        <is>
          <t>Yes</t>
        </is>
      </c>
      <c r="K10" s="23" t="inlineStr">
        <is>
          <t>Vendor match + commodity overlap (similarity 0.64)</t>
        </is>
      </c>
    </row>
    <row r="11">
      <c r="A11" s="19" t="n">
        <v>716858</v>
      </c>
      <c r="B11" s="31" t="n">
        <v>46080</v>
      </c>
      <c r="C11" s="19" t="inlineStr">
        <is>
          <t>DEPARTMENT OF WATER MANAGEMENT</t>
        </is>
      </c>
      <c r="D11" s="20" t="inlineStr">
        <is>
          <t>SERVICE SANTATION REQ#613315. DCASE IS THE LEAD DEPARTMENT AND THE REQ WAS SENT TO DPS FOR A new contract on 8/13/2024 (</t>
        </is>
      </c>
      <c r="E11" s="21" t="n">
        <v>5917</v>
      </c>
      <c r="F11" s="19" t="inlineStr">
        <is>
          <t>381051</t>
        </is>
      </c>
      <c r="G11" s="19" t="inlineStr">
        <is>
          <t>Service Sanitation Inc.</t>
        </is>
      </c>
      <c r="H11" s="31" t="n">
        <v>46203</v>
      </c>
      <c r="I11" s="19" t="inlineStr">
        <is>
          <t>BID</t>
        </is>
      </c>
      <c r="J11" s="19" t="inlineStr">
        <is>
          <t>Yes</t>
        </is>
      </c>
      <c r="K11" s="20" t="inlineStr">
        <is>
          <t>Requisition ID link: Exhibit B new-contract RX = awarded REQ</t>
        </is>
      </c>
    </row>
    <row r="12">
      <c r="A12" s="22" t="n">
        <v>738810</v>
      </c>
      <c r="B12" s="32" t="n">
        <v>46212</v>
      </c>
      <c r="C12" s="22" t="inlineStr">
        <is>
          <t>CHICAGO DEPARTMENT OF PUBLIC HEALTH</t>
        </is>
      </c>
      <c r="D12" s="23" t="inlineStr">
        <is>
          <t>Consulting Fee June 2026</t>
        </is>
      </c>
      <c r="E12" s="24" t="n">
        <v>3819.14</v>
      </c>
      <c r="F12" s="22" t="inlineStr">
        <is>
          <t>386925</t>
        </is>
      </c>
      <c r="G12" s="22" t="inlineStr">
        <is>
          <t>INTEGRATED SOLUTIONS CONSULTING CORPORATION</t>
        </is>
      </c>
      <c r="H12" s="32" t="n">
        <v>46220</v>
      </c>
      <c r="I12" s="22" t="inlineStr">
        <is>
          <t>SOLE SOURCE</t>
        </is>
      </c>
      <c r="J12" s="22" t="inlineStr">
        <is>
          <t>No</t>
        </is>
      </c>
      <c r="K12" s="23" t="inlineStr">
        <is>
          <t>Requisition ID link: Exhibit B new-contract RX = awarded REQ</t>
        </is>
      </c>
    </row>
    <row r="13">
      <c r="A13" s="19" t="n">
        <v>730529</v>
      </c>
      <c r="B13" s="31" t="n">
        <v>46161</v>
      </c>
      <c r="C13" s="19" t="inlineStr">
        <is>
          <t>DEPARTMENT OF FLEET AND FACILITY MANAGEMENT</t>
        </is>
      </c>
      <c r="D13" s="20" t="inlineStr">
        <is>
          <t>TB/MM/INVOICE #Q25143/$3458.74</t>
        </is>
      </c>
      <c r="E13" s="21" t="n">
        <v>3458.74</v>
      </c>
      <c r="F13" s="19" t="inlineStr">
        <is>
          <t>386844</t>
        </is>
      </c>
      <c r="G13" s="19" t="inlineStr">
        <is>
          <t>Helicopters, Inc.</t>
        </is>
      </c>
      <c r="H13" s="31" t="n">
        <v>46203</v>
      </c>
      <c r="I13" s="19" t="inlineStr">
        <is>
          <t>EMERGENCY</t>
        </is>
      </c>
      <c r="J13" s="19" t="inlineStr">
        <is>
          <t>No</t>
        </is>
      </c>
      <c r="K13" s="20" t="inlineStr">
        <is>
          <t>Requisition ID link: Exhibit B new-contract RX = awarded REQ</t>
        </is>
      </c>
    </row>
    <row r="14">
      <c r="A14" s="22" t="n">
        <v>734145</v>
      </c>
      <c r="B14" s="32" t="n">
        <v>46177</v>
      </c>
      <c r="C14" s="22" t="inlineStr">
        <is>
          <t>CHICAGO DEPARTMENT OF PUBLIC HEALTH</t>
        </is>
      </c>
      <c r="D14" s="23" t="inlineStr">
        <is>
          <t>Hosting Fee</t>
        </is>
      </c>
      <c r="E14" s="24" t="n">
        <v>2499</v>
      </c>
      <c r="F14" s="22" t="inlineStr">
        <is>
          <t>386925</t>
        </is>
      </c>
      <c r="G14" s="22" t="inlineStr">
        <is>
          <t>INTEGRATED SOLUTIONS CONSULTING CORPORATION</t>
        </is>
      </c>
      <c r="H14" s="32" t="n">
        <v>46220</v>
      </c>
      <c r="I14" s="22" t="inlineStr">
        <is>
          <t>SOLE SOURCE</t>
        </is>
      </c>
      <c r="J14" s="22" t="inlineStr">
        <is>
          <t>No</t>
        </is>
      </c>
      <c r="K14" s="23" t="inlineStr">
        <is>
          <t>Requisition ID link: Exhibit B new-contract RX = awarded REQ</t>
        </is>
      </c>
    </row>
    <row r="15">
      <c r="A15" s="19" t="n">
        <v>716927</v>
      </c>
      <c r="B15" s="31" t="n">
        <v>46080</v>
      </c>
      <c r="C15" s="19" t="inlineStr">
        <is>
          <t>CHICAGO DEPARTMENT OF AVIATION</t>
        </is>
      </c>
      <c r="D15" s="20" t="inlineStr">
        <is>
          <t>#2 Invoices  $2,394.34  2025 FAA 139 Regulatory Compliance- Annual calibration of 3 decelerometers and Chargers equipmen</t>
        </is>
      </c>
      <c r="E15" s="21" t="n">
        <v>2394.34</v>
      </c>
      <c r="F15" s="19" t="inlineStr">
        <is>
          <t>375509</t>
        </is>
      </c>
      <c r="G15" s="19" t="inlineStr">
        <is>
          <t>Halliday Technologies</t>
        </is>
      </c>
      <c r="H15" s="31" t="n">
        <v>46106</v>
      </c>
      <c r="I15" s="19" t="inlineStr">
        <is>
          <t>BID</t>
        </is>
      </c>
      <c r="J15" s="19" t="inlineStr">
        <is>
          <t>Yes</t>
        </is>
      </c>
      <c r="K15" s="20" t="inlineStr">
        <is>
          <t>Requisition ID link: Exhibit B new-contract RX = awarded REQ</t>
        </is>
      </c>
    </row>
    <row r="16">
      <c r="A16" s="22" t="n">
        <v>722898</v>
      </c>
      <c r="B16" s="32" t="n">
        <v>46119</v>
      </c>
      <c r="C16" s="22" t="inlineStr">
        <is>
          <t>CHICAGO DEPARTMENT OF PUBLIC HEALTH</t>
        </is>
      </c>
      <c r="D16" s="23" t="inlineStr">
        <is>
          <t>Consulting Fee February 2026Hosting Fee: February 2026Hosting Fee: January 2026</t>
        </is>
      </c>
      <c r="E16" s="24" t="n">
        <v>1890.66</v>
      </c>
      <c r="F16" s="22" t="inlineStr">
        <is>
          <t>386925</t>
        </is>
      </c>
      <c r="G16" s="22" t="inlineStr">
        <is>
          <t>INTEGRATED SOLUTIONS CONSULTING CORPORATION</t>
        </is>
      </c>
      <c r="H16" s="32" t="n">
        <v>46220</v>
      </c>
      <c r="I16" s="22" t="inlineStr">
        <is>
          <t>SOLE SOURCE</t>
        </is>
      </c>
      <c r="J16" s="22" t="inlineStr">
        <is>
          <t>No</t>
        </is>
      </c>
      <c r="K16" s="23" t="inlineStr">
        <is>
          <t>Requisition ID link: Exhibit B new-contract RX = awarded REQ</t>
        </is>
      </c>
    </row>
    <row r="17">
      <c r="A17" s="19" t="n">
        <v>709848</v>
      </c>
      <c r="B17" s="31" t="n">
        <v>46045</v>
      </c>
      <c r="C17" s="19" t="inlineStr">
        <is>
          <t>DEPARTMENT OF FLEET AND FACILITY MANAGEMENT</t>
        </is>
      </c>
      <c r="D17" s="20" t="inlineStr">
        <is>
          <t>2FM currently holds two helicopter maintenance contracts, however the Bell 407s and 429 aircraft are not under either co</t>
        </is>
      </c>
      <c r="E17" s="21" t="n">
        <v>1297.26</v>
      </c>
      <c r="F17" s="19" t="inlineStr">
        <is>
          <t>386844</t>
        </is>
      </c>
      <c r="G17" s="19" t="inlineStr">
        <is>
          <t>Helicopters, Inc.</t>
        </is>
      </c>
      <c r="H17" s="31" t="n">
        <v>46203</v>
      </c>
      <c r="I17" s="19" t="inlineStr">
        <is>
          <t>EMERGENCY</t>
        </is>
      </c>
      <c r="J17" s="19" t="inlineStr">
        <is>
          <t>No</t>
        </is>
      </c>
      <c r="K17" s="20" t="inlineStr">
        <is>
          <t>Requisition ID link: Exhibit B new-contract RX = awarded REQ</t>
        </is>
      </c>
    </row>
    <row r="18">
      <c r="A18" s="22" t="n">
        <v>711725</v>
      </c>
      <c r="B18" s="32" t="n">
        <v>46052</v>
      </c>
      <c r="C18" s="22" t="inlineStr">
        <is>
          <t>CHICAGO POLICE DEPARTMENT</t>
        </is>
      </c>
      <c r="D18" s="23" t="inlineStr">
        <is>
          <t>Service Sanitation Inv 9090265 $1,250</t>
        </is>
      </c>
      <c r="E18" s="24" t="n">
        <v>1250</v>
      </c>
      <c r="F18" s="22" t="inlineStr">
        <is>
          <t>381051</t>
        </is>
      </c>
      <c r="G18" s="22" t="inlineStr">
        <is>
          <t>Service Sanitation Inc.</t>
        </is>
      </c>
      <c r="H18" s="32" t="n">
        <v>46203</v>
      </c>
      <c r="I18" s="22" t="inlineStr">
        <is>
          <t>BID</t>
        </is>
      </c>
      <c r="J18" s="22" t="inlineStr">
        <is>
          <t>Yes</t>
        </is>
      </c>
      <c r="K18" s="23" t="inlineStr">
        <is>
          <t>Requisition ID link: Exhibit B new-contract RX = awarded REQ</t>
        </is>
      </c>
    </row>
    <row r="19">
      <c r="A19" s="19" t="n">
        <v>709600</v>
      </c>
      <c r="B19" s="31" t="n">
        <v>46048</v>
      </c>
      <c r="C19" s="19" t="inlineStr">
        <is>
          <t>DEPARTMENT OF FLEET AND FACILITY MANAGEMENT</t>
        </is>
      </c>
      <c r="D19" s="20" t="inlineStr">
        <is>
          <t>2FM currently holds two helicopter maintenance contracts, however the Bell 407s and 429 aircraft are not under either co</t>
        </is>
      </c>
      <c r="E19" s="21" t="n">
        <v>840</v>
      </c>
      <c r="F19" s="19" t="inlineStr">
        <is>
          <t>386844</t>
        </is>
      </c>
      <c r="G19" s="19" t="inlineStr">
        <is>
          <t>Helicopters, Inc.</t>
        </is>
      </c>
      <c r="H19" s="31" t="n">
        <v>46203</v>
      </c>
      <c r="I19" s="19" t="inlineStr">
        <is>
          <t>EMERGENCY</t>
        </is>
      </c>
      <c r="J19" s="19" t="inlineStr">
        <is>
          <t>No</t>
        </is>
      </c>
      <c r="K19" s="20" t="inlineStr">
        <is>
          <t>Requisition ID link: Exhibit B new-contract RX = awarded REQ</t>
        </is>
      </c>
    </row>
    <row r="20">
      <c r="A20" s="22" t="n">
        <v>708543</v>
      </c>
      <c r="B20" s="32" t="n">
        <v>46036</v>
      </c>
      <c r="C20" s="22" t="inlineStr">
        <is>
          <t>DEPARTMENT OF PROCUREMENT SERVICES</t>
        </is>
      </c>
      <c r="D20" s="23" t="inlineStr">
        <is>
          <t>MAINTENANCE AND REPAIR SERVICE ON TRUCK SCALES. - QUARTERLY TRUCK SCALE MAINTENANCE AND REPAIRS PER DETAILED SPECIFICATI</t>
        </is>
      </c>
      <c r="E20" s="24" t="n">
        <v>450</v>
      </c>
      <c r="F20" s="22" t="inlineStr">
        <is>
          <t>383993</t>
        </is>
      </c>
      <c r="G20" s="22" t="inlineStr">
        <is>
          <t>ABEST SCALE CO., INC.</t>
        </is>
      </c>
      <c r="H20" s="32" t="n">
        <v>46063</v>
      </c>
      <c r="I20" s="22" t="inlineStr">
        <is>
          <t>BID</t>
        </is>
      </c>
      <c r="J20" s="22" t="inlineStr">
        <is>
          <t>Yes</t>
        </is>
      </c>
      <c r="K20" s="23" t="inlineStr">
        <is>
          <t>Requisition ID link: Exhibit B new-contract RX = awarded REQ</t>
        </is>
      </c>
    </row>
    <row r="21">
      <c r="A21" s="19" t="n">
        <v>716047</v>
      </c>
      <c r="B21" s="31" t="n">
        <v>46078</v>
      </c>
      <c r="C21" s="19" t="inlineStr">
        <is>
          <t>DEPARTMENT OF PROCUREMENT SERVICES</t>
        </is>
      </c>
      <c r="D21" s="20" t="inlineStr">
        <is>
          <t>RENTAL AND MAINTENANCE OF PORTABLE CHEMICAL TOILETS, SINKS, WASTE WATER BARRELS, PORTABLE WATERLESS HAND SANITIZER DISPE</t>
        </is>
      </c>
      <c r="E21" s="21" t="n">
        <v>250</v>
      </c>
      <c r="F21" s="19" t="inlineStr">
        <is>
          <t>381051</t>
        </is>
      </c>
      <c r="G21" s="19" t="inlineStr">
        <is>
          <t>Service Sanitation Inc.</t>
        </is>
      </c>
      <c r="H21" s="31" t="n">
        <v>46203</v>
      </c>
      <c r="I21" s="19" t="inlineStr">
        <is>
          <t>BID</t>
        </is>
      </c>
      <c r="J21" s="19" t="inlineStr">
        <is>
          <t>Yes</t>
        </is>
      </c>
      <c r="K21" s="20" t="inlineStr">
        <is>
          <t>Vendor match + commodity overlap (similarity 0.50)</t>
        </is>
      </c>
    </row>
    <row r="22">
      <c r="A22" s="22" t="n">
        <v>708558</v>
      </c>
      <c r="B22" s="32" t="n">
        <v>46038</v>
      </c>
      <c r="C22" s="22" t="inlineStr">
        <is>
          <t>DEPARTMENT OF PROCUREMENT SERVICES</t>
        </is>
      </c>
      <c r="D22" s="23" t="inlineStr">
        <is>
          <t>RENTAL AND MAINTENANCE OF PORTABLE CHEMICAL TOILETS, SINKS, WASTE WATER BARRELS, PORTABLE WATERLESS HAND SANITIZER DISPE</t>
        </is>
      </c>
      <c r="E22" s="24" t="n">
        <v>250</v>
      </c>
      <c r="F22" s="22" t="inlineStr">
        <is>
          <t>381051</t>
        </is>
      </c>
      <c r="G22" s="22" t="inlineStr">
        <is>
          <t>Service Sanitation Inc.</t>
        </is>
      </c>
      <c r="H22" s="32" t="n">
        <v>46203</v>
      </c>
      <c r="I22" s="22" t="inlineStr">
        <is>
          <t>BID</t>
        </is>
      </c>
      <c r="J22" s="22" t="inlineStr">
        <is>
          <t>Yes</t>
        </is>
      </c>
      <c r="K22" s="23" t="inlineStr">
        <is>
          <t>Vendor match + commodity overlap (similarity 0.50)</t>
        </is>
      </c>
    </row>
    <row r="23">
      <c r="A23" s="19" t="n">
        <v>721747</v>
      </c>
      <c r="B23" s="31" t="n">
        <v>46107</v>
      </c>
      <c r="C23" s="19" t="inlineStr">
        <is>
          <t>DEPARTMENT OF FLEET AND FACILITY MANAGEMENT</t>
        </is>
      </c>
      <c r="D23" s="20" t="inlineStr">
        <is>
          <t>DCASE submitted a new contract request for RENTAL AND MAINTENANCE OF PORTABLE CHEMICAL TOILETS, SINKS, WASTE WATER BARRE</t>
        </is>
      </c>
      <c r="E23" s="21" t="n">
        <v>247.5</v>
      </c>
      <c r="F23" s="19" t="inlineStr">
        <is>
          <t>381051</t>
        </is>
      </c>
      <c r="G23" s="19" t="inlineStr">
        <is>
          <t>Service Sanitation Inc.</t>
        </is>
      </c>
      <c r="H23" s="31" t="n">
        <v>46203</v>
      </c>
      <c r="I23" s="19" t="inlineStr">
        <is>
          <t>BID</t>
        </is>
      </c>
      <c r="J23" s="19" t="inlineStr">
        <is>
          <t>Yes</t>
        </is>
      </c>
      <c r="K23" s="20" t="inlineStr">
        <is>
          <t>Vendor match + commodity overlap (similarity 0.64)</t>
        </is>
      </c>
    </row>
    <row r="24">
      <c r="A24" s="22" t="n">
        <v>716043</v>
      </c>
      <c r="B24" s="32" t="n">
        <v>46078</v>
      </c>
      <c r="C24" s="22" t="inlineStr">
        <is>
          <t>DEPARTMENT OF PROCUREMENT SERVICES</t>
        </is>
      </c>
      <c r="D24" s="23" t="inlineStr">
        <is>
          <t>RENTAL AND MAINTENANCE OF PORTABLE CHEMICAL TOILETS, SINKS, WASTE WATER BARRELS, PORTABLE WATERLESS HAND SANITIZER DISPE</t>
        </is>
      </c>
      <c r="E24" s="24" t="n">
        <v>225</v>
      </c>
      <c r="F24" s="22" t="inlineStr">
        <is>
          <t>381051</t>
        </is>
      </c>
      <c r="G24" s="22" t="inlineStr">
        <is>
          <t>Service Sanitation Inc.</t>
        </is>
      </c>
      <c r="H24" s="32" t="n">
        <v>46203</v>
      </c>
      <c r="I24" s="22" t="inlineStr">
        <is>
          <t>BID</t>
        </is>
      </c>
      <c r="J24" s="22" t="inlineStr">
        <is>
          <t>Yes</t>
        </is>
      </c>
      <c r="K24" s="23" t="inlineStr">
        <is>
          <t>Vendor match + commodity overlap (similarity 0.50)</t>
        </is>
      </c>
    </row>
    <row r="25">
      <c r="A25" s="19" t="n">
        <v>722165</v>
      </c>
      <c r="B25" s="31" t="n">
        <v>46118</v>
      </c>
      <c r="C25" s="19" t="inlineStr">
        <is>
          <t>DEPARTMENT OF PROCUREMENT SERVICES</t>
        </is>
      </c>
      <c r="D25" s="20" t="inlineStr">
        <is>
          <t>RENTAL AND MAINTENANCE OF PORTABLE CHEMICAL TOILETS, SINKS, WASTE WATER BARRELS, PORTABLE WATERLESS HAND SANITIZER DISPE</t>
        </is>
      </c>
      <c r="E25" s="21" t="n">
        <v>0</v>
      </c>
      <c r="F25" s="19" t="inlineStr">
        <is>
          <t>381051</t>
        </is>
      </c>
      <c r="G25" s="19" t="inlineStr">
        <is>
          <t>Service Sanitation Inc.</t>
        </is>
      </c>
      <c r="H25" s="31" t="n">
        <v>46203</v>
      </c>
      <c r="I25" s="19" t="inlineStr">
        <is>
          <t>BID</t>
        </is>
      </c>
      <c r="J25" s="19" t="inlineStr">
        <is>
          <t>Yes</t>
        </is>
      </c>
      <c r="K25" s="20" t="inlineStr">
        <is>
          <t>Vendor match + commodity overlap (similarity 0.50)</t>
        </is>
      </c>
    </row>
    <row r="26">
      <c r="A26" s="22" t="n">
        <v>707665</v>
      </c>
      <c r="B26" s="32" t="n">
        <v>46058</v>
      </c>
      <c r="C26" s="22" t="inlineStr">
        <is>
          <t>CHICAGO DEPARTMENT OF AVIATION</t>
        </is>
      </c>
      <c r="D26" s="23" t="inlineStr">
        <is>
          <t xml:space="preserve">#4 Invoices $10,558.002025 Midway Snow Equipment &amp; Snow Vehicles washing (Services 11/9, 11/10, 11/30 to 12/2 &amp; 12/7 to </t>
        </is>
      </c>
      <c r="E26" s="24" t="n">
        <v>0</v>
      </c>
      <c r="F26" s="22" t="inlineStr">
        <is>
          <t>375509</t>
        </is>
      </c>
      <c r="G26" s="22" t="inlineStr">
        <is>
          <t>Halliday Technologies</t>
        </is>
      </c>
      <c r="H26" s="32" t="n">
        <v>46106</v>
      </c>
      <c r="I26" s="22" t="inlineStr">
        <is>
          <t>BID</t>
        </is>
      </c>
      <c r="J26" s="22" t="inlineStr">
        <is>
          <t>Yes</t>
        </is>
      </c>
      <c r="K26" s="23" t="inlineStr">
        <is>
          <t>Requisition ID link: Exhibit B new-contract RX = awarded REQ</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15" customWidth="1" min="4" max="4"/>
    <col width="20" customWidth="1" min="5" max="5"/>
    <col width="22" customWidth="1" min="6" max="6"/>
    <col width="12" customWidth="1" min="7" max="7"/>
    <col width="24" customWidth="1" min="8" max="8"/>
    <col width="44" customWidth="1" min="9" max="9"/>
  </cols>
  <sheetData>
    <row r="1" ht="30" customHeight="1">
      <c r="A1" s="1" t="inlineStr">
        <is>
          <t>DEPARTMENT CLAIM vs INDEPENDENT VERIFICATION</t>
        </is>
      </c>
    </row>
    <row r="2" ht="18" customHeight="1">
      <c r="A2" s="2" t="inlineStr">
        <is>
          <t>Rows the department marked 'Contract Awarded? = Yes'. The right-hand columns show what the awarded contract file actually supports.</t>
        </is>
      </c>
    </row>
    <row r="4" ht="30" customHeight="1">
      <c r="A4" s="6" t="inlineStr">
        <is>
          <t>Exhibit B Req#</t>
        </is>
      </c>
      <c r="B4" s="6" t="inlineStr">
        <is>
          <t>Department</t>
        </is>
      </c>
      <c r="C4" s="6" t="inlineStr">
        <is>
          <t>Description</t>
        </is>
      </c>
      <c r="D4" s="6" t="inlineStr">
        <is>
          <t>Exhibit B Spend</t>
        </is>
      </c>
      <c r="E4" s="6" t="inlineStr">
        <is>
          <t>Contract # Claimed</t>
        </is>
      </c>
      <c r="F4" s="6" t="inlineStr">
        <is>
          <t>Claimed Number Check</t>
        </is>
      </c>
      <c r="G4" s="6" t="inlineStr">
        <is>
          <t>Evidence Tier</t>
        </is>
      </c>
      <c r="H4" s="6" t="inlineStr">
        <is>
          <t>Verdict</t>
        </is>
      </c>
      <c r="I4" s="6" t="inlineStr">
        <is>
          <t>Match Basis</t>
        </is>
      </c>
    </row>
    <row r="5">
      <c r="A5" s="19" t="n">
        <v>730356</v>
      </c>
      <c r="B5" s="19" t="inlineStr">
        <is>
          <t>CHICAGO DEPARTMENT OF TRANSPORTATION</t>
        </is>
      </c>
      <c r="C5" s="20" t="inlineStr">
        <is>
          <t>PO 96175 Aldridge Electric Exhibit B $3,900,000.00</t>
        </is>
      </c>
      <c r="D5" s="21" t="n">
        <v>3900000</v>
      </c>
      <c r="E5" s="19" t="inlineStr">
        <is>
          <t>Yes</t>
        </is>
      </c>
      <c r="F5" s="19" t="inlineStr">
        <is>
          <t>No number supplied</t>
        </is>
      </c>
      <c r="G5" s="19" t="inlineStr">
        <is>
          <t>E</t>
        </is>
      </c>
      <c r="H5" s="26" t="inlineStr">
        <is>
          <t>No supporting evidence</t>
        </is>
      </c>
      <c r="I5" s="20" t="inlineStr">
        <is>
          <t>No linkage found in awarded contract file</t>
        </is>
      </c>
    </row>
    <row r="6">
      <c r="A6" s="22" t="n">
        <v>733323</v>
      </c>
      <c r="B6" s="22" t="inlineStr">
        <is>
          <t>DEPARTMENT OF WATER MANAGEMENT</t>
        </is>
      </c>
      <c r="C6" s="23" t="inlineStr">
        <is>
          <t>Street and Parkway Restoration cental North Region</t>
        </is>
      </c>
      <c r="D6" s="24" t="n">
        <v>1887067.59</v>
      </c>
      <c r="E6" s="22" t="n">
        <v>304519</v>
      </c>
      <c r="F6" s="22" t="inlineStr">
        <is>
          <t>NOT in award file</t>
        </is>
      </c>
      <c r="G6" s="22" t="inlineStr">
        <is>
          <t>C</t>
        </is>
      </c>
      <c r="H6" s="29" t="inlineStr">
        <is>
          <t>Weak / partial evidence</t>
        </is>
      </c>
      <c r="I6" s="23" t="inlineStr">
        <is>
          <t>Vendor name match only (similarity 0.00)</t>
        </is>
      </c>
    </row>
    <row r="7">
      <c r="A7" s="19" t="n">
        <v>733294</v>
      </c>
      <c r="B7" s="19" t="inlineStr">
        <is>
          <t>DEPARTMENT OF WATER MANAGEMENT</t>
        </is>
      </c>
      <c r="C7" s="20" t="inlineStr">
        <is>
          <t>Street and Parkway Restoration North Region</t>
        </is>
      </c>
      <c r="D7" s="21" t="n">
        <v>938950.36</v>
      </c>
      <c r="E7" s="19" t="n">
        <v>305303</v>
      </c>
      <c r="F7" s="19" t="inlineStr">
        <is>
          <t>NOT in award file</t>
        </is>
      </c>
      <c r="G7" s="19" t="inlineStr">
        <is>
          <t>C</t>
        </is>
      </c>
      <c r="H7" s="27" t="inlineStr">
        <is>
          <t>Weak / partial evidence</t>
        </is>
      </c>
      <c r="I7" s="20" t="inlineStr">
        <is>
          <t>Vendor name match only (similarity 0.00)</t>
        </is>
      </c>
    </row>
    <row r="8">
      <c r="A8" s="22" t="n">
        <v>734489</v>
      </c>
      <c r="B8" s="22" t="inlineStr">
        <is>
          <t>DEPARTMENT OF WATER MANAGEMENT</t>
        </is>
      </c>
      <c r="C8" s="23" t="inlineStr">
        <is>
          <t>Street and Parkway and Restoration Project No. 19-623 Central South Region</t>
        </is>
      </c>
      <c r="D8" s="24" t="n">
        <v>687712.6800000001</v>
      </c>
      <c r="E8" s="22" t="n">
        <v>272862</v>
      </c>
      <c r="F8" s="22" t="inlineStr">
        <is>
          <t>NOT in award file</t>
        </is>
      </c>
      <c r="G8" s="22" t="inlineStr">
        <is>
          <t>E</t>
        </is>
      </c>
      <c r="H8" s="25" t="inlineStr">
        <is>
          <t>No supporting evidence</t>
        </is>
      </c>
      <c r="I8" s="23" t="inlineStr">
        <is>
          <t>No linkage found in awarded contract file</t>
        </is>
      </c>
    </row>
    <row r="9">
      <c r="A9" s="19" t="n">
        <v>721945</v>
      </c>
      <c r="B9" s="19" t="inlineStr">
        <is>
          <t>CHICAGO DEPARTMENT OF TRANSPORTATION</t>
        </is>
      </c>
      <c r="C9" s="20" t="inlineStr">
        <is>
          <t>PO 114541 Exhibit B for Atlas Technical Consultants LLC</t>
        </is>
      </c>
      <c r="D9" s="21" t="n">
        <v>503441.06</v>
      </c>
      <c r="E9" s="19" t="n">
        <v>114541</v>
      </c>
      <c r="F9" s="19" t="inlineStr">
        <is>
          <t>NOT in award file</t>
        </is>
      </c>
      <c r="G9" s="19" t="inlineStr">
        <is>
          <t>E</t>
        </is>
      </c>
      <c r="H9" s="26" t="inlineStr">
        <is>
          <t>No supporting evidence</t>
        </is>
      </c>
      <c r="I9" s="20" t="inlineStr">
        <is>
          <t>No linkage found in awarded contract file</t>
        </is>
      </c>
    </row>
    <row r="10">
      <c r="A10" s="22" t="n">
        <v>708701</v>
      </c>
      <c r="B10" s="22" t="inlineStr">
        <is>
          <t>CHICAGO DEPARTMENT OF AVIATION</t>
        </is>
      </c>
      <c r="C10" s="23" t="inlineStr">
        <is>
          <t>Invoice# 5332152783 Maintenance of the Supervisory Monitoring System &amp; Fire Alarm System for October 2025 Mont</t>
        </is>
      </c>
      <c r="D10" s="24" t="n">
        <v>347623.41</v>
      </c>
      <c r="E10" s="22" t="n">
        <v>84871</v>
      </c>
      <c r="F10" s="22" t="inlineStr">
        <is>
          <t>NOT in award file</t>
        </is>
      </c>
      <c r="G10" s="22" t="inlineStr">
        <is>
          <t>E</t>
        </is>
      </c>
      <c r="H10" s="25" t="inlineStr">
        <is>
          <t>No supporting evidence</t>
        </is>
      </c>
      <c r="I10" s="23" t="inlineStr">
        <is>
          <t>No linkage found in awarded contract file</t>
        </is>
      </c>
    </row>
    <row r="11">
      <c r="A11" s="19" t="n">
        <v>708713</v>
      </c>
      <c r="B11" s="19" t="inlineStr">
        <is>
          <t>CHICAGO DEPARTMENT OF AVIATION</t>
        </is>
      </c>
      <c r="C11" s="20" t="inlineStr">
        <is>
          <t>CDA requesting authorization to pay Siemens Industry Inc PO #84871, per service's procured in 2025 under activ</t>
        </is>
      </c>
      <c r="D11" s="21" t="n">
        <v>156240</v>
      </c>
      <c r="E11" s="19" t="n">
        <v>84871</v>
      </c>
      <c r="F11" s="19" t="inlineStr">
        <is>
          <t>NOT in award file</t>
        </is>
      </c>
      <c r="G11" s="19" t="inlineStr">
        <is>
          <t>E</t>
        </is>
      </c>
      <c r="H11" s="26" t="inlineStr">
        <is>
          <t>No supporting evidence</t>
        </is>
      </c>
      <c r="I11" s="20" t="inlineStr">
        <is>
          <t>No linkage found in awarded contract file</t>
        </is>
      </c>
    </row>
    <row r="12">
      <c r="A12" s="22" t="n">
        <v>744818</v>
      </c>
      <c r="B12" s="22" t="inlineStr">
        <is>
          <t>CHICAGO DEPARTMENT OF TRANSPORTATION</t>
        </is>
      </c>
      <c r="C12" s="23" t="inlineStr">
        <is>
          <t>PO 180678 REL 295456 CSI 3000JV Exhibit B Invoice Reconciliation</t>
        </is>
      </c>
      <c r="D12" s="24" t="n">
        <v>156098.14</v>
      </c>
      <c r="E12" s="22" t="n">
        <v>309536</v>
      </c>
      <c r="F12" s="22" t="inlineStr">
        <is>
          <t>NOT in award file</t>
        </is>
      </c>
      <c r="G12" s="22" t="inlineStr">
        <is>
          <t>E</t>
        </is>
      </c>
      <c r="H12" s="25" t="inlineStr">
        <is>
          <t>No supporting evidence</t>
        </is>
      </c>
      <c r="I12" s="23" t="inlineStr">
        <is>
          <t>No linkage found in awarded contract file</t>
        </is>
      </c>
    </row>
    <row r="13">
      <c r="A13" s="19" t="n">
        <v>738075</v>
      </c>
      <c r="B13" s="19" t="inlineStr">
        <is>
          <t>DEPARTMENT OF FLEET AND FACILITY MANAGEMENT</t>
        </is>
      </c>
      <c r="C13" s="20" t="inlineStr">
        <is>
          <t>Bella Bagno Inc is removing and installing carpet at the Bucktown/Wicker Park Branch Library. The labor servic</t>
        </is>
      </c>
      <c r="D13" s="21" t="n">
        <v>147666.41</v>
      </c>
      <c r="E13" s="19" t="inlineStr"/>
      <c r="F13" s="19" t="inlineStr">
        <is>
          <t>No number supplied</t>
        </is>
      </c>
      <c r="G13" s="19" t="inlineStr">
        <is>
          <t>E</t>
        </is>
      </c>
      <c r="H13" s="26" t="inlineStr">
        <is>
          <t>No supporting evidence</t>
        </is>
      </c>
      <c r="I13" s="20" t="inlineStr">
        <is>
          <t>No linkage found in awarded contract file</t>
        </is>
      </c>
    </row>
    <row r="14">
      <c r="A14" s="22" t="n">
        <v>734966</v>
      </c>
      <c r="B14" s="22" t="inlineStr">
        <is>
          <t>DEPARTMENT OF WATER MANAGEMENT</t>
        </is>
      </c>
      <c r="C14" s="23" t="inlineStr">
        <is>
          <t>Street and Parkway Repair Project NO. 19-625 North Region</t>
        </is>
      </c>
      <c r="D14" s="24" t="n">
        <v>143357.36</v>
      </c>
      <c r="E14" s="22" t="n">
        <v>272860</v>
      </c>
      <c r="F14" s="22" t="inlineStr">
        <is>
          <t>NOT in award file</t>
        </is>
      </c>
      <c r="G14" s="22" t="inlineStr">
        <is>
          <t>C</t>
        </is>
      </c>
      <c r="H14" s="29" t="inlineStr">
        <is>
          <t>Weak / partial evidence</t>
        </is>
      </c>
      <c r="I14" s="23" t="inlineStr">
        <is>
          <t>Vendor name match only (similarity 0.00)</t>
        </is>
      </c>
    </row>
    <row r="15">
      <c r="A15" s="19" t="n">
        <v>737798</v>
      </c>
      <c r="B15" s="19" t="inlineStr">
        <is>
          <t>DEPARTMENT OF WATER MANAGEMENT</t>
        </is>
      </c>
      <c r="C15" s="20" t="inlineStr">
        <is>
          <t>Sewer Construction</t>
        </is>
      </c>
      <c r="D15" s="21" t="n">
        <v>121426.74</v>
      </c>
      <c r="E15" s="19" t="n">
        <v>297413</v>
      </c>
      <c r="F15" s="19" t="inlineStr">
        <is>
          <t>NOT in award file</t>
        </is>
      </c>
      <c r="G15" s="19" t="inlineStr">
        <is>
          <t>E</t>
        </is>
      </c>
      <c r="H15" s="26" t="inlineStr">
        <is>
          <t>No supporting evidence</t>
        </is>
      </c>
      <c r="I15" s="20" t="inlineStr">
        <is>
          <t>No linkage found in awarded contract file</t>
        </is>
      </c>
    </row>
    <row r="16">
      <c r="A16" s="22" t="n">
        <v>725483</v>
      </c>
      <c r="B16" s="22" t="inlineStr">
        <is>
          <t>CHICAGO DEPARTMENT OF TRANSPORTATION</t>
        </is>
      </c>
      <c r="C16" s="23" t="inlineStr">
        <is>
          <t>Exhibit B Collins Engineers, Inc. PO 30193 $117,913.97</t>
        </is>
      </c>
      <c r="D16" s="24" t="n">
        <v>117913.97</v>
      </c>
      <c r="E16" s="22" t="n">
        <v>319103</v>
      </c>
      <c r="F16" s="22" t="inlineStr">
        <is>
          <t>NOT in award file</t>
        </is>
      </c>
      <c r="G16" s="22" t="inlineStr">
        <is>
          <t>E</t>
        </is>
      </c>
      <c r="H16" s="25" t="inlineStr">
        <is>
          <t>No supporting evidence</t>
        </is>
      </c>
      <c r="I16" s="23" t="inlineStr">
        <is>
          <t>No linkage found in awarded contract file</t>
        </is>
      </c>
    </row>
    <row r="17">
      <c r="A17" s="19" t="n">
        <v>710618</v>
      </c>
      <c r="B17" s="19" t="inlineStr">
        <is>
          <t>CHICAGO DEPARTMENT OF PUBLIC HEALTH</t>
        </is>
      </c>
      <c r="C17" s="20" t="inlineStr">
        <is>
          <t>Mpox/HIV consulting</t>
        </is>
      </c>
      <c r="D17" s="21" t="n">
        <v>115000</v>
      </c>
      <c r="E17" s="19" t="n">
        <v>225759</v>
      </c>
      <c r="F17" s="19" t="inlineStr">
        <is>
          <t>NOT in award file</t>
        </is>
      </c>
      <c r="G17" s="19" t="inlineStr">
        <is>
          <t>E</t>
        </is>
      </c>
      <c r="H17" s="26" t="inlineStr">
        <is>
          <t>No supporting evidence</t>
        </is>
      </c>
      <c r="I17" s="20" t="inlineStr">
        <is>
          <t>No linkage found in awarded contract file</t>
        </is>
      </c>
    </row>
    <row r="18">
      <c r="A18" s="22" t="n">
        <v>707827</v>
      </c>
      <c r="B18" s="22" t="inlineStr">
        <is>
          <t>DEPARTMENT OF FLEET AND FACILITY MANAGEMENT</t>
        </is>
      </c>
      <c r="C18" s="23" t="inlineStr">
        <is>
          <t>Bella Bagno  1010329 D   JS/ AO/ Invoice 130069/$ 112,850.35/ WO 5244306/ Legler</t>
        </is>
      </c>
      <c r="D18" s="24" t="n">
        <v>112850.35</v>
      </c>
      <c r="E18" s="22" t="inlineStr">
        <is>
          <t>Not awarded yet, still under DPS review.</t>
        </is>
      </c>
      <c r="F18" s="22" t="inlineStr">
        <is>
          <t>No number supplied</t>
        </is>
      </c>
      <c r="G18" s="22" t="inlineStr">
        <is>
          <t>E</t>
        </is>
      </c>
      <c r="H18" s="25" t="inlineStr">
        <is>
          <t>No supporting evidence</t>
        </is>
      </c>
      <c r="I18" s="23" t="inlineStr">
        <is>
          <t>No linkage found in awarded contract file</t>
        </is>
      </c>
    </row>
    <row r="19">
      <c r="A19" s="19" t="n">
        <v>737175</v>
      </c>
      <c r="B19" s="19" t="inlineStr">
        <is>
          <t>CHICAGO ANIMAL CARE AND CONTROL</t>
        </is>
      </c>
      <c r="C19" s="20" t="inlineStr">
        <is>
          <t>VLI NEEDED FOR DEAD ANIMAL CREMATION SERVICES</t>
        </is>
      </c>
      <c r="D19" s="21" t="n">
        <v>80585.39999999999</v>
      </c>
      <c r="E19" s="19" t="inlineStr">
        <is>
          <t>yes</t>
        </is>
      </c>
      <c r="F19" s="19" t="inlineStr">
        <is>
          <t>No number supplied</t>
        </is>
      </c>
      <c r="G19" s="19" t="inlineStr">
        <is>
          <t>E</t>
        </is>
      </c>
      <c r="H19" s="26" t="inlineStr">
        <is>
          <t>No supporting evidence</t>
        </is>
      </c>
      <c r="I19" s="20" t="inlineStr">
        <is>
          <t>No linkage found in awarded contract file</t>
        </is>
      </c>
    </row>
    <row r="20">
      <c r="A20" s="22" t="n">
        <v>730922</v>
      </c>
      <c r="B20" s="22" t="inlineStr">
        <is>
          <t>DEPARTMENT OF FLEET AND FACILITY MANAGEMENT</t>
        </is>
      </c>
      <c r="C20" s="23" t="inlineStr">
        <is>
          <t>HASTINGS 1033282 B   JS/ JG/ Invoice # O38604D104/ $78,693.06/ March/ Exhaust System Maint</t>
        </is>
      </c>
      <c r="D20" s="24" t="n">
        <v>78693.06</v>
      </c>
      <c r="E20" s="22" t="n">
        <v>112351</v>
      </c>
      <c r="F20" s="22" t="inlineStr">
        <is>
          <t>NOT in award file</t>
        </is>
      </c>
      <c r="G20" s="22" t="inlineStr">
        <is>
          <t>E</t>
        </is>
      </c>
      <c r="H20" s="25" t="inlineStr">
        <is>
          <t>No supporting evidence</t>
        </is>
      </c>
      <c r="I20" s="23" t="inlineStr">
        <is>
          <t>No linkage found in awarded contract file</t>
        </is>
      </c>
    </row>
    <row r="21">
      <c r="A21" s="19" t="n">
        <v>727149</v>
      </c>
      <c r="B21" s="19" t="inlineStr">
        <is>
          <t>DEPARTMENT OF FLEET AND FACILITY MANAGEMENT</t>
        </is>
      </c>
      <c r="C21" s="20" t="inlineStr">
        <is>
          <t>Hastings 1033282 B  JS/ JG/ Invoice # O38604D103/ $71,534.69/ February / Exhaust System Maintenance</t>
        </is>
      </c>
      <c r="D21" s="21" t="n">
        <v>71534.69</v>
      </c>
      <c r="E21" s="19" t="n">
        <v>112351</v>
      </c>
      <c r="F21" s="19" t="inlineStr">
        <is>
          <t>NOT in award file</t>
        </is>
      </c>
      <c r="G21" s="19" t="inlineStr">
        <is>
          <t>E</t>
        </is>
      </c>
      <c r="H21" s="26" t="inlineStr">
        <is>
          <t>No supporting evidence</t>
        </is>
      </c>
      <c r="I21" s="20" t="inlineStr">
        <is>
          <t>No linkage found in awarded contract file</t>
        </is>
      </c>
    </row>
    <row r="22">
      <c r="A22" s="22" t="n">
        <v>711549</v>
      </c>
      <c r="B22" s="22" t="inlineStr">
        <is>
          <t>DEPARTMENT OF HUMAN RESOURCES</t>
        </is>
      </c>
      <c r="C22" s="23" t="inlineStr">
        <is>
          <t>EXHIBIT B - TALOGY PO 251333 INVOICES $67,689.70</t>
        </is>
      </c>
      <c r="D22" s="24" t="n">
        <v>67689.7</v>
      </c>
      <c r="E22" s="22" t="n">
        <v>251333</v>
      </c>
      <c r="F22" s="22" t="inlineStr">
        <is>
          <t>NOT in award file</t>
        </is>
      </c>
      <c r="G22" s="22" t="inlineStr">
        <is>
          <t>E</t>
        </is>
      </c>
      <c r="H22" s="25" t="inlineStr">
        <is>
          <t>No supporting evidence</t>
        </is>
      </c>
      <c r="I22" s="23" t="inlineStr">
        <is>
          <t>No linkage found in awarded contract file</t>
        </is>
      </c>
    </row>
    <row r="23">
      <c r="A23" s="19" t="n">
        <v>733531</v>
      </c>
      <c r="B23" s="19" t="inlineStr">
        <is>
          <t>DEPARTMENT OF FLEET AND FACILITY MANAGEMENT</t>
        </is>
      </c>
      <c r="C23" s="20" t="inlineStr">
        <is>
          <t>Hastings Air-Energy 1033282 B  JS/ JG/ Invoice No. O38604D105/ $56,691.64/ April / Exhaust System Maint</t>
        </is>
      </c>
      <c r="D23" s="21" t="n">
        <v>56691.64</v>
      </c>
      <c r="E23" s="19" t="n">
        <v>112351</v>
      </c>
      <c r="F23" s="19" t="inlineStr">
        <is>
          <t>NOT in award file</t>
        </is>
      </c>
      <c r="G23" s="19" t="inlineStr">
        <is>
          <t>E</t>
        </is>
      </c>
      <c r="H23" s="26" t="inlineStr">
        <is>
          <t>No supporting evidence</t>
        </is>
      </c>
      <c r="I23" s="20" t="inlineStr">
        <is>
          <t>No linkage found in awarded contract file</t>
        </is>
      </c>
    </row>
    <row r="24">
      <c r="A24" s="22" t="n">
        <v>741917</v>
      </c>
      <c r="B24" s="22" t="inlineStr">
        <is>
          <t>DEPARTMENT OF FLEET AND FACILITY MANAGEMENT</t>
        </is>
      </c>
      <c r="C24" s="23" t="inlineStr">
        <is>
          <t>2FM has an active contract for Plymovent Exhaust Extraction Systems, PO 112351. 2FM submitted a request to ext</t>
        </is>
      </c>
      <c r="D24" s="24" t="n">
        <v>36953.65</v>
      </c>
      <c r="E24" s="22" t="n">
        <v>112351</v>
      </c>
      <c r="F24" s="22" t="inlineStr">
        <is>
          <t>NOT in award file</t>
        </is>
      </c>
      <c r="G24" s="22" t="inlineStr">
        <is>
          <t>E</t>
        </is>
      </c>
      <c r="H24" s="25" t="inlineStr">
        <is>
          <t>No supporting evidence</t>
        </is>
      </c>
      <c r="I24" s="23" t="inlineStr">
        <is>
          <t>No linkage found in awarded contract file</t>
        </is>
      </c>
    </row>
    <row r="25">
      <c r="A25" s="19" t="n">
        <v>746580</v>
      </c>
      <c r="B25" s="19" t="inlineStr">
        <is>
          <t>DEPARTMENT OF FLEET AND FACILITY MANAGEMENT</t>
        </is>
      </c>
      <c r="C25" s="20" t="inlineStr">
        <is>
          <t>JK / CA / INV#6660-3816-1 / WO#2626297</t>
        </is>
      </c>
      <c r="D25" s="21" t="n">
        <v>36815.66</v>
      </c>
      <c r="E25" s="19" t="inlineStr"/>
      <c r="F25" s="19" t="inlineStr">
        <is>
          <t>No number supplied</t>
        </is>
      </c>
      <c r="G25" s="19" t="inlineStr">
        <is>
          <t>C</t>
        </is>
      </c>
      <c r="H25" s="27" t="inlineStr">
        <is>
          <t>Weak / partial evidence</t>
        </is>
      </c>
      <c r="I25" s="20" t="inlineStr">
        <is>
          <t>Vendor name match only (similarity 0.00)</t>
        </is>
      </c>
    </row>
    <row r="26">
      <c r="A26" s="22" t="n">
        <v>746117</v>
      </c>
      <c r="B26" s="22" t="inlineStr">
        <is>
          <t>DEPARTMENT OF FLEET AND FACILITY MANAGEMENT</t>
        </is>
      </c>
      <c r="C26" s="23" t="inlineStr">
        <is>
          <t>TB/JG/INVOICE #O38604D106/$34,878.45</t>
        </is>
      </c>
      <c r="D26" s="24" t="n">
        <v>34878.45</v>
      </c>
      <c r="E26" s="22" t="n">
        <v>112351</v>
      </c>
      <c r="F26" s="22" t="inlineStr">
        <is>
          <t>NOT in award file</t>
        </is>
      </c>
      <c r="G26" s="22" t="inlineStr">
        <is>
          <t>E</t>
        </is>
      </c>
      <c r="H26" s="25" t="inlineStr">
        <is>
          <t>No supporting evidence</t>
        </is>
      </c>
      <c r="I26" s="23" t="inlineStr">
        <is>
          <t>No linkage found in awarded contract file</t>
        </is>
      </c>
    </row>
    <row r="27">
      <c r="A27" s="19" t="n">
        <v>719021</v>
      </c>
      <c r="B27" s="19" t="inlineStr">
        <is>
          <t>DEPARTMENT OF WATER MANAGEMENT</t>
        </is>
      </c>
      <c r="C27" s="20" t="inlineStr">
        <is>
          <t>FLEET AND FACILITY MANAGEMENT ("2FM") IS THE LEAD DEPARTMENT FOR PO 32909 INTEGRATED PEST MANAGEMENT SERVICES,</t>
        </is>
      </c>
      <c r="D27" s="21" t="n">
        <v>34562.66</v>
      </c>
      <c r="E27" s="19" t="n">
        <v>682957</v>
      </c>
      <c r="F27" s="19" t="inlineStr">
        <is>
          <t>NOT in award file</t>
        </is>
      </c>
      <c r="G27" s="19" t="inlineStr">
        <is>
          <t>E</t>
        </is>
      </c>
      <c r="H27" s="26" t="inlineStr">
        <is>
          <t>No supporting evidence</t>
        </is>
      </c>
      <c r="I27" s="20" t="inlineStr">
        <is>
          <t>No linkage found in awarded contract file</t>
        </is>
      </c>
    </row>
    <row r="28">
      <c r="A28" s="22" t="n">
        <v>711554</v>
      </c>
      <c r="B28" s="22" t="inlineStr">
        <is>
          <t>DEPARTMENT OF HUMAN RESOURCES</t>
        </is>
      </c>
      <c r="C28" s="23" t="inlineStr">
        <is>
          <t>EXHIBIT B - MEDICAL/PHYSICAL EXAMS AND DRUG TESTING/LAB SERVICES - OCCUPATIONAL HEALTH CENTERS DBA CONCENTRA I</t>
        </is>
      </c>
      <c r="D28" s="24" t="n">
        <v>20353</v>
      </c>
      <c r="E28" s="22" t="n">
        <v>121696</v>
      </c>
      <c r="F28" s="22" t="inlineStr">
        <is>
          <t>NOT in award file</t>
        </is>
      </c>
      <c r="G28" s="22" t="inlineStr">
        <is>
          <t>E</t>
        </is>
      </c>
      <c r="H28" s="25" t="inlineStr">
        <is>
          <t>No supporting evidence</t>
        </is>
      </c>
      <c r="I28" s="23" t="inlineStr">
        <is>
          <t>No linkage found in awarded contract file</t>
        </is>
      </c>
    </row>
    <row r="29">
      <c r="A29" s="19" t="n">
        <v>718284</v>
      </c>
      <c r="B29" s="19" t="inlineStr">
        <is>
          <t>DEPARTMENT OF FLEET AND FACILITY MANAGEMENT</t>
        </is>
      </c>
      <c r="C29" s="20" t="inlineStr">
        <is>
          <t>2FM currently holds two helicopter maintenance contracts, however the Bell 407s and 429 aircraft are not under</t>
        </is>
      </c>
      <c r="D29" s="21" t="n">
        <v>18935.29</v>
      </c>
      <c r="E29" s="19" t="inlineStr">
        <is>
          <t>TBD</t>
        </is>
      </c>
      <c r="F29" s="19" t="inlineStr">
        <is>
          <t>No number supplied</t>
        </is>
      </c>
      <c r="G29" s="19" t="inlineStr">
        <is>
          <t>A</t>
        </is>
      </c>
      <c r="H29" s="28" t="inlineStr">
        <is>
          <t>VERIFIED</t>
        </is>
      </c>
      <c r="I29" s="20" t="inlineStr">
        <is>
          <t>Requisition ID link: Exhibit B new-contract RX = awarded REQ</t>
        </is>
      </c>
    </row>
    <row r="30">
      <c r="A30" s="22" t="n">
        <v>710068</v>
      </c>
      <c r="B30" s="22" t="inlineStr">
        <is>
          <t>DEPARTMENT OF FLEET AND FACILITY MANAGEMENT</t>
        </is>
      </c>
      <c r="C30" s="23" t="inlineStr">
        <is>
          <t>Helicopter 10633647 A    JS/ BJ/ 6-Invoices/ $18,010.22/ PD911Z/ WO 2603623/ ASR</t>
        </is>
      </c>
      <c r="D30" s="24" t="n">
        <v>18010.22</v>
      </c>
      <c r="E30" s="22" t="inlineStr">
        <is>
          <t>TBD</t>
        </is>
      </c>
      <c r="F30" s="22" t="inlineStr">
        <is>
          <t>No number supplied</t>
        </is>
      </c>
      <c r="G30" s="22" t="inlineStr">
        <is>
          <t>A</t>
        </is>
      </c>
      <c r="H30" s="30" t="inlineStr">
        <is>
          <t>VERIFIED</t>
        </is>
      </c>
      <c r="I30" s="23" t="inlineStr">
        <is>
          <t>Requisition ID link: Exhibit B new-contract RX = awarded REQ</t>
        </is>
      </c>
    </row>
    <row r="31">
      <c r="A31" s="19" t="n">
        <v>733996</v>
      </c>
      <c r="B31" s="19" t="inlineStr">
        <is>
          <t>DEPARTMENT OF WATER MANAGEMENT</t>
        </is>
      </c>
      <c r="C31" s="20" t="inlineStr">
        <is>
          <t>Street and Parkway Restoration Central North Region</t>
        </is>
      </c>
      <c r="D31" s="21" t="n">
        <v>15780.52</v>
      </c>
      <c r="E31" s="19" t="n">
        <v>304519</v>
      </c>
      <c r="F31" s="19" t="inlineStr">
        <is>
          <t>NOT in award file</t>
        </is>
      </c>
      <c r="G31" s="19" t="inlineStr">
        <is>
          <t>C</t>
        </is>
      </c>
      <c r="H31" s="27" t="inlineStr">
        <is>
          <t>Weak / partial evidence</t>
        </is>
      </c>
      <c r="I31" s="20" t="inlineStr">
        <is>
          <t>Vendor name match only (similarity 0.07)</t>
        </is>
      </c>
    </row>
    <row r="32">
      <c r="A32" s="22" t="n">
        <v>742847</v>
      </c>
      <c r="B32" s="22" t="inlineStr">
        <is>
          <t>CHICAGO DEPARTMENT OF TRANSPORTATION</t>
        </is>
      </c>
      <c r="C32" s="23" t="inlineStr">
        <is>
          <t>31st Street Viaduct over Metra/ICRR - Exhibit B payment request for AECOM (PO #47573 - Rel 5)</t>
        </is>
      </c>
      <c r="D32" s="24" t="n">
        <v>13656.95</v>
      </c>
      <c r="E32" s="22" t="n">
        <v>47573</v>
      </c>
      <c r="F32" s="22" t="inlineStr">
        <is>
          <t>NOT in award file</t>
        </is>
      </c>
      <c r="G32" s="22" t="inlineStr">
        <is>
          <t>E</t>
        </is>
      </c>
      <c r="H32" s="25" t="inlineStr">
        <is>
          <t>No supporting evidence</t>
        </is>
      </c>
      <c r="I32" s="23" t="inlineStr">
        <is>
          <t>No linkage found in awarded contract file</t>
        </is>
      </c>
    </row>
    <row r="33">
      <c r="A33" s="19" t="n">
        <v>746507</v>
      </c>
      <c r="B33" s="19" t="inlineStr">
        <is>
          <t>DEPARTMENT OF FAMILY AND SUPPORT SERVICES</t>
        </is>
      </c>
      <c r="C33" s="20" t="inlineStr">
        <is>
          <t>Exhibit B_$9865</t>
        </is>
      </c>
      <c r="D33" s="21" t="n">
        <v>9865</v>
      </c>
      <c r="E33" s="19" t="n">
        <v>53096</v>
      </c>
      <c r="F33" s="19" t="inlineStr">
        <is>
          <t>NOT in award file</t>
        </is>
      </c>
      <c r="G33" s="19" t="inlineStr">
        <is>
          <t>E</t>
        </is>
      </c>
      <c r="H33" s="26" t="inlineStr">
        <is>
          <t>No supporting evidence</t>
        </is>
      </c>
      <c r="I33" s="20" t="inlineStr">
        <is>
          <t>No linkage found in awarded contract file</t>
        </is>
      </c>
    </row>
    <row r="34">
      <c r="A34" s="22" t="n">
        <v>742855</v>
      </c>
      <c r="B34" s="22" t="inlineStr">
        <is>
          <t>DEPARTMENT OF FAMILY AND SUPPORT SERVICES</t>
        </is>
      </c>
      <c r="C34" s="23" t="inlineStr">
        <is>
          <t>Exhibit B_2 8160</t>
        </is>
      </c>
      <c r="D34" s="24" t="n">
        <v>8160</v>
      </c>
      <c r="E34" s="22" t="n">
        <v>348927</v>
      </c>
      <c r="F34" s="22" t="inlineStr">
        <is>
          <t>Found in award file</t>
        </is>
      </c>
      <c r="G34" s="22" t="inlineStr">
        <is>
          <t>A</t>
        </is>
      </c>
      <c r="H34" s="29" t="inlineStr">
        <is>
          <t>Weak / partial evidence</t>
        </is>
      </c>
      <c r="I34" s="23" t="inlineStr">
        <is>
          <t>Contract number link: reported number = awarded PO</t>
        </is>
      </c>
    </row>
    <row r="35">
      <c r="A35" s="19" t="n">
        <v>742832</v>
      </c>
      <c r="B35" s="19" t="inlineStr">
        <is>
          <t>DEPARTMENT OF FAMILY AND SUPPORT SERVICES</t>
        </is>
      </c>
      <c r="C35" s="20" t="inlineStr">
        <is>
          <t>Exhibit B_ 8160</t>
        </is>
      </c>
      <c r="D35" s="21" t="n">
        <v>8160</v>
      </c>
      <c r="E35" s="19" t="n">
        <v>348927</v>
      </c>
      <c r="F35" s="19" t="inlineStr">
        <is>
          <t>Found in award file</t>
        </is>
      </c>
      <c r="G35" s="19" t="inlineStr">
        <is>
          <t>A</t>
        </is>
      </c>
      <c r="H35" s="27" t="inlineStr">
        <is>
          <t>Weak / partial evidence</t>
        </is>
      </c>
      <c r="I35" s="20" t="inlineStr">
        <is>
          <t>Contract number link: reported number = awarded PO</t>
        </is>
      </c>
    </row>
    <row r="36">
      <c r="A36" s="22" t="n">
        <v>742887</v>
      </c>
      <c r="B36" s="22" t="inlineStr">
        <is>
          <t>DEPARTMENT OF FAMILY AND SUPPORT SERVICES</t>
        </is>
      </c>
      <c r="C36" s="23" t="inlineStr">
        <is>
          <t>Exhibit B_3_7644</t>
        </is>
      </c>
      <c r="D36" s="24" t="n">
        <v>7644</v>
      </c>
      <c r="E36" s="22" t="n">
        <v>348927</v>
      </c>
      <c r="F36" s="22" t="inlineStr">
        <is>
          <t>Found in award file</t>
        </is>
      </c>
      <c r="G36" s="22" t="inlineStr">
        <is>
          <t>A</t>
        </is>
      </c>
      <c r="H36" s="29" t="inlineStr">
        <is>
          <t>Weak / partial evidence</t>
        </is>
      </c>
      <c r="I36" s="23" t="inlineStr">
        <is>
          <t>Contract number link: reported number = awarded PO</t>
        </is>
      </c>
    </row>
    <row r="37">
      <c r="A37" s="19" t="n">
        <v>714146</v>
      </c>
      <c r="B37" s="19" t="inlineStr">
        <is>
          <t>DEPARTMENT OF WATER MANAGEMENT</t>
        </is>
      </c>
      <c r="C37" s="20" t="inlineStr">
        <is>
          <t>DCASE IS THE LEAD DEPARTMENT. REQ#613315 WAS SUBMITTED TO DPS ON 8/13/2024 FOR A NEW CONTRACT (BOARD DATE:09/1</t>
        </is>
      </c>
      <c r="D37" s="21" t="n">
        <v>6427</v>
      </c>
      <c r="E37" s="19" t="n">
        <v>613315</v>
      </c>
      <c r="F37" s="19" t="inlineStr">
        <is>
          <t>Found in award file</t>
        </is>
      </c>
      <c r="G37" s="19" t="inlineStr">
        <is>
          <t>C</t>
        </is>
      </c>
      <c r="H37" s="27" t="inlineStr">
        <is>
          <t>Weak / partial evidence</t>
        </is>
      </c>
      <c r="I37" s="20" t="inlineStr">
        <is>
          <t>Vendor name match only (similarity 0.00)</t>
        </is>
      </c>
    </row>
    <row r="38">
      <c r="A38" s="22" t="n">
        <v>718031</v>
      </c>
      <c r="B38" s="22" t="inlineStr">
        <is>
          <t>DEPARTMENT OF WATER MANAGEMENT</t>
        </is>
      </c>
      <c r="C38" s="23" t="inlineStr">
        <is>
          <t>A REQ#700212 HAS SUBMITED TO DPS FOR 181-DAY EXTENSION AND IS PENDING DOCUSIGN APPROVAL AS OF 2/9/26. A NEW CO</t>
        </is>
      </c>
      <c r="D38" s="24" t="n">
        <v>6325</v>
      </c>
      <c r="E38" s="22" t="n">
        <v>700212</v>
      </c>
      <c r="F38" s="22" t="inlineStr">
        <is>
          <t>NOT in award file</t>
        </is>
      </c>
      <c r="G38" s="22" t="inlineStr">
        <is>
          <t>C</t>
        </is>
      </c>
      <c r="H38" s="29" t="inlineStr">
        <is>
          <t>Weak / partial evidence</t>
        </is>
      </c>
      <c r="I38" s="23" t="inlineStr">
        <is>
          <t>Vendor name match only (similarity 0.00)</t>
        </is>
      </c>
    </row>
    <row r="39">
      <c r="A39" s="19" t="n">
        <v>714112</v>
      </c>
      <c r="B39" s="19" t="inlineStr">
        <is>
          <t>DEPARTMENT OF WATER MANAGEMENT</t>
        </is>
      </c>
      <c r="C39" s="20" t="inlineStr">
        <is>
          <t xml:space="preserve">THIS SERVICE SANITATION ORDER NEEDED A NEW CONTRACT FOR THE PREVIOUS ONE HAS EXPIRED AND HAD BEEN WAITING FOR </t>
        </is>
      </c>
      <c r="D39" s="21" t="n">
        <v>6325</v>
      </c>
      <c r="E39" s="19" t="n">
        <v>613315</v>
      </c>
      <c r="F39" s="19" t="inlineStr">
        <is>
          <t>Found in award file</t>
        </is>
      </c>
      <c r="G39" s="19" t="inlineStr">
        <is>
          <t>C</t>
        </is>
      </c>
      <c r="H39" s="27" t="inlineStr">
        <is>
          <t>Weak / partial evidence</t>
        </is>
      </c>
      <c r="I39" s="20" t="inlineStr">
        <is>
          <t>Vendor name match only (similarity 0.00)</t>
        </is>
      </c>
    </row>
    <row r="40">
      <c r="A40" s="22" t="n">
        <v>716858</v>
      </c>
      <c r="B40" s="22" t="inlineStr">
        <is>
          <t>DEPARTMENT OF WATER MANAGEMENT</t>
        </is>
      </c>
      <c r="C40" s="23" t="inlineStr">
        <is>
          <t>SERVICE SANTATION REQ#613315. DCASE IS THE LEAD DEPARTMENT AND THE REQ WAS SENT TO DPS FOR A new contract on 8</t>
        </is>
      </c>
      <c r="D40" s="24" t="n">
        <v>5917</v>
      </c>
      <c r="E40" s="22" t="n">
        <v>613315</v>
      </c>
      <c r="F40" s="22" t="inlineStr">
        <is>
          <t>Found in award file</t>
        </is>
      </c>
      <c r="G40" s="22" t="inlineStr">
        <is>
          <t>A</t>
        </is>
      </c>
      <c r="H40" s="30" t="inlineStr">
        <is>
          <t>VERIFIED</t>
        </is>
      </c>
      <c r="I40" s="23" t="inlineStr">
        <is>
          <t>Requisition ID link: Exhibit B new-contract RX = awarded REQ</t>
        </is>
      </c>
    </row>
    <row r="41">
      <c r="A41" s="19" t="n">
        <v>714132</v>
      </c>
      <c r="B41" s="19" t="inlineStr">
        <is>
          <t>CHICAGO DEPARTMENT OF PUBLIC HEALTH</t>
        </is>
      </c>
      <c r="C41" s="20" t="inlineStr">
        <is>
          <t>All In One Desktops</t>
        </is>
      </c>
      <c r="D41" s="21" t="n">
        <v>4815</v>
      </c>
      <c r="E41" s="19" t="inlineStr"/>
      <c r="F41" s="19" t="inlineStr">
        <is>
          <t>No number supplied</t>
        </is>
      </c>
      <c r="G41" s="19" t="inlineStr">
        <is>
          <t>E</t>
        </is>
      </c>
      <c r="H41" s="26" t="inlineStr">
        <is>
          <t>No supporting evidence</t>
        </is>
      </c>
      <c r="I41" s="20" t="inlineStr">
        <is>
          <t>No linkage found in awarded contract file</t>
        </is>
      </c>
    </row>
    <row r="42">
      <c r="A42" s="22" t="n">
        <v>722200</v>
      </c>
      <c r="B42" s="22" t="inlineStr">
        <is>
          <t>DEPARTMENT OF FLEET AND FACILITY MANAGEMENT</t>
        </is>
      </c>
      <c r="C42" s="23" t="inlineStr">
        <is>
          <t>Hastings 1033282 B   JS/ JG/ Invoice Number: O38604D102-B/ $3,451.50/ January / Exhaust System Maint Pt. 2</t>
        </is>
      </c>
      <c r="D42" s="24" t="n">
        <v>3451.5</v>
      </c>
      <c r="E42" s="22" t="n">
        <v>112351</v>
      </c>
      <c r="F42" s="22" t="inlineStr">
        <is>
          <t>NOT in award file</t>
        </is>
      </c>
      <c r="G42" s="22" t="inlineStr">
        <is>
          <t>E</t>
        </is>
      </c>
      <c r="H42" s="25" t="inlineStr">
        <is>
          <t>No supporting evidence</t>
        </is>
      </c>
      <c r="I42" s="23" t="inlineStr">
        <is>
          <t>No linkage found in awarded contract file</t>
        </is>
      </c>
    </row>
    <row r="43">
      <c r="A43" s="19" t="n">
        <v>724291</v>
      </c>
      <c r="B43" s="19" t="inlineStr">
        <is>
          <t>DEPARTMENT OF HUMAN RESOURCES</t>
        </is>
      </c>
      <c r="C43" s="20" t="inlineStr">
        <is>
          <t>FRANK COONEY, INV# 7005, INVOICE DATE 2/18/26, AMOUNT $2,893.75</t>
        </is>
      </c>
      <c r="D43" s="21" t="n">
        <v>2893.75</v>
      </c>
      <c r="E43" s="19" t="inlineStr">
        <is>
          <t>YES</t>
        </is>
      </c>
      <c r="F43" s="19" t="inlineStr">
        <is>
          <t>No number supplied</t>
        </is>
      </c>
      <c r="G43" s="19" t="inlineStr">
        <is>
          <t>E</t>
        </is>
      </c>
      <c r="H43" s="26" t="inlineStr">
        <is>
          <t>No supporting evidence</t>
        </is>
      </c>
      <c r="I43" s="20" t="inlineStr">
        <is>
          <t>No linkage found in awarded contract file</t>
        </is>
      </c>
    </row>
    <row r="44">
      <c r="A44" s="22" t="n">
        <v>711685</v>
      </c>
      <c r="B44" s="22" t="inlineStr">
        <is>
          <t>DEPARTMENT OF FLEET AND FACILITY MANAGEMENT</t>
        </is>
      </c>
      <c r="C44" s="23" t="inlineStr">
        <is>
          <t>TB/JG/INV #COCL112025 / $1890.50</t>
        </is>
      </c>
      <c r="D44" s="24" t="n">
        <v>1890.5</v>
      </c>
      <c r="E44" s="22" t="inlineStr">
        <is>
          <t>NO</t>
        </is>
      </c>
      <c r="F44" s="22" t="inlineStr">
        <is>
          <t>No number supplied</t>
        </is>
      </c>
      <c r="G44" s="22" t="inlineStr">
        <is>
          <t>E</t>
        </is>
      </c>
      <c r="H44" s="25" t="inlineStr">
        <is>
          <t>No supporting evidence</t>
        </is>
      </c>
      <c r="I44" s="23" t="inlineStr">
        <is>
          <t>No linkage found in awarded contract file</t>
        </is>
      </c>
    </row>
    <row r="45">
      <c r="A45" s="19" t="n">
        <v>709848</v>
      </c>
      <c r="B45" s="19" t="inlineStr">
        <is>
          <t>DEPARTMENT OF FLEET AND FACILITY MANAGEMENT</t>
        </is>
      </c>
      <c r="C45" s="20" t="inlineStr">
        <is>
          <t>2FM currently holds two helicopter maintenance contracts, however the Bell 407s and 429 aircraft are not under</t>
        </is>
      </c>
      <c r="D45" s="21" t="n">
        <v>1297.26</v>
      </c>
      <c r="E45" s="19" t="inlineStr">
        <is>
          <t>TBD</t>
        </is>
      </c>
      <c r="F45" s="19" t="inlineStr">
        <is>
          <t>No number supplied</t>
        </is>
      </c>
      <c r="G45" s="19" t="inlineStr">
        <is>
          <t>A</t>
        </is>
      </c>
      <c r="H45" s="28" t="inlineStr">
        <is>
          <t>VERIFIED</t>
        </is>
      </c>
      <c r="I45" s="20" t="inlineStr">
        <is>
          <t>Requisition ID link: Exhibit B new-contract RX = awarded REQ</t>
        </is>
      </c>
    </row>
    <row r="46">
      <c r="A46" s="22" t="n">
        <v>712189</v>
      </c>
      <c r="B46" s="22" t="inlineStr">
        <is>
          <t>CHICAGO DEPARTMENT OF PUBLIC HEALTH</t>
        </is>
      </c>
      <c r="C46" s="23" t="inlineStr">
        <is>
          <t>Web Hosting fees - Storage fees</t>
        </is>
      </c>
      <c r="D46" s="24" t="n">
        <v>1006.4</v>
      </c>
      <c r="E46" s="22" t="inlineStr">
        <is>
          <t>1209922/225755</t>
        </is>
      </c>
      <c r="F46" s="22" t="inlineStr">
        <is>
          <t>NOT in award file</t>
        </is>
      </c>
      <c r="G46" s="22" t="inlineStr">
        <is>
          <t>E</t>
        </is>
      </c>
      <c r="H46" s="25" t="inlineStr">
        <is>
          <t>No supporting evidence</t>
        </is>
      </c>
      <c r="I46" s="23" t="inlineStr">
        <is>
          <t>No linkage found in awarded contract file</t>
        </is>
      </c>
    </row>
    <row r="47">
      <c r="A47" s="19" t="n">
        <v>709600</v>
      </c>
      <c r="B47" s="19" t="inlineStr">
        <is>
          <t>DEPARTMENT OF FLEET AND FACILITY MANAGEMENT</t>
        </is>
      </c>
      <c r="C47" s="20" t="inlineStr">
        <is>
          <t>2FM currently holds two helicopter maintenance contracts, however the Bell 407s and 429 aircraft are not under</t>
        </is>
      </c>
      <c r="D47" s="21" t="n">
        <v>840</v>
      </c>
      <c r="E47" s="19" t="inlineStr">
        <is>
          <t>TBD</t>
        </is>
      </c>
      <c r="F47" s="19" t="inlineStr">
        <is>
          <t>No number supplied</t>
        </is>
      </c>
      <c r="G47" s="19" t="inlineStr">
        <is>
          <t>A</t>
        </is>
      </c>
      <c r="H47" s="28" t="inlineStr">
        <is>
          <t>VERIFIED</t>
        </is>
      </c>
      <c r="I47" s="20" t="inlineStr">
        <is>
          <t>Requisition ID link: Exhibit B new-contract RX = awarded REQ</t>
        </is>
      </c>
    </row>
    <row r="48">
      <c r="A48" s="22" t="n">
        <v>711660</v>
      </c>
      <c r="B48" s="22" t="inlineStr">
        <is>
          <t>DEPARTMENT OF FLEET AND FACILITY MANAGEMENT</t>
        </is>
      </c>
      <c r="C48" s="23" t="inlineStr">
        <is>
          <t>TB/JG/INV #COCL122025 / $580.98</t>
        </is>
      </c>
      <c r="D48" s="24" t="n">
        <v>580.98</v>
      </c>
      <c r="E48" s="22" t="inlineStr">
        <is>
          <t>PO#130155</t>
        </is>
      </c>
      <c r="F48" s="22" t="inlineStr">
        <is>
          <t>NOT in award file</t>
        </is>
      </c>
      <c r="G48" s="22" t="inlineStr">
        <is>
          <t>E</t>
        </is>
      </c>
      <c r="H48" s="25" t="inlineStr">
        <is>
          <t>No supporting evidence</t>
        </is>
      </c>
      <c r="I48" s="23" t="inlineStr">
        <is>
          <t>No linkage found in awarded contract file</t>
        </is>
      </c>
    </row>
    <row r="49">
      <c r="A49" s="19" t="n">
        <v>708543</v>
      </c>
      <c r="B49" s="19" t="inlineStr">
        <is>
          <t>DEPARTMENT OF PROCUREMENT SERVICES</t>
        </is>
      </c>
      <c r="C49" s="20" t="inlineStr">
        <is>
          <t>MAINTENANCE AND REPAIR SERVICE ON TRUCK SCALES. - QUARTERLY TRUCK SCALE MAINTENANCE AND REPAIRS PER DETAILED S</t>
        </is>
      </c>
      <c r="D49" s="21" t="n">
        <v>450</v>
      </c>
      <c r="E49" s="19" t="n">
        <v>1424904</v>
      </c>
      <c r="F49" s="19" t="inlineStr">
        <is>
          <t>NOT in award file</t>
        </is>
      </c>
      <c r="G49" s="19" t="inlineStr">
        <is>
          <t>A</t>
        </is>
      </c>
      <c r="H49" s="28" t="inlineStr">
        <is>
          <t>VERIFIED</t>
        </is>
      </c>
      <c r="I49" s="20" t="inlineStr">
        <is>
          <t>Requisition ID link: Exhibit B new-contract RX = awarded REQ</t>
        </is>
      </c>
    </row>
    <row r="50">
      <c r="A50" s="22" t="n">
        <v>741919</v>
      </c>
      <c r="B50" s="22" t="inlineStr">
        <is>
          <t>DEPARTMENT OF FLEET AND FACILITY MANAGEMENT</t>
        </is>
      </c>
      <c r="C50" s="23" t="inlineStr">
        <is>
          <t>CHICAGO UNITED 171076 / JK/ MM/ INVOICE #37743 / $424.32</t>
        </is>
      </c>
      <c r="D50" s="24" t="n">
        <v>424.32</v>
      </c>
      <c r="E50" s="22" t="n">
        <v>291363</v>
      </c>
      <c r="F50" s="22" t="inlineStr">
        <is>
          <t>NOT in award file</t>
        </is>
      </c>
      <c r="G50" s="22" t="inlineStr">
        <is>
          <t>E</t>
        </is>
      </c>
      <c r="H50" s="25" t="inlineStr">
        <is>
          <t>No supporting evidence</t>
        </is>
      </c>
      <c r="I50" s="23" t="inlineStr">
        <is>
          <t>No linkage found in awarded contract file</t>
        </is>
      </c>
    </row>
    <row r="51">
      <c r="A51" s="19" t="n">
        <v>731432</v>
      </c>
      <c r="B51" s="19" t="inlineStr">
        <is>
          <t>DEPARTMENT OF PROCUREMENT SERVICES</t>
        </is>
      </c>
      <c r="C51" s="20" t="inlineStr">
        <is>
          <t>Monthly Drinking Water Services at City of Chicago Salvage Operations May 2026</t>
        </is>
      </c>
      <c r="D51" s="21" t="n">
        <v>96.18000000000001</v>
      </c>
      <c r="E51" s="19" t="n">
        <v>30043</v>
      </c>
      <c r="F51" s="19" t="inlineStr">
        <is>
          <t>NOT in award file</t>
        </is>
      </c>
      <c r="G51" s="19" t="inlineStr">
        <is>
          <t>E</t>
        </is>
      </c>
      <c r="H51" s="26" t="inlineStr">
        <is>
          <t>No supporting evidence</t>
        </is>
      </c>
      <c r="I51" s="20" t="inlineStr">
        <is>
          <t>No linkage found in awarded contract file</t>
        </is>
      </c>
    </row>
    <row r="52">
      <c r="A52" s="22" t="n">
        <v>746334</v>
      </c>
      <c r="B52" s="22" t="inlineStr">
        <is>
          <t>DEPARTMENT OF PROCUREMENT SERVICES</t>
        </is>
      </c>
      <c r="C52" s="23" t="inlineStr">
        <is>
          <t>Monthly Drinking Water Services at City of Chicago Salvage Operations August 2026</t>
        </is>
      </c>
      <c r="D52" s="24" t="n">
        <v>29.97</v>
      </c>
      <c r="E52" s="22" t="n">
        <v>30043</v>
      </c>
      <c r="F52" s="22" t="inlineStr">
        <is>
          <t>NOT in award file</t>
        </is>
      </c>
      <c r="G52" s="22" t="inlineStr">
        <is>
          <t>E</t>
        </is>
      </c>
      <c r="H52" s="25" t="inlineStr">
        <is>
          <t>No supporting evidence</t>
        </is>
      </c>
      <c r="I52" s="23" t="inlineStr">
        <is>
          <t>No linkage found in awarded contract file</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1"/>
  <sheetViews>
    <sheetView workbookViewId="0">
      <pane ySplit="4" topLeftCell="A5" activePane="bottomLeft" state="frozen"/>
      <selection pane="bottomLeft" activeCell="A1" sqref="A1"/>
    </sheetView>
  </sheetViews>
  <sheetFormatPr baseColWidth="8" defaultRowHeight="15"/>
  <cols>
    <col width="7" customWidth="1" min="1" max="1"/>
    <col width="60" customWidth="1" min="2" max="2"/>
    <col width="32" customWidth="1" min="3" max="3"/>
    <col width="12" customWidth="1" min="4" max="4"/>
    <col width="16" customWidth="1" min="5" max="5"/>
    <col width="16" customWidth="1" min="6" max="6"/>
    <col width="9" customWidth="1" min="7" max="7"/>
    <col width="28" customWidth="1" min="8" max="8"/>
    <col width="28" customWidth="1" min="9" max="9"/>
  </cols>
  <sheetData>
    <row r="1" ht="30" customHeight="1">
      <c r="A1" s="1" t="inlineStr">
        <is>
          <t>STILL-OPEN SOURCING EFFORTS RANKED BY SPEND AT RISK</t>
        </is>
      </c>
    </row>
    <row r="2" ht="18" customHeight="1">
      <c r="A2" s="2" t="inlineStr">
        <is>
          <t>Maverick spend with no verified contract award. This is the work queue - clearing the top of this list removes the most Exhibit B activity.</t>
        </is>
      </c>
    </row>
    <row r="4" ht="30" customHeight="1">
      <c r="A4" s="6" t="inlineStr">
        <is>
          <t>Rank</t>
        </is>
      </c>
      <c r="B4" s="6" t="inlineStr">
        <is>
          <t>Description</t>
        </is>
      </c>
      <c r="C4" s="6" t="inlineStr">
        <is>
          <t>Lead Department</t>
        </is>
      </c>
      <c r="D4" s="6" t="inlineStr">
        <is>
          <t>Requisitions</t>
        </is>
      </c>
      <c r="E4" s="6" t="inlineStr">
        <is>
          <t>Exhibit B Spend</t>
        </is>
      </c>
      <c r="F4" s="6" t="inlineStr">
        <is>
          <t>Cumulative</t>
        </is>
      </c>
      <c r="G4" s="6" t="inlineStr">
        <is>
          <t>Cum %</t>
        </is>
      </c>
      <c r="H4" s="6" t="inlineStr">
        <is>
          <t>Procurement Phase</t>
        </is>
      </c>
      <c r="I4" s="6" t="inlineStr">
        <is>
          <t>Status</t>
        </is>
      </c>
    </row>
    <row r="5">
      <c r="A5" s="19" t="n">
        <v>1</v>
      </c>
      <c r="B5" s="20" t="inlineStr">
        <is>
          <t>There was an active contract for Comprehensive Custodial Services for Zones 1, 2, and 4, which expire on February 13, 2026. 2FM previously submitted a</t>
        </is>
      </c>
      <c r="C5" s="19" t="inlineStr">
        <is>
          <t>DEPARTMENT OF FLEET AND FACILITY MANAGEMENT</t>
        </is>
      </c>
      <c r="D5" s="19" t="n">
        <v>49</v>
      </c>
      <c r="E5" s="21" t="n">
        <v>16275950.91</v>
      </c>
      <c r="F5" s="21" t="n">
        <v>16275950.91</v>
      </c>
      <c r="G5" s="33" t="n">
        <v>0.3058854849481561</v>
      </c>
      <c r="H5" s="19" t="inlineStr">
        <is>
          <t>A. Specification Development Phase</t>
        </is>
      </c>
      <c r="I5" s="19" t="inlineStr">
        <is>
          <t>Still open</t>
        </is>
      </c>
    </row>
    <row r="6">
      <c r="A6" s="22" t="n">
        <v>2</v>
      </c>
      <c r="B6" s="23" t="inlineStr">
        <is>
          <t>PO 96175 Aldridge Electric Exhibit B $3,900,000.00</t>
        </is>
      </c>
      <c r="C6" s="22" t="inlineStr">
        <is>
          <t>CHICAGO DEPARTMENT OF TRANSPORTATION</t>
        </is>
      </c>
      <c r="D6" s="22" t="n">
        <v>1</v>
      </c>
      <c r="E6" s="24" t="n">
        <v>3900000</v>
      </c>
      <c r="F6" s="24" t="n">
        <v>20175950.91</v>
      </c>
      <c r="G6" s="34" t="n">
        <v>0.379180950011574</v>
      </c>
      <c r="H6" s="22" t="inlineStr">
        <is>
          <t>E. ROA - (Recommendation of Award)</t>
        </is>
      </c>
      <c r="I6" s="22" t="inlineStr">
        <is>
          <t>Claimed awarded - UNVERIFIED</t>
        </is>
      </c>
    </row>
    <row r="7">
      <c r="A7" s="19" t="n">
        <v>3</v>
      </c>
      <c r="B7" s="20" t="inlineStr">
        <is>
          <t>Transfered from APRF No. 511278.  Regular and emergency bus services at O'Hare Airport for January through March 2026</t>
        </is>
      </c>
      <c r="C7" s="19" t="inlineStr">
        <is>
          <t>CHICAGO DEPARTMENT OF AVIATION</t>
        </is>
      </c>
      <c r="D7" s="19" t="n">
        <v>1</v>
      </c>
      <c r="E7" s="21" t="n">
        <v>3276126.91</v>
      </c>
      <c r="F7" s="21" t="n">
        <v>23452077.82</v>
      </c>
      <c r="G7" s="33" t="n">
        <v>0.440751525774453</v>
      </c>
      <c r="H7" s="19" t="inlineStr">
        <is>
          <t>F. SC - (Signature Cycle)</t>
        </is>
      </c>
      <c r="I7" s="19" t="inlineStr">
        <is>
          <t>Still open</t>
        </is>
      </c>
    </row>
    <row r="8">
      <c r="A8" s="22" t="n">
        <v>4</v>
      </c>
      <c r="B8" s="23" t="inlineStr">
        <is>
          <t>Liquid Aluminum Sulfate (Iron Free)</t>
        </is>
      </c>
      <c r="C8" s="22" t="inlineStr">
        <is>
          <t>DEPARTMENT OF WATER MANAGEMENT</t>
        </is>
      </c>
      <c r="D8" s="22" t="n">
        <v>7</v>
      </c>
      <c r="E8" s="24" t="n">
        <v>3248945.81</v>
      </c>
      <c r="F8" s="24" t="n">
        <v>26701023.63</v>
      </c>
      <c r="G8" s="34" t="n">
        <v>0.501811267853887</v>
      </c>
      <c r="H8" s="22" t="inlineStr">
        <is>
          <t>A. Specification Development Phase</t>
        </is>
      </c>
      <c r="I8" s="22" t="inlineStr">
        <is>
          <t>Still open</t>
        </is>
      </c>
    </row>
    <row r="9">
      <c r="A9" s="19" t="n">
        <v>5</v>
      </c>
      <c r="B9" s="20" t="inlineStr">
        <is>
          <t>Transfered from APRF No. 513665.  Requesting a Direct Voucher - Exhibit B for O'Hare due to expired contract. Elevators,1-MOD/Final 7/27/26 nt</t>
        </is>
      </c>
      <c r="C9" s="19" t="inlineStr">
        <is>
          <t>CHICAGO DEPARTMENT OF AVIATION</t>
        </is>
      </c>
      <c r="D9" s="19" t="n">
        <v>3</v>
      </c>
      <c r="E9" s="21" t="n">
        <v>2596967.79</v>
      </c>
      <c r="F9" s="21" t="n">
        <v>29297991.42</v>
      </c>
      <c r="G9" s="33" t="n">
        <v>0.5506179247571604</v>
      </c>
      <c r="H9" s="19" t="inlineStr">
        <is>
          <t>D. Solicitation Response Under Evaluation</t>
        </is>
      </c>
      <c r="I9" s="19" t="inlineStr">
        <is>
          <t>Still open</t>
        </is>
      </c>
    </row>
    <row r="10">
      <c r="A10" s="22" t="n">
        <v>6</v>
      </c>
      <c r="B10" s="23" t="inlineStr">
        <is>
          <t>PURCHASE OF BLACK AND BLUE MOBILE CARTS</t>
        </is>
      </c>
      <c r="C10" s="22" t="inlineStr">
        <is>
          <t>DEPARTMENT OF STREETS AND SANITATION</t>
        </is>
      </c>
      <c r="D10" s="22" t="n">
        <v>4</v>
      </c>
      <c r="E10" s="24" t="n">
        <v>2406381.45</v>
      </c>
      <c r="F10" s="24" t="n">
        <v>31704372.87</v>
      </c>
      <c r="G10" s="34" t="n">
        <v>0.5958427574488865</v>
      </c>
      <c r="H10" s="22" t="inlineStr">
        <is>
          <t>C. Solicitation or Bidding Phase</t>
        </is>
      </c>
      <c r="I10" s="22" t="inlineStr">
        <is>
          <t>Still open</t>
        </is>
      </c>
    </row>
    <row r="11">
      <c r="A11" s="19" t="n">
        <v>7</v>
      </c>
      <c r="B11" s="20" t="inlineStr">
        <is>
          <t>Street and Parkway Restoration Central North Region</t>
        </is>
      </c>
      <c r="C11" s="19" t="inlineStr">
        <is>
          <t>DEPARTMENT OF WATER MANAGEMENT</t>
        </is>
      </c>
      <c r="D11" s="19" t="n">
        <v>2</v>
      </c>
      <c r="E11" s="21" t="n">
        <v>1902848.11</v>
      </c>
      <c r="F11" s="21" t="n">
        <v>33607220.98</v>
      </c>
      <c r="G11" s="33" t="n">
        <v>0.6316043310815777</v>
      </c>
      <c r="H11" s="19" t="inlineStr">
        <is>
          <t>H. One Time Purchase</t>
        </is>
      </c>
      <c r="I11" s="19" t="inlineStr">
        <is>
          <t>Claimed awarded - UNVERIFIED</t>
        </is>
      </c>
    </row>
    <row r="12">
      <c r="A12" s="22" t="n">
        <v>8</v>
      </c>
      <c r="B12" s="23" t="inlineStr">
        <is>
          <t>FFIB Industrial Fence $578,668.60</t>
        </is>
      </c>
      <c r="C12" s="22" t="inlineStr">
        <is>
          <t>CHICAGO FIRE DEPARTMENT</t>
        </is>
      </c>
      <c r="D12" s="22" t="n">
        <v>22</v>
      </c>
      <c r="E12" s="24" t="n">
        <v>1061040.05</v>
      </c>
      <c r="F12" s="24" t="n">
        <v>34668261.02999999</v>
      </c>
      <c r="G12" s="34" t="n">
        <v>0.6515452090086705</v>
      </c>
      <c r="H12" s="22" t="inlineStr">
        <is>
          <t>B. City Law Review</t>
        </is>
      </c>
      <c r="I12" s="22" t="inlineStr">
        <is>
          <t>Still open</t>
        </is>
      </c>
    </row>
    <row r="13">
      <c r="A13" s="19" t="n">
        <v>9</v>
      </c>
      <c r="B13" s="20" t="inlineStr">
        <is>
          <t>Street and Parkway Restoration North Region</t>
        </is>
      </c>
      <c r="C13" s="19" t="inlineStr">
        <is>
          <t>DEPARTMENT OF WATER MANAGEMENT</t>
        </is>
      </c>
      <c r="D13" s="19" t="n">
        <v>1</v>
      </c>
      <c r="E13" s="21" t="n">
        <v>938950.36</v>
      </c>
      <c r="F13" s="21" t="n">
        <v>35607211.38999999</v>
      </c>
      <c r="G13" s="33" t="n">
        <v>0.6691915688311483</v>
      </c>
      <c r="H13" s="19" t="inlineStr">
        <is>
          <t>H. One Time Purchase</t>
        </is>
      </c>
      <c r="I13" s="19" t="inlineStr">
        <is>
          <t>Claimed awarded - UNVERIFIED</t>
        </is>
      </c>
    </row>
    <row r="14">
      <c r="A14" s="22" t="n">
        <v>10</v>
      </c>
      <c r="B14" s="23" t="inlineStr">
        <is>
          <t>PROVIDE AN ELECTRICIANCUSTOMER, TROUBLESHOOTACCURPRESS AND BACK GAUGE FOROPERATION</t>
        </is>
      </c>
      <c r="C14" s="22" t="inlineStr">
        <is>
          <t>CHICAGO DEPARTMENT OF TRANSPORTATION</t>
        </is>
      </c>
      <c r="D14" s="22" t="n">
        <v>10</v>
      </c>
      <c r="E14" s="24" t="n">
        <v>891296.67</v>
      </c>
      <c r="F14" s="24" t="n">
        <v>36498508.05999999</v>
      </c>
      <c r="G14" s="34" t="n">
        <v>0.685942339071437</v>
      </c>
      <c r="H14" s="22" t="inlineStr">
        <is>
          <t>B. City Law Review</t>
        </is>
      </c>
      <c r="I14" s="22" t="inlineStr">
        <is>
          <t>Still open</t>
        </is>
      </c>
    </row>
    <row r="15">
      <c r="A15" s="19" t="n">
        <v>11</v>
      </c>
      <c r="B15" s="20" t="inlineStr">
        <is>
          <t>There is currently no active contract for Integrated Pest Management. The vendor chose not to extend beyond the May 29, 2025 expiration date. 2FM subm</t>
        </is>
      </c>
      <c r="C15" s="19" t="inlineStr">
        <is>
          <t>DEPARTMENT OF FLEET AND FACILITY MANAGEMENT</t>
        </is>
      </c>
      <c r="D15" s="19" t="n">
        <v>21</v>
      </c>
      <c r="E15" s="21" t="n">
        <v>824511.78</v>
      </c>
      <c r="F15" s="21" t="n">
        <v>37323019.84</v>
      </c>
      <c r="G15" s="33" t="n">
        <v>0.7014379735240951</v>
      </c>
      <c r="H15" s="19" t="inlineStr">
        <is>
          <t>A. Specification Development Phase</t>
        </is>
      </c>
      <c r="I15" s="19" t="inlineStr">
        <is>
          <t>Still open</t>
        </is>
      </c>
    </row>
    <row r="16">
      <c r="A16" s="22" t="n">
        <v>12</v>
      </c>
      <c r="B16" s="23" t="inlineStr">
        <is>
          <t>Street and Parkway and Restoration Project No. 19-623 Central South Region</t>
        </is>
      </c>
      <c r="C16" s="22" t="inlineStr">
        <is>
          <t>DEPARTMENT OF WATER MANAGEMENT</t>
        </is>
      </c>
      <c r="D16" s="22" t="n">
        <v>1</v>
      </c>
      <c r="E16" s="24" t="n">
        <v>687712.6800000001</v>
      </c>
      <c r="F16" s="24" t="n">
        <v>38010732.52</v>
      </c>
      <c r="G16" s="34" t="n">
        <v>0.7143626455011745</v>
      </c>
      <c r="H16" s="22" t="inlineStr">
        <is>
          <t>H. One Time Purchase</t>
        </is>
      </c>
      <c r="I16" s="22" t="inlineStr">
        <is>
          <t>Claimed awarded - UNVERIFIED</t>
        </is>
      </c>
    </row>
    <row r="17">
      <c r="A17" s="19" t="n">
        <v>13</v>
      </c>
      <c r="B17" s="20" t="inlineStr">
        <is>
          <t>Invoice# I1257961</t>
        </is>
      </c>
      <c r="C17" s="19" t="inlineStr">
        <is>
          <t>CHICAGO DEPARTMENT OF AVIATION</t>
        </is>
      </c>
      <c r="D17" s="19" t="n">
        <v>1</v>
      </c>
      <c r="E17" s="21" t="n">
        <v>684760.97</v>
      </c>
      <c r="F17" s="21" t="n">
        <v>38695493.48999999</v>
      </c>
      <c r="G17" s="33" t="n">
        <v>0.727231843899489</v>
      </c>
      <c r="H17" s="19" t="inlineStr">
        <is>
          <t>C. Solicitation or Bidding Phase</t>
        </is>
      </c>
      <c r="I17" s="19" t="inlineStr">
        <is>
          <t>Still open</t>
        </is>
      </c>
    </row>
    <row r="18">
      <c r="A18" s="22" t="n">
        <v>14</v>
      </c>
      <c r="B18" s="23" t="inlineStr">
        <is>
          <t>WB/MM/INVOICE#598412/$1221.66</t>
        </is>
      </c>
      <c r="C18" s="22" t="inlineStr">
        <is>
          <t>DEPARTMENT OF FLEET AND FACILITY MANAGEMENT</t>
        </is>
      </c>
      <c r="D18" s="22" t="n">
        <v>35</v>
      </c>
      <c r="E18" s="24" t="n">
        <v>678952.98</v>
      </c>
      <c r="F18" s="24" t="n">
        <v>39374446.46999999</v>
      </c>
      <c r="G18" s="34" t="n">
        <v>0.7399918886239232</v>
      </c>
      <c r="H18" s="22" t="inlineStr">
        <is>
          <t>B. City Law Review</t>
        </is>
      </c>
      <c r="I18" s="22" t="inlineStr">
        <is>
          <t>Still open</t>
        </is>
      </c>
    </row>
    <row r="19">
      <c r="A19" s="19" t="n">
        <v>15</v>
      </c>
      <c r="B19" s="20" t="inlineStr">
        <is>
          <t>PO 114541 Exhibit B for Atlas Technical Consultants LLC</t>
        </is>
      </c>
      <c r="C19" s="19" t="inlineStr">
        <is>
          <t>CHICAGO DEPARTMENT OF TRANSPORTATION</t>
        </is>
      </c>
      <c r="D19" s="19" t="n">
        <v>1</v>
      </c>
      <c r="E19" s="21" t="n">
        <v>503441.06</v>
      </c>
      <c r="F19" s="21" t="n">
        <v>39877887.52999999</v>
      </c>
      <c r="G19" s="33" t="n">
        <v>0.7494534133994925</v>
      </c>
      <c r="H19" s="19" t="inlineStr">
        <is>
          <t>G. Not Applicable (Office Depot use Only)</t>
        </is>
      </c>
      <c r="I19" s="19" t="inlineStr">
        <is>
          <t>Claimed awarded - UNVERIFIED</t>
        </is>
      </c>
    </row>
    <row r="20">
      <c r="A20" s="22" t="n">
        <v>16</v>
      </c>
      <c r="B20" s="23" t="inlineStr">
        <is>
          <t>R4 Services / JK / EJ / INV # A410397 / $42,446.68 / June 2026</t>
        </is>
      </c>
      <c r="C20" s="22" t="inlineStr">
        <is>
          <t>DEPARTMENT OF FLEET AND FACILITY MANAGEMENT</t>
        </is>
      </c>
      <c r="D20" s="22" t="n">
        <v>8</v>
      </c>
      <c r="E20" s="24" t="n">
        <v>484042.33</v>
      </c>
      <c r="F20" s="24" t="n">
        <v>40361929.85999999</v>
      </c>
      <c r="G20" s="34" t="n">
        <v>0.7585503640886541</v>
      </c>
      <c r="H20" s="22" t="inlineStr">
        <is>
          <t>E. ROA - (Recommendation of Award)</t>
        </is>
      </c>
      <c r="I20" s="22" t="inlineStr">
        <is>
          <t>Still open</t>
        </is>
      </c>
    </row>
    <row r="21">
      <c r="A21" s="19" t="n">
        <v>17</v>
      </c>
      <c r="B21" s="20" t="inlineStr">
        <is>
          <t>TB/AH/10 INVOICES/$348,811.34</t>
        </is>
      </c>
      <c r="C21" s="19" t="inlineStr">
        <is>
          <t>DEPARTMENT OF FLEET AND FACILITY MANAGEMENT</t>
        </is>
      </c>
      <c r="D21" s="19" t="n">
        <v>5</v>
      </c>
      <c r="E21" s="21" t="n">
        <v>460263.55</v>
      </c>
      <c r="F21" s="21" t="n">
        <v>40822193.40999999</v>
      </c>
      <c r="G21" s="33" t="n">
        <v>0.7672004233063436</v>
      </c>
      <c r="H21" s="19" t="inlineStr">
        <is>
          <t>C. Solicitation or Bidding Phase</t>
        </is>
      </c>
      <c r="I21" s="19" t="inlineStr">
        <is>
          <t>Still open</t>
        </is>
      </c>
    </row>
    <row r="22">
      <c r="A22" s="22" t="n">
        <v>18</v>
      </c>
      <c r="B22" s="23" t="inlineStr">
        <is>
          <t>#5 Invoices  $242,660.23  Transferred from APRF No. 505880.  Replace broken glass at Rotunda, H&amp;R plant, T3 UL vestibule 3H, and bullet resistant pMOD</t>
        </is>
      </c>
      <c r="C22" s="22" t="inlineStr">
        <is>
          <t>CHICAGO DEPARTMENT OF AVIATION</t>
        </is>
      </c>
      <c r="D22" s="22" t="n">
        <v>3</v>
      </c>
      <c r="E22" s="24" t="n">
        <v>456128.15</v>
      </c>
      <c r="F22" s="24" t="n">
        <v>41278321.55999999</v>
      </c>
      <c r="G22" s="34" t="n">
        <v>0.7757727630198735</v>
      </c>
      <c r="H22" s="22" t="inlineStr">
        <is>
          <t>B. City Law Review</t>
        </is>
      </c>
      <c r="I22" s="22" t="inlineStr">
        <is>
          <t>Still open</t>
        </is>
      </c>
    </row>
    <row r="23">
      <c r="A23" s="19" t="n">
        <v>19</v>
      </c>
      <c r="B23" s="20" t="inlineStr">
        <is>
          <t>Transferred from APRF No. 511689.  ONE TIME PURCHASE OF TWENTY-FOUR (24) MOBILE COLUMN HOISTS WITH EXTENSION KITS1-MOD/Final 4/16/26 kf</t>
        </is>
      </c>
      <c r="C23" s="19" t="inlineStr">
        <is>
          <t>CHICAGO DEPARTMENT OF AVIATION</t>
        </is>
      </c>
      <c r="D23" s="19" t="n">
        <v>2</v>
      </c>
      <c r="E23" s="21" t="n">
        <v>404724.23</v>
      </c>
      <c r="F23" s="21" t="n">
        <v>41683045.78999998</v>
      </c>
      <c r="G23" s="33" t="n">
        <v>0.7833790324199462</v>
      </c>
      <c r="H23" s="19" t="inlineStr">
        <is>
          <t>H. One Time Purchase</t>
        </is>
      </c>
      <c r="I23" s="19" t="inlineStr">
        <is>
          <t>Still open</t>
        </is>
      </c>
    </row>
    <row r="24">
      <c r="A24" s="22" t="n">
        <v>20</v>
      </c>
      <c r="B24" s="23" t="inlineStr">
        <is>
          <t>VARIOUS STREET SIGN MAKING SUPPLIES</t>
        </is>
      </c>
      <c r="C24" s="22" t="inlineStr">
        <is>
          <t>CHICAGO DEPARTMENT OF TRANSPORTATION</t>
        </is>
      </c>
      <c r="D24" s="22" t="n">
        <v>4</v>
      </c>
      <c r="E24" s="24" t="n">
        <v>383274.22</v>
      </c>
      <c r="F24" s="24" t="n">
        <v>42066320.00999998</v>
      </c>
      <c r="G24" s="34" t="n">
        <v>0.790582176574233</v>
      </c>
      <c r="H24" s="22" t="inlineStr">
        <is>
          <t>A. Specification Development Phase</t>
        </is>
      </c>
      <c r="I24" s="22" t="inlineStr">
        <is>
          <t>Still open</t>
        </is>
      </c>
    </row>
    <row r="25">
      <c r="A25" s="19" t="n">
        <v>21</v>
      </c>
      <c r="B25" s="20" t="inlineStr">
        <is>
          <t>Landscape Maintenance Services</t>
        </is>
      </c>
      <c r="C25" s="19" t="inlineStr">
        <is>
          <t>CHICAGO DEPARTMENT OF TRANSPORTATION</t>
        </is>
      </c>
      <c r="D25" s="19" t="n">
        <v>9</v>
      </c>
      <c r="E25" s="21" t="n">
        <v>380345.75</v>
      </c>
      <c r="F25" s="21" t="n">
        <v>42446665.75999998</v>
      </c>
      <c r="G25" s="33" t="n">
        <v>0.7977302839155521</v>
      </c>
      <c r="H25" s="19" t="inlineStr">
        <is>
          <t>B. City Law Review</t>
        </is>
      </c>
      <c r="I25" s="19" t="inlineStr">
        <is>
          <t>Still open</t>
        </is>
      </c>
    </row>
    <row r="26">
      <c r="A26" s="22" t="n">
        <v>22</v>
      </c>
      <c r="B26" s="23" t="inlineStr">
        <is>
          <t>Emergency Preparedness Kits</t>
        </is>
      </c>
      <c r="C26" s="22" t="inlineStr">
        <is>
          <t>CHICAGO DEPARTMENT OF PUBLIC HEALTH</t>
        </is>
      </c>
      <c r="D26" s="22" t="n">
        <v>3</v>
      </c>
      <c r="E26" s="24" t="n">
        <v>372418</v>
      </c>
      <c r="F26" s="24" t="n">
        <v>42819083.75999998</v>
      </c>
      <c r="G26" s="34" t="n">
        <v>0.8047293994304208</v>
      </c>
      <c r="H26" s="22" t="inlineStr">
        <is>
          <t>H. One Time Purchase</t>
        </is>
      </c>
      <c r="I26" s="22" t="inlineStr">
        <is>
          <t>Still open</t>
        </is>
      </c>
    </row>
    <row r="27">
      <c r="A27" s="19" t="n">
        <v>23</v>
      </c>
      <c r="B27" s="20" t="inlineStr">
        <is>
          <t>Sewer Construction</t>
        </is>
      </c>
      <c r="C27" s="19" t="inlineStr">
        <is>
          <t>DEPARTMENT OF WATER MANAGEMENT</t>
        </is>
      </c>
      <c r="D27" s="19" t="n">
        <v>1</v>
      </c>
      <c r="E27" s="21" t="n">
        <v>363157.77</v>
      </c>
      <c r="F27" s="21" t="n">
        <v>43182241.52999999</v>
      </c>
      <c r="G27" s="33" t="n">
        <v>0.8115544808774834</v>
      </c>
      <c r="H27" s="19" t="inlineStr">
        <is>
          <t>H. One Time Purchase</t>
        </is>
      </c>
      <c r="I27" s="19" t="inlineStr">
        <is>
          <t>Still open</t>
        </is>
      </c>
    </row>
    <row r="28">
      <c r="A28" s="22" t="n">
        <v>24</v>
      </c>
      <c r="B28" s="23" t="inlineStr">
        <is>
          <t xml:space="preserve">Current Spec 127930's Scope of services for this Exhibit B is outside of the current contract. Additional language was added to the new Specification </t>
        </is>
      </c>
      <c r="C28" s="22" t="inlineStr">
        <is>
          <t>DEPARTMENT OF FLEET AND FACILITY MANAGEMENT</t>
        </is>
      </c>
      <c r="D28" s="22" t="n">
        <v>7</v>
      </c>
      <c r="E28" s="24" t="n">
        <v>353043.77</v>
      </c>
      <c r="F28" s="24" t="n">
        <v>43535285.29999999</v>
      </c>
      <c r="G28" s="34" t="n">
        <v>0.8181894827518148</v>
      </c>
      <c r="H28" s="22" t="inlineStr">
        <is>
          <t>H. One Time Purchase</t>
        </is>
      </c>
      <c r="I28" s="22" t="inlineStr">
        <is>
          <t>Still open</t>
        </is>
      </c>
    </row>
    <row r="29">
      <c r="A29" s="19" t="n">
        <v>25</v>
      </c>
      <c r="B29" s="20" t="inlineStr">
        <is>
          <t>Invoice# 5332152783 Maintenance of the Supervisory Monitoring System &amp; Fire Alarm System for October 2025 Monthly Service</t>
        </is>
      </c>
      <c r="C29" s="19" t="inlineStr">
        <is>
          <t>CHICAGO DEPARTMENT OF AVIATION</t>
        </is>
      </c>
      <c r="D29" s="19" t="n">
        <v>1</v>
      </c>
      <c r="E29" s="21" t="n">
        <v>347623.41</v>
      </c>
      <c r="F29" s="21" t="n">
        <v>43882908.70999999</v>
      </c>
      <c r="G29" s="33" t="n">
        <v>0.8247226159576817</v>
      </c>
      <c r="H29" s="19" t="inlineStr">
        <is>
          <t>E. ROA - (Recommendation of Award)</t>
        </is>
      </c>
      <c r="I29" s="19" t="inlineStr">
        <is>
          <t>Claimed awarded - UNVERIFIED</t>
        </is>
      </c>
    </row>
    <row r="30">
      <c r="A30" s="22" t="n">
        <v>26</v>
      </c>
      <c r="B30" s="23" t="inlineStr">
        <is>
          <t>WATER - DRINKING</t>
        </is>
      </c>
      <c r="C30" s="22" t="inlineStr">
        <is>
          <t>DEPARTMENT OF STREETS AND SANITATION</t>
        </is>
      </c>
      <c r="D30" s="22" t="n">
        <v>9</v>
      </c>
      <c r="E30" s="24" t="n">
        <v>331645.87</v>
      </c>
      <c r="F30" s="24" t="n">
        <v>44214554.57999998</v>
      </c>
      <c r="G30" s="34" t="n">
        <v>0.8309554719264026</v>
      </c>
      <c r="H30" s="22" t="inlineStr">
        <is>
          <t>A. Specification Development Phase</t>
        </is>
      </c>
      <c r="I30" s="22" t="inlineStr">
        <is>
          <t>Claimed awarded - UNVERIFIED</t>
        </is>
      </c>
    </row>
    <row r="31">
      <c r="A31" s="19" t="n">
        <v>27</v>
      </c>
      <c r="B31" s="20" t="inlineStr">
        <is>
          <t>TARP - SALT TARPING</t>
        </is>
      </c>
      <c r="C31" s="19" t="inlineStr">
        <is>
          <t>DEPARTMENT OF STREETS AND SANITATION</t>
        </is>
      </c>
      <c r="D31" s="19" t="n">
        <v>1</v>
      </c>
      <c r="E31" s="21" t="n">
        <v>327473.06</v>
      </c>
      <c r="F31" s="21" t="n">
        <v>44542027.63999999</v>
      </c>
      <c r="G31" s="33" t="n">
        <v>0.8371099053183105</v>
      </c>
      <c r="H31" s="19" t="inlineStr">
        <is>
          <t>A. Specification Development Phase</t>
        </is>
      </c>
      <c r="I31" s="19" t="inlineStr">
        <is>
          <t>Still open</t>
        </is>
      </c>
    </row>
    <row r="32">
      <c r="A32" s="22" t="n">
        <v>28</v>
      </c>
      <c r="B32" s="23" t="inlineStr">
        <is>
          <t>TIER 2 SUPPORT - QUANT 16 SERVICES</t>
        </is>
      </c>
      <c r="C32" s="22" t="inlineStr">
        <is>
          <t>CHICAGO DEPARTMENT OF PUBLIC HEALTH</t>
        </is>
      </c>
      <c r="D32" s="22" t="n">
        <v>5</v>
      </c>
      <c r="E32" s="24" t="n">
        <v>306000</v>
      </c>
      <c r="F32" s="24" t="n">
        <v>44848027.63999999</v>
      </c>
      <c r="G32" s="34" t="n">
        <v>0.8428607802694402</v>
      </c>
      <c r="H32" s="22" t="inlineStr">
        <is>
          <t>H. One Time Purchase</t>
        </is>
      </c>
      <c r="I32" s="22" t="inlineStr">
        <is>
          <t>Still open</t>
        </is>
      </c>
    </row>
    <row r="33">
      <c r="A33" s="19" t="n">
        <v>29</v>
      </c>
      <c r="B33" s="20" t="inlineStr">
        <is>
          <t>TB/INV#9008/$13,057.00</t>
        </is>
      </c>
      <c r="C33" s="19" t="inlineStr">
        <is>
          <t>DEPARTMENT OF FLEET AND FACILITY MANAGEMENT</t>
        </is>
      </c>
      <c r="D33" s="19" t="n">
        <v>34</v>
      </c>
      <c r="E33" s="21" t="n">
        <v>287936.99</v>
      </c>
      <c r="F33" s="21" t="n">
        <v>45135964.62999999</v>
      </c>
      <c r="G33" s="33" t="n">
        <v>0.8482721842671352</v>
      </c>
      <c r="H33" s="19" t="inlineStr">
        <is>
          <t>A. Specification Development Phase</t>
        </is>
      </c>
      <c r="I33" s="19" t="inlineStr">
        <is>
          <t>Still open</t>
        </is>
      </c>
    </row>
    <row r="34">
      <c r="A34" s="22" t="n">
        <v>30</v>
      </c>
      <c r="B34" s="23" t="inlineStr">
        <is>
          <t>Hastings Air-Energy 1033282 B  JS/ JG/ Invoice No. O38604D105/ $56,691.64/ April / Exhaust System Maint</t>
        </is>
      </c>
      <c r="C34" s="22" t="inlineStr">
        <is>
          <t>DEPARTMENT OF FLEET AND FACILITY MANAGEMENT</t>
        </is>
      </c>
      <c r="D34" s="22" t="n">
        <v>5</v>
      </c>
      <c r="E34" s="24" t="n">
        <v>278751.49</v>
      </c>
      <c r="F34" s="24" t="n">
        <v>45414716.11999999</v>
      </c>
      <c r="G34" s="34" t="n">
        <v>0.853510958650897</v>
      </c>
      <c r="H34" s="22" t="inlineStr">
        <is>
          <t>A. Specification Development Phase</t>
        </is>
      </c>
      <c r="I34" s="22" t="inlineStr">
        <is>
          <t>Claimed awarded - UNVERIFIED</t>
        </is>
      </c>
    </row>
    <row r="35">
      <c r="A35" s="19" t="n">
        <v>31</v>
      </c>
      <c r="B35" s="20" t="inlineStr">
        <is>
          <t>BOARD UP SERVICES</t>
        </is>
      </c>
      <c r="C35" s="19" t="inlineStr">
        <is>
          <t>DEPARTMENT OF BUILDINGS</t>
        </is>
      </c>
      <c r="D35" s="19" t="n">
        <v>5</v>
      </c>
      <c r="E35" s="21" t="n">
        <v>277500</v>
      </c>
      <c r="F35" s="21" t="n">
        <v>45692216.11999999</v>
      </c>
      <c r="G35" s="33" t="n">
        <v>0.8587262128957941</v>
      </c>
      <c r="H35" s="19" t="inlineStr">
        <is>
          <t>A. Specification Development Phase</t>
        </is>
      </c>
      <c r="I35" s="19" t="inlineStr">
        <is>
          <t>Still open</t>
        </is>
      </c>
    </row>
    <row r="36">
      <c r="A36" s="22" t="n">
        <v>32</v>
      </c>
      <c r="B36" s="23" t="inlineStr">
        <is>
          <t>Omicron CityKey Annual Licensing</t>
        </is>
      </c>
      <c r="C36" s="22" t="inlineStr">
        <is>
          <t>OFFICE OF CITY CLERK</t>
        </is>
      </c>
      <c r="D36" s="22" t="n">
        <v>3</v>
      </c>
      <c r="E36" s="24" t="n">
        <v>263800.02</v>
      </c>
      <c r="F36" s="24" t="n">
        <v>45956016.13999999</v>
      </c>
      <c r="G36" s="34" t="n">
        <v>0.8636839937033939</v>
      </c>
      <c r="H36" s="22" t="inlineStr">
        <is>
          <t>B. City Law Review</t>
        </is>
      </c>
      <c r="I36" s="22" t="inlineStr">
        <is>
          <t>Still open</t>
        </is>
      </c>
    </row>
    <row r="37">
      <c r="A37" s="19" t="n">
        <v>33</v>
      </c>
      <c r="B37" s="20" t="inlineStr">
        <is>
          <t>Bella Bagno Inc is removing and installing carpet at the Bucktown/Wicker Park Branch Library. The labor services are outside of the contract prevue, a</t>
        </is>
      </c>
      <c r="C37" s="19" t="inlineStr">
        <is>
          <t>DEPARTMENT OF FLEET AND FACILITY MANAGEMENT</t>
        </is>
      </c>
      <c r="D37" s="19" t="n">
        <v>2</v>
      </c>
      <c r="E37" s="21" t="n">
        <v>260516.76</v>
      </c>
      <c r="F37" s="21" t="n">
        <v>46216532.89999999</v>
      </c>
      <c r="G37" s="33" t="n">
        <v>0.8685800698780131</v>
      </c>
      <c r="H37" s="19" t="inlineStr">
        <is>
          <t>D. Solicitation Response Under Evaluation</t>
        </is>
      </c>
      <c r="I37" s="19" t="inlineStr">
        <is>
          <t>Claimed awarded - UNVERIFIED</t>
        </is>
      </c>
    </row>
    <row r="38">
      <c r="A38" s="22" t="n">
        <v>34</v>
      </c>
      <c r="B38" s="23" t="inlineStr">
        <is>
          <t>Sunbelt Outstanding Invoices</t>
        </is>
      </c>
      <c r="C38" s="22" t="inlineStr">
        <is>
          <t>CHICAGO DEPARTMENT OF PUBLIC HEALTH</t>
        </is>
      </c>
      <c r="D38" s="22" t="n">
        <v>2</v>
      </c>
      <c r="E38" s="24" t="n">
        <v>247286</v>
      </c>
      <c r="F38" s="24" t="n">
        <v>46463818.89999999</v>
      </c>
      <c r="G38" s="34" t="n">
        <v>0.8732274909994675</v>
      </c>
      <c r="H38" s="22" t="inlineStr">
        <is>
          <t>F. SC - (Signature Cycle)</t>
        </is>
      </c>
      <c r="I38" s="22" t="inlineStr">
        <is>
          <t>Still open</t>
        </is>
      </c>
    </row>
    <row r="39">
      <c r="A39" s="19" t="n">
        <v>35</v>
      </c>
      <c r="B39" s="20" t="inlineStr">
        <is>
          <t>Perform 2025 annual planned maintenance on one Caterpillar chlorine emergency power generator and five MTU main plant power emergency generators</t>
        </is>
      </c>
      <c r="C39" s="19" t="inlineStr">
        <is>
          <t>DEPARTMENT OF WATER MANAGEMENT</t>
        </is>
      </c>
      <c r="D39" s="19" t="n">
        <v>17</v>
      </c>
      <c r="E39" s="21" t="n">
        <v>231704.01</v>
      </c>
      <c r="F39" s="21" t="n">
        <v>46695522.90999999</v>
      </c>
      <c r="G39" s="33" t="n">
        <v>0.8775820687353671</v>
      </c>
      <c r="H39" s="19" t="inlineStr">
        <is>
          <t>H. One Time Purchase</t>
        </is>
      </c>
      <c r="I39" s="19" t="inlineStr">
        <is>
          <t>Still open</t>
        </is>
      </c>
    </row>
    <row r="40">
      <c r="A40" s="22" t="n">
        <v>36</v>
      </c>
      <c r="B40" s="23" t="inlineStr">
        <is>
          <t>Landscaping Services Regions 2 and 6</t>
        </is>
      </c>
      <c r="C40" s="22" t="inlineStr">
        <is>
          <t>CHICAGO DEPARTMENT OF TRANSPORTATION</t>
        </is>
      </c>
      <c r="D40" s="22" t="n">
        <v>8</v>
      </c>
      <c r="E40" s="24" t="n">
        <v>230508.24</v>
      </c>
      <c r="F40" s="24" t="n">
        <v>46926031.14999999</v>
      </c>
      <c r="G40" s="34" t="n">
        <v>0.8819141735178672</v>
      </c>
      <c r="H40" s="22" t="inlineStr">
        <is>
          <t>B. City Law Review</t>
        </is>
      </c>
      <c r="I40" s="22" t="inlineStr">
        <is>
          <t>Still open</t>
        </is>
      </c>
    </row>
    <row r="41">
      <c r="A41" s="19" t="n">
        <v>37</v>
      </c>
      <c r="B41" s="20" t="inlineStr">
        <is>
          <t>Landscape Services North &amp; South LSD</t>
        </is>
      </c>
      <c r="C41" s="19" t="inlineStr">
        <is>
          <t>CHICAGO DEPARTMENT OF TRANSPORTATION</t>
        </is>
      </c>
      <c r="D41" s="19" t="n">
        <v>5</v>
      </c>
      <c r="E41" s="21" t="n">
        <v>226882.23</v>
      </c>
      <c r="F41" s="21" t="n">
        <v>47152913.37999999</v>
      </c>
      <c r="G41" s="33" t="n">
        <v>0.8861781321236299</v>
      </c>
      <c r="H41" s="19" t="inlineStr">
        <is>
          <t>B. City Law Review</t>
        </is>
      </c>
      <c r="I41" s="19" t="inlineStr">
        <is>
          <t>Still open</t>
        </is>
      </c>
    </row>
    <row r="42">
      <c r="A42" s="22" t="n">
        <v>38</v>
      </c>
      <c r="B42" s="23" t="inlineStr">
        <is>
          <t>POLE PAINTING SERVICES</t>
        </is>
      </c>
      <c r="C42" s="22" t="inlineStr">
        <is>
          <t>CHICAGO DEPARTMENT OF TRANSPORTATION</t>
        </is>
      </c>
      <c r="D42" s="22" t="n">
        <v>1</v>
      </c>
      <c r="E42" s="24" t="n">
        <v>226848</v>
      </c>
      <c r="F42" s="24" t="n">
        <v>47379761.37999999</v>
      </c>
      <c r="G42" s="34" t="n">
        <v>0.8904414474207342</v>
      </c>
      <c r="H42" s="22" t="inlineStr">
        <is>
          <t>A. Specification Development Phase</t>
        </is>
      </c>
      <c r="I42" s="22" t="inlineStr">
        <is>
          <t>Still open</t>
        </is>
      </c>
    </row>
    <row r="43">
      <c r="A43" s="19" t="n">
        <v>39</v>
      </c>
      <c r="B43" s="20" t="inlineStr">
        <is>
          <t>LANDSCAPE SERVICES, REGIONS III &amp; V</t>
        </is>
      </c>
      <c r="C43" s="19" t="inlineStr">
        <is>
          <t>CHICAGO DEPARTMENT OF TRANSPORTATION</t>
        </is>
      </c>
      <c r="D43" s="19" t="n">
        <v>10</v>
      </c>
      <c r="E43" s="21" t="n">
        <v>224168.87</v>
      </c>
      <c r="F43" s="21" t="n">
        <v>47603930.24999999</v>
      </c>
      <c r="G43" s="33" t="n">
        <v>0.8946544119282702</v>
      </c>
      <c r="H43" s="19" t="inlineStr">
        <is>
          <t>B. City Law Review</t>
        </is>
      </c>
      <c r="I43" s="19" t="inlineStr">
        <is>
          <t>Still open</t>
        </is>
      </c>
    </row>
    <row r="44">
      <c r="A44" s="22" t="n">
        <v>40</v>
      </c>
      <c r="B44" s="23" t="inlineStr">
        <is>
          <t>ANIMAL FOOD 2025</t>
        </is>
      </c>
      <c r="C44" s="22" t="inlineStr">
        <is>
          <t>CHICAGO ANIMAL CARE AND CONTROL</t>
        </is>
      </c>
      <c r="D44" s="22" t="n">
        <v>6</v>
      </c>
      <c r="E44" s="24" t="n">
        <v>195992.28</v>
      </c>
      <c r="F44" s="24" t="n">
        <v>47799922.52999999</v>
      </c>
      <c r="G44" s="34" t="n">
        <v>0.8983378338029984</v>
      </c>
      <c r="H44" s="22" t="inlineStr">
        <is>
          <t>C. Solicitation or Bidding Phase</t>
        </is>
      </c>
      <c r="I44" s="22" t="inlineStr">
        <is>
          <t>Still open</t>
        </is>
      </c>
    </row>
    <row r="45">
      <c r="A45" s="19" t="n">
        <v>41</v>
      </c>
      <c r="B45" s="20" t="inlineStr">
        <is>
          <t xml:space="preserve">There is currently no active contract for this type of paper. The items being purchased are not part of the current Murnane contract.  The Department </t>
        </is>
      </c>
      <c r="C45" s="19" t="inlineStr">
        <is>
          <t>DEPARTMENT OF FLEET AND FACILITY MANAGEMENT</t>
        </is>
      </c>
      <c r="D45" s="19" t="n">
        <v>14</v>
      </c>
      <c r="E45" s="21" t="n">
        <v>195550.45</v>
      </c>
      <c r="F45" s="21" t="n">
        <v>47995472.97999999</v>
      </c>
      <c r="G45" s="33" t="n">
        <v>0.9020129520532831</v>
      </c>
      <c r="H45" s="19" t="inlineStr">
        <is>
          <t>A. Specification Development Phase</t>
        </is>
      </c>
      <c r="I45" s="19" t="inlineStr">
        <is>
          <t>Still open</t>
        </is>
      </c>
    </row>
    <row r="46">
      <c r="A46" s="22" t="n">
        <v>42</v>
      </c>
      <c r="B46" s="23" t="inlineStr">
        <is>
          <t>JK / CA / INV#6660-3816-1 / WO#2626297</t>
        </is>
      </c>
      <c r="C46" s="22" t="inlineStr">
        <is>
          <t>DEPARTMENT OF FLEET AND FACILITY MANAGEMENT</t>
        </is>
      </c>
      <c r="D46" s="22" t="n">
        <v>4</v>
      </c>
      <c r="E46" s="24" t="n">
        <v>189750.66</v>
      </c>
      <c r="F46" s="24" t="n">
        <v>48185223.63999999</v>
      </c>
      <c r="G46" s="34" t="n">
        <v>0.9055790707381012</v>
      </c>
      <c r="H46" s="22" t="inlineStr">
        <is>
          <t>B. City Law Review</t>
        </is>
      </c>
      <c r="I46" s="22" t="inlineStr">
        <is>
          <t>Claimed awarded - UNVERIFIED</t>
        </is>
      </c>
    </row>
    <row r="47">
      <c r="A47" s="19" t="n">
        <v>43</v>
      </c>
      <c r="B47" s="20" t="inlineStr">
        <is>
          <t>Arlington did not want to proceed with the contract  extension unless they had their price increases. CDA put forth 3 price increases for 5% each. DPS</t>
        </is>
      </c>
      <c r="C47" s="19" t="inlineStr">
        <is>
          <t>DEPARTMENT OF FLEET AND FACILITY MANAGEMENT</t>
        </is>
      </c>
      <c r="D47" s="19" t="n">
        <v>28</v>
      </c>
      <c r="E47" s="21" t="n">
        <v>179178.83</v>
      </c>
      <c r="F47" s="21" t="n">
        <v>48364402.46999998</v>
      </c>
      <c r="G47" s="33" t="n">
        <v>0.9089465055264009</v>
      </c>
      <c r="H47" s="19" t="inlineStr">
        <is>
          <t>A. Specification Development Phase</t>
        </is>
      </c>
      <c r="I47" s="19" t="inlineStr">
        <is>
          <t>Still open</t>
        </is>
      </c>
    </row>
    <row r="48">
      <c r="A48" s="22" t="n">
        <v>44</v>
      </c>
      <c r="B48" s="23" t="inlineStr">
        <is>
          <t>Volcanic Bike Inv-1333 $173,853</t>
        </is>
      </c>
      <c r="C48" s="22" t="inlineStr">
        <is>
          <t>CHICAGO POLICE DEPARTMENT</t>
        </is>
      </c>
      <c r="D48" s="22" t="n">
        <v>2</v>
      </c>
      <c r="E48" s="24" t="n">
        <v>173853</v>
      </c>
      <c r="F48" s="24" t="n">
        <v>48538255.46999998</v>
      </c>
      <c r="G48" s="34" t="n">
        <v>0.9122138482155472</v>
      </c>
      <c r="H48" s="22" t="inlineStr">
        <is>
          <t>B. City Law Review</t>
        </is>
      </c>
      <c r="I48" s="22" t="inlineStr">
        <is>
          <t>Still open</t>
        </is>
      </c>
    </row>
    <row r="49">
      <c r="A49" s="19" t="n">
        <v>45</v>
      </c>
      <c r="B49" s="20" t="inlineStr">
        <is>
          <t>BOARD UP SERVICES</t>
        </is>
      </c>
      <c r="C49" s="19" t="inlineStr">
        <is>
          <t>DEPARTMENT OF BUILDINGS</t>
        </is>
      </c>
      <c r="D49" s="19" t="n">
        <v>3</v>
      </c>
      <c r="E49" s="21" t="n">
        <v>159600</v>
      </c>
      <c r="F49" s="21" t="n">
        <v>48697855.46999998</v>
      </c>
      <c r="G49" s="33" t="n">
        <v>0.9152133241704501</v>
      </c>
      <c r="H49" s="19" t="inlineStr">
        <is>
          <t>C. Solicitation or Bidding Phase</t>
        </is>
      </c>
      <c r="I49" s="19" t="inlineStr">
        <is>
          <t>Still open</t>
        </is>
      </c>
    </row>
    <row r="50">
      <c r="A50" s="22" t="n">
        <v>46</v>
      </c>
      <c r="B50" s="23" t="inlineStr">
        <is>
          <t>City Sticker Design Services</t>
        </is>
      </c>
      <c r="C50" s="22" t="inlineStr">
        <is>
          <t>OFFICE OF CITY CLERK</t>
        </is>
      </c>
      <c r="D50" s="22" t="n">
        <v>5</v>
      </c>
      <c r="E50" s="24" t="n">
        <v>156506.59</v>
      </c>
      <c r="F50" s="24" t="n">
        <v>48854362.05999999</v>
      </c>
      <c r="G50" s="34" t="n">
        <v>0.9181546634780244</v>
      </c>
      <c r="H50" s="22" t="inlineStr">
        <is>
          <t>A. Specification Development Phase</t>
        </is>
      </c>
      <c r="I50" s="22" t="inlineStr">
        <is>
          <t>Still open</t>
        </is>
      </c>
    </row>
    <row r="51">
      <c r="A51" s="19" t="n">
        <v>47</v>
      </c>
      <c r="B51" s="20" t="inlineStr">
        <is>
          <t>CDA requesting authorization to pay Siemens Industry Inc PO #84871, per service's procured in 2025 under active contract. Contract reached their vendo</t>
        </is>
      </c>
      <c r="C51" s="19" t="inlineStr">
        <is>
          <t>CHICAGO DEPARTMENT OF AVIATION</t>
        </is>
      </c>
      <c r="D51" s="19" t="n">
        <v>1</v>
      </c>
      <c r="E51" s="21" t="n">
        <v>156240</v>
      </c>
      <c r="F51" s="21" t="n">
        <v>49010602.05999999</v>
      </c>
      <c r="G51" s="33" t="n">
        <v>0.9210909925707189</v>
      </c>
      <c r="H51" s="19" t="inlineStr">
        <is>
          <t>E. ROA - (Recommendation of Award)</t>
        </is>
      </c>
      <c r="I51" s="19" t="inlineStr">
        <is>
          <t>Claimed awarded - UNVERIFIED</t>
        </is>
      </c>
    </row>
    <row r="52">
      <c r="A52" s="22" t="n">
        <v>48</v>
      </c>
      <c r="B52" s="23" t="inlineStr">
        <is>
          <t>PO 180678 REL 295456 CSI 3000JV Exhibit B Invoice Reconciliation</t>
        </is>
      </c>
      <c r="C52" s="22" t="inlineStr">
        <is>
          <t>CHICAGO DEPARTMENT OF TRANSPORTATION</t>
        </is>
      </c>
      <c r="D52" s="22" t="n">
        <v>1</v>
      </c>
      <c r="E52" s="24" t="n">
        <v>156098.14</v>
      </c>
      <c r="F52" s="24" t="n">
        <v>49166700.19999999</v>
      </c>
      <c r="G52" s="34" t="n">
        <v>0.924024655587856</v>
      </c>
      <c r="H52" s="22" t="inlineStr">
        <is>
          <t>E. ROA - (Recommendation of Award)</t>
        </is>
      </c>
      <c r="I52" s="22" t="inlineStr">
        <is>
          <t>Claimed awarded - UNVERIFIED</t>
        </is>
      </c>
    </row>
    <row r="53">
      <c r="A53" s="19" t="n">
        <v>49</v>
      </c>
      <c r="B53" s="20" t="inlineStr">
        <is>
          <t>TB/CC/INVOICE #3371/$4495.20</t>
        </is>
      </c>
      <c r="C53" s="19" t="inlineStr">
        <is>
          <t>DEPARTMENT OF FLEET AND FACILITY MANAGEMENT</t>
        </is>
      </c>
      <c r="D53" s="19" t="n">
        <v>23</v>
      </c>
      <c r="E53" s="21" t="n">
        <v>148760.52</v>
      </c>
      <c r="F53" s="21" t="n">
        <v>49315460.71999999</v>
      </c>
      <c r="G53" s="33" t="n">
        <v>0.9268204175100293</v>
      </c>
      <c r="H53" s="19" t="inlineStr">
        <is>
          <t>A. Specification Development Phase</t>
        </is>
      </c>
      <c r="I53" s="19" t="inlineStr">
        <is>
          <t>Still open</t>
        </is>
      </c>
    </row>
    <row r="54">
      <c r="A54" s="22" t="n">
        <v>50</v>
      </c>
      <c r="B54" s="23" t="inlineStr">
        <is>
          <t>Street and Parkway Repair Project NO. 19-625 North Region</t>
        </is>
      </c>
      <c r="C54" s="22" t="inlineStr">
        <is>
          <t>DEPARTMENT OF WATER MANAGEMENT</t>
        </is>
      </c>
      <c r="D54" s="22" t="n">
        <v>1</v>
      </c>
      <c r="E54" s="24" t="n">
        <v>143357.36</v>
      </c>
      <c r="F54" s="24" t="n">
        <v>49458818.07999999</v>
      </c>
      <c r="G54" s="34" t="n">
        <v>0.9295146340155329</v>
      </c>
      <c r="H54" s="22" t="inlineStr">
        <is>
          <t>H. One Time Purchase</t>
        </is>
      </c>
      <c r="I54" s="22" t="inlineStr">
        <is>
          <t>Claimed awarded - UNVERIFIED</t>
        </is>
      </c>
    </row>
    <row r="55">
      <c r="A55" s="19" t="n">
        <v>51</v>
      </c>
      <c r="B55" s="20" t="inlineStr">
        <is>
          <t>Landscaping Services Standalone Jackson Park 2026</t>
        </is>
      </c>
      <c r="C55" s="19" t="inlineStr">
        <is>
          <t>CHICAGO DEPARTMENT OF TRANSPORTATION</t>
        </is>
      </c>
      <c r="D55" s="19" t="n">
        <v>1</v>
      </c>
      <c r="E55" s="21" t="n">
        <v>136608.73</v>
      </c>
      <c r="F55" s="21" t="n">
        <v>49595426.80999999</v>
      </c>
      <c r="G55" s="33" t="n">
        <v>0.932082018732731</v>
      </c>
      <c r="H55" s="19" t="inlineStr">
        <is>
          <t>B. City Law Review</t>
        </is>
      </c>
      <c r="I55" s="19" t="inlineStr">
        <is>
          <t>Still open</t>
        </is>
      </c>
    </row>
    <row r="56">
      <c r="A56" s="22" t="n">
        <v>52</v>
      </c>
      <c r="B56" s="23" t="inlineStr">
        <is>
          <t>Equipment Depot of Illinois, Inc. 50081462 G   JS/ WW/ Invoice # 1300174268/ $136,232.00/2 DUA FUEL FORKLIFTS 900 E. 10RD</t>
        </is>
      </c>
      <c r="C56" s="22" t="inlineStr">
        <is>
          <t>DEPARTMENT OF FLEET AND FACILITY MANAGEMENT</t>
        </is>
      </c>
      <c r="D56" s="22" t="n">
        <v>1</v>
      </c>
      <c r="E56" s="24" t="n">
        <v>136232</v>
      </c>
      <c r="F56" s="24" t="n">
        <v>49731658.80999999</v>
      </c>
      <c r="G56" s="34" t="n">
        <v>0.9346423232959411</v>
      </c>
      <c r="H56" s="22" t="inlineStr">
        <is>
          <t>A. Specification Development Phase</t>
        </is>
      </c>
      <c r="I56" s="22" t="inlineStr">
        <is>
          <t>Still open</t>
        </is>
      </c>
    </row>
    <row r="57">
      <c r="A57" s="19" t="n">
        <v>53</v>
      </c>
      <c r="B57" s="20" t="inlineStr">
        <is>
          <t>Medical supplies for the animals housed at CACC</t>
        </is>
      </c>
      <c r="C57" s="19" t="inlineStr">
        <is>
          <t>CHICAGO ANIMAL CARE AND CONTROL</t>
        </is>
      </c>
      <c r="D57" s="19" t="n">
        <v>2</v>
      </c>
      <c r="E57" s="21" t="n">
        <v>129282.77</v>
      </c>
      <c r="F57" s="21" t="n">
        <v>49860941.57999999</v>
      </c>
      <c r="G57" s="33" t="n">
        <v>0.9370720260528225</v>
      </c>
      <c r="H57" s="19" t="inlineStr">
        <is>
          <t>A. Specification Development Phase</t>
        </is>
      </c>
      <c r="I57" s="19" t="inlineStr">
        <is>
          <t>Still open</t>
        </is>
      </c>
    </row>
    <row r="58">
      <c r="A58" s="22" t="n">
        <v>54</v>
      </c>
      <c r="B58" s="23" t="inlineStr">
        <is>
          <t>Sewer Construction</t>
        </is>
      </c>
      <c r="C58" s="22" t="inlineStr">
        <is>
          <t>DEPARTMENT OF WATER MANAGEMENT</t>
        </is>
      </c>
      <c r="D58" s="22" t="n">
        <v>1</v>
      </c>
      <c r="E58" s="24" t="n">
        <v>121426.74</v>
      </c>
      <c r="F58" s="24" t="n">
        <v>49982368.31999999</v>
      </c>
      <c r="G58" s="34" t="n">
        <v>0.9393540848680622</v>
      </c>
      <c r="H58" s="22" t="inlineStr">
        <is>
          <t>H. One Time Purchase</t>
        </is>
      </c>
      <c r="I58" s="22" t="inlineStr">
        <is>
          <t>Claimed awarded - UNVERIFIED</t>
        </is>
      </c>
    </row>
    <row r="59">
      <c r="A59" s="19" t="n">
        <v>55</v>
      </c>
      <c r="B59" s="20" t="inlineStr">
        <is>
          <t>Aps 82_Fitness Equipment Maintenance Project</t>
        </is>
      </c>
      <c r="C59" s="19" t="inlineStr">
        <is>
          <t>DEPARTMENT OF FAMILY AND SUPPORT SERVICES</t>
        </is>
      </c>
      <c r="D59" s="19" t="n">
        <v>2</v>
      </c>
      <c r="E59" s="21" t="n">
        <v>120600</v>
      </c>
      <c r="F59" s="21" t="n">
        <v>50102968.31999999</v>
      </c>
      <c r="G59" s="33" t="n">
        <v>0.9416206061723309</v>
      </c>
      <c r="H59" s="19" t="inlineStr">
        <is>
          <t>A. Specification Development Phase</t>
        </is>
      </c>
      <c r="I59" s="19" t="inlineStr">
        <is>
          <t>Still open</t>
        </is>
      </c>
    </row>
    <row r="60">
      <c r="A60" s="22" t="n">
        <v>56</v>
      </c>
      <c r="B60" s="23" t="inlineStr">
        <is>
          <t>Exhibit B Collins Engineers, Inc. PO 30193 $117,913.97</t>
        </is>
      </c>
      <c r="C60" s="22" t="inlineStr">
        <is>
          <t>CHICAGO DEPARTMENT OF TRANSPORTATION</t>
        </is>
      </c>
      <c r="D60" s="22" t="n">
        <v>1</v>
      </c>
      <c r="E60" s="24" t="n">
        <v>117913.97</v>
      </c>
      <c r="F60" s="24" t="n">
        <v>50220882.28999999</v>
      </c>
      <c r="G60" s="34" t="n">
        <v>0.9438366470104396</v>
      </c>
      <c r="H60" s="22" t="inlineStr">
        <is>
          <t>H. One Time Purchase</t>
        </is>
      </c>
      <c r="I60" s="22" t="inlineStr">
        <is>
          <t>Claimed awarded - UNVERIFIED</t>
        </is>
      </c>
    </row>
    <row r="61">
      <c r="A61" s="19" t="n">
        <v>57</v>
      </c>
      <c r="B61" s="20" t="inlineStr">
        <is>
          <t>Mpox/HIV consulting</t>
        </is>
      </c>
      <c r="C61" s="19" t="inlineStr">
        <is>
          <t>CHICAGO DEPARTMENT OF PUBLIC HEALTH</t>
        </is>
      </c>
      <c r="D61" s="19" t="n">
        <v>1</v>
      </c>
      <c r="E61" s="21" t="n">
        <v>115000</v>
      </c>
      <c r="F61" s="21" t="n">
        <v>50335882.28999999</v>
      </c>
      <c r="G61" s="33" t="n">
        <v>0.9459979235443609</v>
      </c>
      <c r="H61" s="19" t="inlineStr">
        <is>
          <t>H. One Time Purchase</t>
        </is>
      </c>
      <c r="I61" s="19" t="inlineStr">
        <is>
          <t>Claimed awarded - UNVERIFIED</t>
        </is>
      </c>
    </row>
    <row r="62">
      <c r="A62" s="22" t="n">
        <v>58</v>
      </c>
      <c r="B62" s="23" t="inlineStr">
        <is>
          <t>Veterinary medical pharmaceuticals</t>
        </is>
      </c>
      <c r="C62" s="22" t="inlineStr">
        <is>
          <t>CHICAGO ANIMAL CARE AND CONTROL</t>
        </is>
      </c>
      <c r="D62" s="22" t="n">
        <v>4</v>
      </c>
      <c r="E62" s="24" t="n">
        <v>112637.08</v>
      </c>
      <c r="F62" s="24" t="n">
        <v>50448519.36999999</v>
      </c>
      <c r="G62" s="34" t="n">
        <v>0.948114792047434</v>
      </c>
      <c r="H62" s="22" t="inlineStr">
        <is>
          <t>A. Specification Development Phase</t>
        </is>
      </c>
      <c r="I62" s="22" t="inlineStr">
        <is>
          <t>Still open</t>
        </is>
      </c>
    </row>
    <row r="63">
      <c r="A63" s="19" t="n">
        <v>59</v>
      </c>
      <c r="B63" s="20" t="inlineStr">
        <is>
          <t>Purchase and Delivery of Wooden Barricades</t>
        </is>
      </c>
      <c r="C63" s="19" t="inlineStr">
        <is>
          <t>DEPARTMENT OF STREETS AND SANITATION</t>
        </is>
      </c>
      <c r="D63" s="19" t="n">
        <v>1</v>
      </c>
      <c r="E63" s="21" t="n">
        <v>97204.10000000001</v>
      </c>
      <c r="F63" s="21" t="n">
        <v>50545723.46999999</v>
      </c>
      <c r="G63" s="33" t="n">
        <v>0.9499416176155292</v>
      </c>
      <c r="H63" s="19" t="inlineStr">
        <is>
          <t>A. Specification Development Phase</t>
        </is>
      </c>
      <c r="I63" s="19" t="inlineStr">
        <is>
          <t>Still open</t>
        </is>
      </c>
    </row>
    <row r="64">
      <c r="A64" s="22" t="n">
        <v>60</v>
      </c>
      <c r="B64" s="23" t="inlineStr">
        <is>
          <t>Cremation services for Animal Control.  VLI and Time Extension entered. June 2026 Invoice.</t>
        </is>
      </c>
      <c r="C64" s="22" t="inlineStr">
        <is>
          <t>CHICAGO ANIMAL CARE AND CONTROL</t>
        </is>
      </c>
      <c r="D64" s="22" t="n">
        <v>2</v>
      </c>
      <c r="E64" s="24" t="n">
        <v>93731.39999999999</v>
      </c>
      <c r="F64" s="24" t="n">
        <v>50639454.86999999</v>
      </c>
      <c r="G64" s="34" t="n">
        <v>0.9517031782704125</v>
      </c>
      <c r="H64" s="22" t="inlineStr">
        <is>
          <t>A. Specification Development Phase</t>
        </is>
      </c>
      <c r="I64" s="22" t="inlineStr">
        <is>
          <t>Claimed awarded - UNVERIFIED</t>
        </is>
      </c>
    </row>
    <row r="65">
      <c r="A65" s="19" t="n">
        <v>61</v>
      </c>
      <c r="B65" s="20" t="inlineStr">
        <is>
          <t>KB/MM/ INV#56736/ $693.39</t>
        </is>
      </c>
      <c r="C65" s="19" t="inlineStr">
        <is>
          <t>DEPARTMENT OF FLEET AND FACILITY MANAGEMENT</t>
        </is>
      </c>
      <c r="D65" s="19" t="n">
        <v>16</v>
      </c>
      <c r="E65" s="21" t="n">
        <v>92999.35000000001</v>
      </c>
      <c r="F65" s="21" t="n">
        <v>50732454.21999999</v>
      </c>
      <c r="G65" s="33" t="n">
        <v>0.9534509809906294</v>
      </c>
      <c r="H65" s="19" t="inlineStr">
        <is>
          <t>B. City Law Review</t>
        </is>
      </c>
      <c r="I65" s="19" t="inlineStr">
        <is>
          <t>Still open</t>
        </is>
      </c>
    </row>
    <row r="66">
      <c r="A66" s="22" t="n">
        <v>62</v>
      </c>
      <c r="B66" s="23" t="inlineStr">
        <is>
          <t>ANIMAL CARE AND CONTROL SUPPLIES</t>
        </is>
      </c>
      <c r="C66" s="22" t="inlineStr">
        <is>
          <t>CHICAGO ANIMAL CARE AND CONTROL</t>
        </is>
      </c>
      <c r="D66" s="22" t="n">
        <v>3</v>
      </c>
      <c r="E66" s="24" t="n">
        <v>88485.04000000001</v>
      </c>
      <c r="F66" s="24" t="n">
        <v>50820939.25999999</v>
      </c>
      <c r="G66" s="34" t="n">
        <v>0.9551139430824127</v>
      </c>
      <c r="H66" s="22" t="inlineStr">
        <is>
          <t>A. Specification Development Phase</t>
        </is>
      </c>
      <c r="I66" s="22" t="inlineStr">
        <is>
          <t>Still open</t>
        </is>
      </c>
    </row>
    <row r="67">
      <c r="A67" s="19" t="n">
        <v>63</v>
      </c>
      <c r="B67" s="20" t="inlineStr">
        <is>
          <t>Purchase of title insurance, recording of deed and lease amendment for $2,364.</t>
        </is>
      </c>
      <c r="C67" s="19" t="inlineStr">
        <is>
          <t>DEPARTMENT OF PLANNING AND DEVELOPMENT</t>
        </is>
      </c>
      <c r="D67" s="19" t="n">
        <v>2</v>
      </c>
      <c r="E67" s="21" t="n">
        <v>80039</v>
      </c>
      <c r="F67" s="21" t="n">
        <v>50900978.25999999</v>
      </c>
      <c r="G67" s="33" t="n">
        <v>0.956618172756313</v>
      </c>
      <c r="H67" s="19" t="inlineStr">
        <is>
          <t>A. Specification Development Phase</t>
        </is>
      </c>
      <c r="I67" s="19" t="inlineStr">
        <is>
          <t>Still open</t>
        </is>
      </c>
    </row>
    <row r="68">
      <c r="A68" s="22" t="n">
        <v>64</v>
      </c>
      <c r="B68" s="23" t="inlineStr">
        <is>
          <t>Fisher Scientific lab supply</t>
        </is>
      </c>
      <c r="C68" s="22" t="inlineStr">
        <is>
          <t>CHICAGO DEPARTMENT OF PUBLIC HEALTH</t>
        </is>
      </c>
      <c r="D68" s="22" t="n">
        <v>1</v>
      </c>
      <c r="E68" s="24" t="n">
        <v>79161.2</v>
      </c>
      <c r="F68" s="24" t="n">
        <v>50980139.45999999</v>
      </c>
      <c r="G68" s="34" t="n">
        <v>0.9581059053124613</v>
      </c>
      <c r="H68" s="22" t="inlineStr">
        <is>
          <t>H. One Time Purchase</t>
        </is>
      </c>
      <c r="I68" s="22" t="inlineStr">
        <is>
          <t>Still open</t>
        </is>
      </c>
    </row>
    <row r="69">
      <c r="A69" s="19" t="n">
        <v>65</v>
      </c>
      <c r="B69" s="20" t="inlineStr">
        <is>
          <t>Landscape Services North &amp; South LSD</t>
        </is>
      </c>
      <c r="C69" s="19" t="inlineStr">
        <is>
          <t>CHICAGO DEPARTMENT OF TRANSPORTATION</t>
        </is>
      </c>
      <c r="D69" s="19" t="n">
        <v>1</v>
      </c>
      <c r="E69" s="21" t="n">
        <v>76280.53</v>
      </c>
      <c r="F69" s="21" t="n">
        <v>51056419.98999999</v>
      </c>
      <c r="G69" s="33" t="n">
        <v>0.9595394993949315</v>
      </c>
      <c r="H69" s="19" t="inlineStr">
        <is>
          <t>B. City Law Review</t>
        </is>
      </c>
      <c r="I69" s="19" t="inlineStr">
        <is>
          <t>Still open</t>
        </is>
      </c>
    </row>
    <row r="70">
      <c r="A70" s="22" t="n">
        <v>66</v>
      </c>
      <c r="B70" s="23" t="inlineStr">
        <is>
          <t>Greater Illinois Title Company Invoices from Nov 2025 to Dec 2025</t>
        </is>
      </c>
      <c r="C70" s="22" t="inlineStr">
        <is>
          <t>DEPARTMENT OF PLANNING AND DEVELOPMENT</t>
        </is>
      </c>
      <c r="D70" s="22" t="n">
        <v>4</v>
      </c>
      <c r="E70" s="24" t="n">
        <v>74125</v>
      </c>
      <c r="F70" s="24" t="n">
        <v>51130544.98999999</v>
      </c>
      <c r="G70" s="34" t="n">
        <v>0.9609325830738613</v>
      </c>
      <c r="H70" s="22" t="inlineStr"/>
      <c r="I70" s="22" t="inlineStr">
        <is>
          <t>Still open</t>
        </is>
      </c>
    </row>
    <row r="71">
      <c r="A71" s="19" t="n">
        <v>67</v>
      </c>
      <c r="B71" s="20" t="inlineStr">
        <is>
          <t>1 invoice for CDWG That was canceled by mistake after 2FM merged with IT and the PO invoice was cancel and was not paid.</t>
        </is>
      </c>
      <c r="C71" s="19" t="inlineStr">
        <is>
          <t>DEPARTMENT OF TECHNOLOGY AND INNOVATION</t>
        </is>
      </c>
      <c r="D71" s="19" t="n">
        <v>1</v>
      </c>
      <c r="E71" s="21" t="n">
        <v>69919.94</v>
      </c>
      <c r="F71" s="21" t="n">
        <v>51200464.92999999</v>
      </c>
      <c r="G71" s="33" t="n">
        <v>0.9622466380788628</v>
      </c>
      <c r="H71" s="19" t="inlineStr">
        <is>
          <t>H. One Time Purchase</t>
        </is>
      </c>
      <c r="I71" s="19" t="inlineStr">
        <is>
          <t>Still open</t>
        </is>
      </c>
    </row>
    <row r="72">
      <c r="A72" s="22" t="n">
        <v>68</v>
      </c>
      <c r="B72" s="23" t="inlineStr">
        <is>
          <t>Community Services, (Testing and Vaccine Services) December 2025</t>
        </is>
      </c>
      <c r="C72" s="22" t="inlineStr">
        <is>
          <t>CHICAGO DEPARTMENT OF PUBLIC HEALTH</t>
        </is>
      </c>
      <c r="D72" s="22" t="n">
        <v>1</v>
      </c>
      <c r="E72" s="24" t="n">
        <v>69415.23</v>
      </c>
      <c r="F72" s="24" t="n">
        <v>51269880.15999999</v>
      </c>
      <c r="G72" s="34" t="n">
        <v>0.9635512077109997</v>
      </c>
      <c r="H72" s="22" t="inlineStr">
        <is>
          <t>A. Specification Development Phase</t>
        </is>
      </c>
      <c r="I72" s="22" t="inlineStr">
        <is>
          <t>Still open</t>
        </is>
      </c>
    </row>
    <row r="73">
      <c r="A73" s="19" t="n">
        <v>69</v>
      </c>
      <c r="B73" s="20" t="inlineStr">
        <is>
          <t>ELECTRICALPRODUCTS AND SUPPLIES</t>
        </is>
      </c>
      <c r="C73" s="19" t="inlineStr">
        <is>
          <t>CHICAGO DEPARTMENT OF TRANSPORTATION</t>
        </is>
      </c>
      <c r="D73" s="19" t="n">
        <v>1</v>
      </c>
      <c r="E73" s="21" t="n">
        <v>69314.85000000001</v>
      </c>
      <c r="F73" s="21" t="n">
        <v>51339195.00999999</v>
      </c>
      <c r="G73" s="33" t="n">
        <v>0.9648538908306282</v>
      </c>
      <c r="H73" s="19" t="inlineStr">
        <is>
          <t>B. City Law Review</t>
        </is>
      </c>
      <c r="I73" s="19" t="inlineStr">
        <is>
          <t>Still open</t>
        </is>
      </c>
    </row>
    <row r="74">
      <c r="A74" s="22" t="n">
        <v>70</v>
      </c>
      <c r="B74" s="23" t="inlineStr">
        <is>
          <t>STUMP GRINDING</t>
        </is>
      </c>
      <c r="C74" s="22" t="inlineStr">
        <is>
          <t>DEPARTMENT OF STREETS AND SANITATION</t>
        </is>
      </c>
      <c r="D74" s="22" t="n">
        <v>2</v>
      </c>
      <c r="E74" s="24" t="n">
        <v>68173.46000000001</v>
      </c>
      <c r="F74" s="24" t="n">
        <v>51407368.46999999</v>
      </c>
      <c r="G74" s="34" t="n">
        <v>0.9661351229987519</v>
      </c>
      <c r="H74" s="22" t="inlineStr">
        <is>
          <t>D. Solicitation Response Under Evaluation</t>
        </is>
      </c>
      <c r="I74" s="22" t="inlineStr">
        <is>
          <t>Still open</t>
        </is>
      </c>
    </row>
    <row r="75">
      <c r="A75" s="19" t="n">
        <v>71</v>
      </c>
      <c r="B75" s="20" t="inlineStr">
        <is>
          <t>EXHIBIT B - TALOGY PO 251333 INVOICES $67,689.70</t>
        </is>
      </c>
      <c r="C75" s="19" t="inlineStr">
        <is>
          <t>DEPARTMENT OF HUMAN RESOURCES</t>
        </is>
      </c>
      <c r="D75" s="19" t="n">
        <v>1</v>
      </c>
      <c r="E75" s="21" t="n">
        <v>67689.7</v>
      </c>
      <c r="F75" s="21" t="n">
        <v>51475058.16999999</v>
      </c>
      <c r="G75" s="33" t="n">
        <v>0.9674072635222143</v>
      </c>
      <c r="H75" s="19" t="inlineStr">
        <is>
          <t>A. Specification Development Phase</t>
        </is>
      </c>
      <c r="I75" s="19" t="inlineStr">
        <is>
          <t>Claimed awarded - UNVERIFIED</t>
        </is>
      </c>
    </row>
    <row r="76">
      <c r="A76" s="22" t="n">
        <v>72</v>
      </c>
      <c r="B76" s="23" t="inlineStr">
        <is>
          <t>S&amp;S Lead Dept.  2FM utilizes PO 92930 for the Purchase of Paint Products and Accessories.  The contract expired on 3/7/25.   S&amp;S submitted a replaceme</t>
        </is>
      </c>
      <c r="C76" s="22" t="inlineStr">
        <is>
          <t>DEPARTMENT OF FLEET AND FACILITY MANAGEMENT</t>
        </is>
      </c>
      <c r="D76" s="22" t="n">
        <v>3</v>
      </c>
      <c r="E76" s="24" t="n">
        <v>67075.71000000001</v>
      </c>
      <c r="F76" s="24" t="n">
        <v>51542133.88</v>
      </c>
      <c r="G76" s="34" t="n">
        <v>0.9686678648962935</v>
      </c>
      <c r="H76" s="22" t="inlineStr">
        <is>
          <t>A. Specification Development Phase</t>
        </is>
      </c>
      <c r="I76" s="22" t="inlineStr">
        <is>
          <t>Still open</t>
        </is>
      </c>
    </row>
    <row r="77">
      <c r="A77" s="19" t="n">
        <v>73</v>
      </c>
      <c r="B77" s="20" t="inlineStr">
        <is>
          <t>Chemical reagents and larvicideSurveillance fee</t>
        </is>
      </c>
      <c r="C77" s="19" t="inlineStr">
        <is>
          <t>CHICAGO DEPARTMENT OF PUBLIC HEALTH</t>
        </is>
      </c>
      <c r="D77" s="19" t="n">
        <v>1</v>
      </c>
      <c r="E77" s="21" t="n">
        <v>66126.92</v>
      </c>
      <c r="F77" s="21" t="n">
        <v>51608260.8</v>
      </c>
      <c r="G77" s="33" t="n">
        <v>0.9699106349872196</v>
      </c>
      <c r="H77" s="19" t="inlineStr">
        <is>
          <t>H. One Time Purchase</t>
        </is>
      </c>
      <c r="I77" s="19" t="inlineStr">
        <is>
          <t>Still open</t>
        </is>
      </c>
    </row>
    <row r="78">
      <c r="A78" s="22" t="n">
        <v>74</v>
      </c>
      <c r="B78" s="23" t="inlineStr">
        <is>
          <t>BOTTLED DRINKING WATER, DISTILLED WATER &amp; WATER COOLER RENTALS</t>
        </is>
      </c>
      <c r="C78" s="22" t="inlineStr">
        <is>
          <t>CHICAGO DEPARTMENT OF TRANSPORTATION</t>
        </is>
      </c>
      <c r="D78" s="22" t="n">
        <v>27</v>
      </c>
      <c r="E78" s="24" t="n">
        <v>63682.14</v>
      </c>
      <c r="F78" s="24" t="n">
        <v>51671942.94</v>
      </c>
      <c r="G78" s="34" t="n">
        <v>0.9711074585942795</v>
      </c>
      <c r="H78" s="22" t="inlineStr">
        <is>
          <t>A. Specification Development Phase</t>
        </is>
      </c>
      <c r="I78" s="22" t="inlineStr">
        <is>
          <t>Still open</t>
        </is>
      </c>
    </row>
    <row r="79">
      <c r="A79" s="19" t="n">
        <v>75</v>
      </c>
      <c r="B79" s="20" t="inlineStr">
        <is>
          <t>eBicycle purchase for Parking Enforcement Aides</t>
        </is>
      </c>
      <c r="C79" s="19" t="inlineStr">
        <is>
          <t>DEPARTMENT OF FINANCE</t>
        </is>
      </c>
      <c r="D79" s="19" t="n">
        <v>1</v>
      </c>
      <c r="E79" s="21" t="n">
        <v>61200</v>
      </c>
      <c r="F79" s="21" t="n">
        <v>51733142.94</v>
      </c>
      <c r="G79" s="33" t="n">
        <v>0.9722576335845055</v>
      </c>
      <c r="H79" s="19" t="inlineStr">
        <is>
          <t>H. One Time Purchase</t>
        </is>
      </c>
      <c r="I79" s="19" t="inlineStr">
        <is>
          <t>Still open</t>
        </is>
      </c>
    </row>
    <row r="80">
      <c r="A80" s="22" t="n">
        <v>76</v>
      </c>
      <c r="B80" s="23" t="inlineStr">
        <is>
          <t>PRINTING EQUIPMENT</t>
        </is>
      </c>
      <c r="C80" s="22" t="inlineStr">
        <is>
          <t>DEPARTMENT OF LAW</t>
        </is>
      </c>
      <c r="D80" s="22" t="n">
        <v>1</v>
      </c>
      <c r="E80" s="24" t="n">
        <v>60771.56</v>
      </c>
      <c r="F80" s="24" t="n">
        <v>51793914.5</v>
      </c>
      <c r="G80" s="34" t="n">
        <v>0.9733997565980516</v>
      </c>
      <c r="H80" s="22" t="inlineStr">
        <is>
          <t>C. Solicitation or Bidding Phase</t>
        </is>
      </c>
      <c r="I80" s="22" t="inlineStr">
        <is>
          <t>Still open</t>
        </is>
      </c>
    </row>
    <row r="81">
      <c r="A81" s="19" t="n">
        <v>77</v>
      </c>
      <c r="B81" s="20" t="inlineStr">
        <is>
          <t>Community Testing, Infection Prevention</t>
        </is>
      </c>
      <c r="C81" s="19" t="inlineStr">
        <is>
          <t>CHICAGO DEPARTMENT OF PUBLIC HEALTH</t>
        </is>
      </c>
      <c r="D81" s="19" t="n">
        <v>2</v>
      </c>
      <c r="E81" s="21" t="n">
        <v>60732.8</v>
      </c>
      <c r="F81" s="21" t="n">
        <v>51854647.3</v>
      </c>
      <c r="G81" s="33" t="n">
        <v>0.974541151167437</v>
      </c>
      <c r="H81" s="19" t="inlineStr">
        <is>
          <t>A. Specification Development Phase</t>
        </is>
      </c>
      <c r="I81" s="19" t="inlineStr">
        <is>
          <t>Still open</t>
        </is>
      </c>
    </row>
    <row r="82">
      <c r="A82" s="22" t="n">
        <v>78</v>
      </c>
      <c r="B82" s="23" t="inlineStr">
        <is>
          <t>Feb 2026 Waste Management Services at Midway. To pay Invoice # 55883</t>
        </is>
      </c>
      <c r="C82" s="22" t="inlineStr">
        <is>
          <t>CHICAGO DEPARTMENT OF AVIATION</t>
        </is>
      </c>
      <c r="D82" s="22" t="n">
        <v>2</v>
      </c>
      <c r="E82" s="24" t="n">
        <v>58167.62</v>
      </c>
      <c r="F82" s="24" t="n">
        <v>51912814.91999999</v>
      </c>
      <c r="G82" s="34" t="n">
        <v>0.9756343364903939</v>
      </c>
      <c r="H82" s="22" t="inlineStr">
        <is>
          <t>A. Specification Development Phase</t>
        </is>
      </c>
      <c r="I82" s="22" t="inlineStr">
        <is>
          <t>Still open</t>
        </is>
      </c>
    </row>
    <row r="83">
      <c r="A83" s="19" t="n">
        <v>79</v>
      </c>
      <c r="B83" s="20" t="inlineStr">
        <is>
          <t>TB/MM/2 INVOICES/$1353.00</t>
        </is>
      </c>
      <c r="C83" s="19" t="inlineStr">
        <is>
          <t>DEPARTMENT OF FLEET AND FACILITY MANAGEMENT</t>
        </is>
      </c>
      <c r="D83" s="19" t="n">
        <v>9</v>
      </c>
      <c r="E83" s="21" t="n">
        <v>56232</v>
      </c>
      <c r="F83" s="21" t="n">
        <v>51969046.91999999</v>
      </c>
      <c r="G83" s="33" t="n">
        <v>0.9766911443343544</v>
      </c>
      <c r="H83" s="19" t="inlineStr">
        <is>
          <t>A. Specification Development Phase</t>
        </is>
      </c>
      <c r="I83" s="19" t="inlineStr">
        <is>
          <t>Still open</t>
        </is>
      </c>
    </row>
    <row r="84">
      <c r="A84" s="22" t="n">
        <v>80</v>
      </c>
      <c r="B84" s="23" t="inlineStr">
        <is>
          <t>TB/GR/INV #6101269-0/$6272.00</t>
        </is>
      </c>
      <c r="C84" s="22" t="inlineStr">
        <is>
          <t>DEPARTMENT OF FLEET AND FACILITY MANAGEMENT</t>
        </is>
      </c>
      <c r="D84" s="22" t="n">
        <v>7</v>
      </c>
      <c r="E84" s="24" t="n">
        <v>53447.92</v>
      </c>
      <c r="F84" s="24" t="n">
        <v>52022494.84</v>
      </c>
      <c r="G84" s="34" t="n">
        <v>0.9776956289889884</v>
      </c>
      <c r="H84" s="22" t="inlineStr">
        <is>
          <t>A. Specification Development Phase</t>
        </is>
      </c>
      <c r="I84" s="22" t="inlineStr">
        <is>
          <t>Still open</t>
        </is>
      </c>
    </row>
    <row r="85">
      <c r="A85" s="19" t="n">
        <v>81</v>
      </c>
      <c r="B85" s="20" t="inlineStr">
        <is>
          <t>Vohne Liche Kennels Inv 21389 $50,059</t>
        </is>
      </c>
      <c r="C85" s="19" t="inlineStr">
        <is>
          <t>CHICAGO POLICE DEPARTMENT</t>
        </is>
      </c>
      <c r="D85" s="19" t="n">
        <v>1</v>
      </c>
      <c r="E85" s="21" t="n">
        <v>50059</v>
      </c>
      <c r="F85" s="21" t="n">
        <v>52072553.84</v>
      </c>
      <c r="G85" s="33" t="n">
        <v>0.9786364232673499</v>
      </c>
      <c r="H85" s="19" t="inlineStr">
        <is>
          <t>A. Specification Development Phase</t>
        </is>
      </c>
      <c r="I85" s="19" t="inlineStr">
        <is>
          <t>Still open</t>
        </is>
      </c>
    </row>
    <row r="86">
      <c r="A86" s="22" t="n">
        <v>82</v>
      </c>
      <c r="B86" s="23" t="inlineStr">
        <is>
          <t>TB/AO/INVOICE #S3388-1/$418.50</t>
        </is>
      </c>
      <c r="C86" s="22" t="inlineStr">
        <is>
          <t>DEPARTMENT OF FLEET AND FACILITY MANAGEMENT</t>
        </is>
      </c>
      <c r="D86" s="22" t="n">
        <v>24</v>
      </c>
      <c r="E86" s="24" t="n">
        <v>48852.45</v>
      </c>
      <c r="F86" s="24" t="n">
        <v>52121406.29</v>
      </c>
      <c r="G86" s="34" t="n">
        <v>0.9795545419961287</v>
      </c>
      <c r="H86" s="22" t="inlineStr">
        <is>
          <t>C. Solicitation or Bidding Phase</t>
        </is>
      </c>
      <c r="I86" s="22" t="inlineStr">
        <is>
          <t>Still open</t>
        </is>
      </c>
    </row>
    <row r="87">
      <c r="A87" s="19" t="n">
        <v>83</v>
      </c>
      <c r="B87" s="20" t="inlineStr">
        <is>
          <t>1- 2025 unpaid DLT invoice for Oracle Active Data Guard Processor. This invoice was received after the Finance cutoff received date of 02/27/2026</t>
        </is>
      </c>
      <c r="C87" s="19" t="inlineStr">
        <is>
          <t>DEPARTMENT OF TECHNOLOGY AND INNOVATION</t>
        </is>
      </c>
      <c r="D87" s="19" t="n">
        <v>1</v>
      </c>
      <c r="E87" s="21" t="n">
        <v>48673.35</v>
      </c>
      <c r="F87" s="21" t="n">
        <v>52170079.64</v>
      </c>
      <c r="G87" s="33" t="n">
        <v>0.9804692947716274</v>
      </c>
      <c r="H87" s="19" t="inlineStr">
        <is>
          <t>H. One Time Purchase</t>
        </is>
      </c>
      <c r="I87" s="19" t="inlineStr">
        <is>
          <t>Still open</t>
        </is>
      </c>
    </row>
    <row r="88">
      <c r="A88" s="22" t="n">
        <v>84</v>
      </c>
      <c r="B88" s="23" t="inlineStr">
        <is>
          <t>CIS Maintenance/Support-December</t>
        </is>
      </c>
      <c r="C88" s="22" t="inlineStr">
        <is>
          <t>CHICAGO DEPARTMENT OF PUBLIC HEALTH</t>
        </is>
      </c>
      <c r="D88" s="22" t="n">
        <v>8</v>
      </c>
      <c r="E88" s="24" t="n">
        <v>46950</v>
      </c>
      <c r="F88" s="24" t="n">
        <v>52217029.64</v>
      </c>
      <c r="G88" s="34" t="n">
        <v>0.9813516594087369</v>
      </c>
      <c r="H88" s="22" t="inlineStr">
        <is>
          <t>H. One Time Purchase</t>
        </is>
      </c>
      <c r="I88" s="22" t="inlineStr">
        <is>
          <t>Still open</t>
        </is>
      </c>
    </row>
    <row r="89">
      <c r="A89" s="19" t="n">
        <v>85</v>
      </c>
      <c r="B89" s="20" t="inlineStr">
        <is>
          <t>TB/GC/INV #189156/$45,500.00</t>
        </is>
      </c>
      <c r="C89" s="19" t="inlineStr">
        <is>
          <t>DEPARTMENT OF FLEET AND FACILITY MANAGEMENT</t>
        </is>
      </c>
      <c r="D89" s="19" t="n">
        <v>1</v>
      </c>
      <c r="E89" s="21" t="n">
        <v>45500</v>
      </c>
      <c r="F89" s="21" t="n">
        <v>52262529.64</v>
      </c>
      <c r="G89" s="33" t="n">
        <v>0.9822067731678101</v>
      </c>
      <c r="H89" s="19" t="inlineStr">
        <is>
          <t>H. One Time Purchase</t>
        </is>
      </c>
      <c r="I89" s="19" t="inlineStr">
        <is>
          <t>Still open</t>
        </is>
      </c>
    </row>
    <row r="90">
      <c r="A90" s="22" t="n">
        <v>86</v>
      </c>
      <c r="B90" s="23" t="inlineStr">
        <is>
          <t>Waste Management 1040290 L   JS/ VJ/ 2-INVOICES/ $11,477.36/ Mar Services/</t>
        </is>
      </c>
      <c r="C90" s="22" t="inlineStr">
        <is>
          <t>DEPARTMENT OF FLEET AND FACILITY MANAGEMENT</t>
        </is>
      </c>
      <c r="D90" s="22" t="n">
        <v>3</v>
      </c>
      <c r="E90" s="24" t="n">
        <v>45141.92</v>
      </c>
      <c r="F90" s="24" t="n">
        <v>52307671.56</v>
      </c>
      <c r="G90" s="34" t="n">
        <v>0.983055157275568</v>
      </c>
      <c r="H90" s="22" t="inlineStr">
        <is>
          <t>B. City Law Review</t>
        </is>
      </c>
      <c r="I90" s="22" t="inlineStr">
        <is>
          <t>Still open</t>
        </is>
      </c>
    </row>
    <row r="91">
      <c r="A91" s="19" t="n">
        <v>87</v>
      </c>
      <c r="B91" s="20" t="inlineStr">
        <is>
          <t>January 2025 Consulting Services CDPH MPV/HIVFebruary 2025 Consulting Services CDPH MPV/HIV</t>
        </is>
      </c>
      <c r="C91" s="19" t="inlineStr">
        <is>
          <t>CHICAGO DEPARTMENT OF PUBLIC HEALTH</t>
        </is>
      </c>
      <c r="D91" s="19" t="n">
        <v>1</v>
      </c>
      <c r="E91" s="21" t="n">
        <v>40000</v>
      </c>
      <c r="F91" s="21" t="n">
        <v>52347671.56</v>
      </c>
      <c r="G91" s="33" t="n">
        <v>0.9838069056351928</v>
      </c>
      <c r="H91" s="19" t="inlineStr">
        <is>
          <t>H. One Time Purchase</t>
        </is>
      </c>
      <c r="I91" s="19" t="inlineStr">
        <is>
          <t>Still open</t>
        </is>
      </c>
    </row>
    <row r="92">
      <c r="A92" s="22" t="n">
        <v>88</v>
      </c>
      <c r="B92" s="23" t="inlineStr">
        <is>
          <t>VETERINARY CLEANING SUPPLIES</t>
        </is>
      </c>
      <c r="C92" s="22" t="inlineStr">
        <is>
          <t>CHICAGO ANIMAL CARE AND CONTROL</t>
        </is>
      </c>
      <c r="D92" s="22" t="n">
        <v>2</v>
      </c>
      <c r="E92" s="24" t="n">
        <v>39554.51</v>
      </c>
      <c r="F92" s="24" t="n">
        <v>52387226.07</v>
      </c>
      <c r="G92" s="34" t="n">
        <v>0.9845502815853994</v>
      </c>
      <c r="H92" s="22" t="inlineStr">
        <is>
          <t>B. City Law Review</t>
        </is>
      </c>
      <c r="I92" s="22" t="inlineStr">
        <is>
          <t>Still open</t>
        </is>
      </c>
    </row>
    <row r="93">
      <c r="A93" s="19" t="n">
        <v>89</v>
      </c>
      <c r="B93" s="20" t="inlineStr">
        <is>
          <t>Various Safety Equipment</t>
        </is>
      </c>
      <c r="C93" s="19" t="inlineStr">
        <is>
          <t>CHICAGO DEPARTMENT OF TRANSPORTATION</t>
        </is>
      </c>
      <c r="D93" s="19" t="n">
        <v>1</v>
      </c>
      <c r="E93" s="21" t="n">
        <v>35226.55</v>
      </c>
      <c r="F93" s="21" t="n">
        <v>52422452.62</v>
      </c>
      <c r="G93" s="33" t="n">
        <v>0.9852123191148429</v>
      </c>
      <c r="H93" s="19" t="inlineStr">
        <is>
          <t>B. City Law Review</t>
        </is>
      </c>
      <c r="I93" s="19" t="inlineStr">
        <is>
          <t>Still open</t>
        </is>
      </c>
    </row>
    <row r="94">
      <c r="A94" s="22" t="n">
        <v>90</v>
      </c>
      <c r="B94" s="23" t="inlineStr">
        <is>
          <t>FLEET AND FACILITY MANAGEMENT ("2FM") IS THE LEAD DEPARTMENT FOR PO 32909 INTEGRATED PEST MANAGEMENT SERVICES, THROUGH ABC HUMANE WILDLIFE/LANDMARK PE</t>
        </is>
      </c>
      <c r="C94" s="22" t="inlineStr">
        <is>
          <t>DEPARTMENT OF WATER MANAGEMENT</t>
        </is>
      </c>
      <c r="D94" s="22" t="n">
        <v>1</v>
      </c>
      <c r="E94" s="24" t="n">
        <v>34562.66</v>
      </c>
      <c r="F94" s="24" t="n">
        <v>52457015.27999999</v>
      </c>
      <c r="G94" s="34" t="n">
        <v>0.9858618796888245</v>
      </c>
      <c r="H94" s="22" t="inlineStr">
        <is>
          <t>H. One Time Purchase</t>
        </is>
      </c>
      <c r="I94" s="22" t="inlineStr">
        <is>
          <t>Claimed awarded - UNVERIFIED</t>
        </is>
      </c>
    </row>
    <row r="95">
      <c r="A95" s="19" t="n">
        <v>91</v>
      </c>
      <c r="B95" s="20" t="inlineStr">
        <is>
          <t>Republic Services Inv# 005898442</t>
        </is>
      </c>
      <c r="C95" s="19" t="inlineStr">
        <is>
          <t>CHICAGO POLICE DEPARTMENT</t>
        </is>
      </c>
      <c r="D95" s="19" t="n">
        <v>9</v>
      </c>
      <c r="E95" s="21" t="n">
        <v>33940.73</v>
      </c>
      <c r="F95" s="21" t="n">
        <v>52490956.00999999</v>
      </c>
      <c r="G95" s="33" t="n">
        <v>0.9864997518913736</v>
      </c>
      <c r="H95" s="19" t="inlineStr">
        <is>
          <t>A. Specification Development Phase</t>
        </is>
      </c>
      <c r="I95" s="19" t="inlineStr">
        <is>
          <t>Still open</t>
        </is>
      </c>
    </row>
    <row r="96">
      <c r="A96" s="22" t="n">
        <v>92</v>
      </c>
      <c r="B96" s="23" t="inlineStr">
        <is>
          <t>Office of the City Clerk - Chicago Vehicle Stickers</t>
        </is>
      </c>
      <c r="C96" s="22" t="inlineStr">
        <is>
          <t>OFFICE OF CITY CLERK</t>
        </is>
      </c>
      <c r="D96" s="22" t="n">
        <v>4</v>
      </c>
      <c r="E96" s="24" t="n">
        <v>32830.95</v>
      </c>
      <c r="F96" s="24" t="n">
        <v>52523786.95999999</v>
      </c>
      <c r="G96" s="34" t="n">
        <v>0.9871167672115593</v>
      </c>
      <c r="H96" s="22" t="inlineStr">
        <is>
          <t>A. Specification Development Phase</t>
        </is>
      </c>
      <c r="I96" s="22" t="inlineStr">
        <is>
          <t>Still open</t>
        </is>
      </c>
    </row>
    <row r="97">
      <c r="A97" s="19" t="n">
        <v>93</v>
      </c>
      <c r="B97" s="20" t="inlineStr">
        <is>
          <t>HAN Maintenance and Support Services - June 2026</t>
        </is>
      </c>
      <c r="C97" s="19" t="inlineStr">
        <is>
          <t>CHICAGO DEPARTMENT OF PUBLIC HEALTH</t>
        </is>
      </c>
      <c r="D97" s="19" t="n">
        <v>1</v>
      </c>
      <c r="E97" s="21" t="n">
        <v>31978.33</v>
      </c>
      <c r="F97" s="21" t="n">
        <v>52555765.28999999</v>
      </c>
      <c r="G97" s="33" t="n">
        <v>0.9877177586395853</v>
      </c>
      <c r="H97" s="19" t="inlineStr">
        <is>
          <t>H. One Time Purchase</t>
        </is>
      </c>
      <c r="I97" s="19" t="inlineStr">
        <is>
          <t>Still open</t>
        </is>
      </c>
    </row>
    <row r="98">
      <c r="A98" s="22" t="n">
        <v>94</v>
      </c>
      <c r="B98" s="23" t="inlineStr">
        <is>
          <t>TB/MM/4 INVOICES/$4019.00</t>
        </is>
      </c>
      <c r="C98" s="22" t="inlineStr">
        <is>
          <t>DEPARTMENT OF FLEET AND FACILITY MANAGEMENT</t>
        </is>
      </c>
      <c r="D98" s="22" t="n">
        <v>7</v>
      </c>
      <c r="E98" s="24" t="n">
        <v>31723</v>
      </c>
      <c r="F98" s="24" t="n">
        <v>52587488.28999999</v>
      </c>
      <c r="G98" s="34" t="n">
        <v>0.9883139514698948</v>
      </c>
      <c r="H98" s="22" t="inlineStr">
        <is>
          <t>B. City Law Review</t>
        </is>
      </c>
      <c r="I98" s="22" t="inlineStr">
        <is>
          <t>Still open</t>
        </is>
      </c>
    </row>
    <row r="99">
      <c r="A99" s="19" t="n">
        <v>95</v>
      </c>
      <c r="B99" s="20" t="inlineStr">
        <is>
          <t>CDPH 2025 Vaccine Outreach and Anti-Tobacco Media Campaign Services.</t>
        </is>
      </c>
      <c r="C99" s="19" t="inlineStr">
        <is>
          <t>CHICAGO DEPARTMENT OF PUBLIC HEALTH</t>
        </is>
      </c>
      <c r="D99" s="19" t="n">
        <v>2</v>
      </c>
      <c r="E99" s="21" t="n">
        <v>30476.25</v>
      </c>
      <c r="F99" s="21" t="n">
        <v>52617964.53999999</v>
      </c>
      <c r="G99" s="33" t="n">
        <v>0.9888867132435201</v>
      </c>
      <c r="H99" s="19" t="inlineStr">
        <is>
          <t>H. One Time Purchase</t>
        </is>
      </c>
      <c r="I99" s="19" t="inlineStr">
        <is>
          <t>Still open</t>
        </is>
      </c>
    </row>
    <row r="100">
      <c r="A100" s="22" t="n">
        <v>96</v>
      </c>
      <c r="B100" s="23" t="inlineStr">
        <is>
          <t>TB/AO/2 INVOICES/$29,195.38</t>
        </is>
      </c>
      <c r="C100" s="22" t="inlineStr">
        <is>
          <t>DEPARTMENT OF FLEET AND FACILITY MANAGEMENT</t>
        </is>
      </c>
      <c r="D100" s="22" t="n">
        <v>1</v>
      </c>
      <c r="E100" s="24" t="n">
        <v>29195.38</v>
      </c>
      <c r="F100" s="24" t="n">
        <v>52647159.91999999</v>
      </c>
      <c r="G100" s="34" t="n">
        <v>0.9894354027191107</v>
      </c>
      <c r="H100" s="22" t="inlineStr">
        <is>
          <t>A. Specification Development Phase</t>
        </is>
      </c>
      <c r="I100" s="22" t="inlineStr">
        <is>
          <t>Still open</t>
        </is>
      </c>
    </row>
    <row r="101">
      <c r="A101" s="19" t="n">
        <v>97</v>
      </c>
      <c r="B101" s="20" t="inlineStr">
        <is>
          <t>Purchase of Rodenticide</t>
        </is>
      </c>
      <c r="C101" s="19" t="inlineStr">
        <is>
          <t>DEPARTMENT OF STREETS AND SANITATION</t>
        </is>
      </c>
      <c r="D101" s="19" t="n">
        <v>1</v>
      </c>
      <c r="E101" s="21" t="n">
        <v>28637.75</v>
      </c>
      <c r="F101" s="21" t="n">
        <v>52675797.66999999</v>
      </c>
      <c r="G101" s="33" t="n">
        <v>0.9899736122587568</v>
      </c>
      <c r="H101" s="19" t="inlineStr">
        <is>
          <t>A. Specification Development Phase</t>
        </is>
      </c>
      <c r="I101" s="19" t="inlineStr">
        <is>
          <t>Still open</t>
        </is>
      </c>
    </row>
    <row r="102">
      <c r="A102" s="22" t="n">
        <v>98</v>
      </c>
      <c r="B102" s="23" t="inlineStr">
        <is>
          <t>Invoice#  112505  2026 Midway Deicing Materials - Magnesium Chloride 50lb bag. To pay invoice # 112505</t>
        </is>
      </c>
      <c r="C102" s="22" t="inlineStr">
        <is>
          <t>CHICAGO DEPARTMENT OF AVIATION</t>
        </is>
      </c>
      <c r="D102" s="22" t="n">
        <v>1</v>
      </c>
      <c r="E102" s="24" t="n">
        <v>27965</v>
      </c>
      <c r="F102" s="24" t="n">
        <v>52703762.66999999</v>
      </c>
      <c r="G102" s="34" t="n">
        <v>0.9904991783306796</v>
      </c>
      <c r="H102" s="22" t="inlineStr">
        <is>
          <t>A. Specification Development Phase</t>
        </is>
      </c>
      <c r="I102" s="22" t="inlineStr">
        <is>
          <t>Still open</t>
        </is>
      </c>
    </row>
    <row r="103">
      <c r="A103" s="19" t="n">
        <v>99</v>
      </c>
      <c r="B103" s="20" t="inlineStr">
        <is>
          <t>ZIPCAR  54117025 - C   JS/ WW/ 10-INVS/ $1,943.08/ DECEMBER 2025 CHARGES</t>
        </is>
      </c>
      <c r="C103" s="19" t="inlineStr">
        <is>
          <t>DEPARTMENT OF FLEET AND FACILITY MANAGEMENT</t>
        </is>
      </c>
      <c r="D103" s="19" t="n">
        <v>9</v>
      </c>
      <c r="E103" s="21" t="n">
        <v>27515.51</v>
      </c>
      <c r="F103" s="21" t="n">
        <v>52731278.17999999</v>
      </c>
      <c r="G103" s="33" t="n">
        <v>0.991016296818348</v>
      </c>
      <c r="H103" s="19" t="inlineStr">
        <is>
          <t>B. City Law Review</t>
        </is>
      </c>
      <c r="I103" s="19" t="inlineStr">
        <is>
          <t>Still open</t>
        </is>
      </c>
    </row>
    <row r="104">
      <c r="A104" s="22" t="n">
        <v>100</v>
      </c>
      <c r="B104" s="23" t="inlineStr">
        <is>
          <t>TB/INV#11302025/$1770.00</t>
        </is>
      </c>
      <c r="C104" s="22" t="inlineStr">
        <is>
          <t>DEPARTMENT OF FLEET AND FACILITY MANAGEMENT</t>
        </is>
      </c>
      <c r="D104" s="22" t="n">
        <v>4</v>
      </c>
      <c r="E104" s="24" t="n">
        <v>24511.81</v>
      </c>
      <c r="F104" s="24" t="n">
        <v>52755789.98999999</v>
      </c>
      <c r="G104" s="34" t="n">
        <v>0.9914769646423214</v>
      </c>
      <c r="H104" s="22" t="inlineStr">
        <is>
          <t>A. Specification Development Phase</t>
        </is>
      </c>
      <c r="I104" s="22" t="inlineStr">
        <is>
          <t>Still open</t>
        </is>
      </c>
    </row>
    <row r="105">
      <c r="A105" s="19" t="n">
        <v>101</v>
      </c>
      <c r="B105" s="20" t="inlineStr">
        <is>
          <t>Exhibit B_ 8160</t>
        </is>
      </c>
      <c r="C105" s="19" t="inlineStr">
        <is>
          <t>DEPARTMENT OF FAMILY AND SUPPORT SERVICES</t>
        </is>
      </c>
      <c r="D105" s="19" t="n">
        <v>3</v>
      </c>
      <c r="E105" s="21" t="n">
        <v>23964</v>
      </c>
      <c r="F105" s="21" t="n">
        <v>52779753.98999999</v>
      </c>
      <c r="G105" s="33" t="n">
        <v>0.9919273370845726</v>
      </c>
      <c r="H105" s="19" t="inlineStr">
        <is>
          <t>A. Specification Development Phase</t>
        </is>
      </c>
      <c r="I105" s="19" t="inlineStr">
        <is>
          <t>Claimed awarded - UNVERIFIED</t>
        </is>
      </c>
    </row>
    <row r="106">
      <c r="A106" s="22" t="n">
        <v>102</v>
      </c>
      <c r="B106" s="23" t="inlineStr">
        <is>
          <t>water</t>
        </is>
      </c>
      <c r="C106" s="22" t="inlineStr">
        <is>
          <t>DEPARTMENT OF STREETS AND SANITATION</t>
        </is>
      </c>
      <c r="D106" s="22" t="n">
        <v>16</v>
      </c>
      <c r="E106" s="24" t="n">
        <v>22188.54</v>
      </c>
      <c r="F106" s="24" t="n">
        <v>52801942.52999999</v>
      </c>
      <c r="G106" s="34" t="n">
        <v>0.9923443420482593</v>
      </c>
      <c r="H106" s="22" t="inlineStr">
        <is>
          <t>D. Solicitation Response Under Evaluation</t>
        </is>
      </c>
      <c r="I106" s="22" t="inlineStr">
        <is>
          <t>Still open</t>
        </is>
      </c>
    </row>
    <row r="107">
      <c r="A107" s="19" t="n">
        <v>103</v>
      </c>
      <c r="B107" s="20" t="inlineStr">
        <is>
          <t>EXHIBIT B - MEDICAL/PHYSICAL EXAMS AND DRUG TESTING/LAB SERVICES - OCCUPATIONAL HEALTH CENTERS DBA CONCENTRA INVOICES $20,353.00</t>
        </is>
      </c>
      <c r="C107" s="19" t="inlineStr">
        <is>
          <t>DEPARTMENT OF HUMAN RESOURCES</t>
        </is>
      </c>
      <c r="D107" s="19" t="n">
        <v>1</v>
      </c>
      <c r="E107" s="21" t="n">
        <v>20353</v>
      </c>
      <c r="F107" s="21" t="n">
        <v>52822295.52999999</v>
      </c>
      <c r="G107" s="33" t="n">
        <v>0.9927268504073454</v>
      </c>
      <c r="H107" s="19" t="inlineStr">
        <is>
          <t>A. Specification Development Phase</t>
        </is>
      </c>
      <c r="I107" s="19" t="inlineStr">
        <is>
          <t>Claimed awarded - UNVERIFIED</t>
        </is>
      </c>
    </row>
    <row r="108">
      <c r="A108" s="22" t="n">
        <v>104</v>
      </c>
      <c r="B108" s="23" t="inlineStr">
        <is>
          <t>November 2023 Consulting Services - CDPH Crystal Meth</t>
        </is>
      </c>
      <c r="C108" s="22" t="inlineStr">
        <is>
          <t>CHICAGO DEPARTMENT OF PUBLIC HEALTH</t>
        </is>
      </c>
      <c r="D108" s="22" t="n">
        <v>1</v>
      </c>
      <c r="E108" s="24" t="n">
        <v>20000</v>
      </c>
      <c r="F108" s="24" t="n">
        <v>52842295.52999999</v>
      </c>
      <c r="G108" s="34" t="n">
        <v>0.9931027245871578</v>
      </c>
      <c r="H108" s="22" t="inlineStr">
        <is>
          <t>H. One Time Purchase</t>
        </is>
      </c>
      <c r="I108" s="22" t="inlineStr">
        <is>
          <t>Still open</t>
        </is>
      </c>
    </row>
    <row r="109">
      <c r="A109" s="19" t="n">
        <v>105</v>
      </c>
      <c r="B109" s="20" t="inlineStr">
        <is>
          <t>2026 Midway Snow Equipment &amp; Snow Vehicles washing (Services to pay invoice numbers: INV110941, INV111047 &amp; INV111054</t>
        </is>
      </c>
      <c r="C109" s="19" t="inlineStr">
        <is>
          <t>CHICAGO DEPARTMENT OF AVIATION</t>
        </is>
      </c>
      <c r="D109" s="19" t="n">
        <v>2</v>
      </c>
      <c r="E109" s="21" t="n">
        <v>19552</v>
      </c>
      <c r="F109" s="21" t="n">
        <v>52861847.52999999</v>
      </c>
      <c r="G109" s="33" t="n">
        <v>0.9934701791853424</v>
      </c>
      <c r="H109" s="19" t="inlineStr">
        <is>
          <t>A. Specification Development Phase</t>
        </is>
      </c>
      <c r="I109" s="19" t="inlineStr">
        <is>
          <t>Still open</t>
        </is>
      </c>
    </row>
    <row r="110">
      <c r="A110" s="22" t="n">
        <v>106</v>
      </c>
      <c r="B110" s="23" t="inlineStr">
        <is>
          <t>TB/MS/INV #16467/$18,135.00</t>
        </is>
      </c>
      <c r="C110" s="22" t="inlineStr">
        <is>
          <t>DEPARTMENT OF FLEET AND FACILITY MANAGEMENT</t>
        </is>
      </c>
      <c r="D110" s="22" t="n">
        <v>2</v>
      </c>
      <c r="E110" s="24" t="n">
        <v>18135</v>
      </c>
      <c r="F110" s="24" t="n">
        <v>52879982.52999999</v>
      </c>
      <c r="G110" s="34" t="n">
        <v>0.9938110030978873</v>
      </c>
      <c r="H110" s="22" t="inlineStr">
        <is>
          <t>H. One Time Purchase</t>
        </is>
      </c>
      <c r="I110" s="22" t="inlineStr">
        <is>
          <t>Still open</t>
        </is>
      </c>
    </row>
    <row r="111">
      <c r="A111" s="19" t="n">
        <v>107</v>
      </c>
      <c r="B111" s="20" t="inlineStr">
        <is>
          <t>Sophisticated Events 10237596 A  JS/ DC/ 6-Invoices/ $16,200.00/ 2FM/ Table Rentals/ Migrant Location-Touhy &amp; Sheridan</t>
        </is>
      </c>
      <c r="C111" s="19" t="inlineStr">
        <is>
          <t>DEPARTMENT OF FLEET AND FACILITY MANAGEMENT</t>
        </is>
      </c>
      <c r="D111" s="19" t="n">
        <v>1</v>
      </c>
      <c r="E111" s="21" t="n">
        <v>16200</v>
      </c>
      <c r="F111" s="21" t="n">
        <v>52896182.52999999</v>
      </c>
      <c r="G111" s="33" t="n">
        <v>0.9941154611835353</v>
      </c>
      <c r="H111" s="19" t="inlineStr">
        <is>
          <t>A. Specification Development Phase</t>
        </is>
      </c>
      <c r="I111" s="19" t="inlineStr">
        <is>
          <t>Still open</t>
        </is>
      </c>
    </row>
    <row r="112">
      <c r="A112" s="22" t="n">
        <v>108</v>
      </c>
      <c r="B112" s="23" t="inlineStr">
        <is>
          <t>TB/JG/INV# COCNL112025 / $1745.06</t>
        </is>
      </c>
      <c r="C112" s="22" t="inlineStr">
        <is>
          <t>DEPARTMENT OF FLEET AND FACILITY MANAGEMENT</t>
        </is>
      </c>
      <c r="D112" s="22" t="n">
        <v>6</v>
      </c>
      <c r="E112" s="24" t="n">
        <v>16158.15</v>
      </c>
      <c r="F112" s="24" t="n">
        <v>52912340.67999999</v>
      </c>
      <c r="G112" s="34" t="n">
        <v>0.9944191327524621</v>
      </c>
      <c r="H112" s="22" t="inlineStr">
        <is>
          <t>B. City Law Review</t>
        </is>
      </c>
      <c r="I112" s="22" t="inlineStr">
        <is>
          <t>Claimed awarded - UNVERIFIED</t>
        </is>
      </c>
    </row>
    <row r="113">
      <c r="A113" s="19" t="n">
        <v>109</v>
      </c>
      <c r="B113" s="20" t="inlineStr">
        <is>
          <t>DODD CAMERA - MAIU - $15,713.46 FUND 659</t>
        </is>
      </c>
      <c r="C113" s="19" t="inlineStr">
        <is>
          <t>CHICAGO POLICE DEPARTMENT</t>
        </is>
      </c>
      <c r="D113" s="19" t="n">
        <v>1</v>
      </c>
      <c r="E113" s="21" t="n">
        <v>15713.46</v>
      </c>
      <c r="F113" s="21" t="n">
        <v>52928054.13999999</v>
      </c>
      <c r="G113" s="33" t="n">
        <v>0.9947144469469379</v>
      </c>
      <c r="H113" s="19" t="inlineStr">
        <is>
          <t>B. City Law Review</t>
        </is>
      </c>
      <c r="I113" s="19" t="inlineStr">
        <is>
          <t>Still open</t>
        </is>
      </c>
    </row>
    <row r="114">
      <c r="A114" s="22" t="n">
        <v>110</v>
      </c>
      <c r="B114" s="23" t="inlineStr">
        <is>
          <t>#3 Invoices  $7,434.75NEED TO PAY RECURRING INVOICES FOR RECORDS RETENTIONSERVICES 3/26, 4/26, 5/26</t>
        </is>
      </c>
      <c r="C114" s="22" t="inlineStr">
        <is>
          <t>CHICAGO DEPARTMENT OF AVIATION</t>
        </is>
      </c>
      <c r="D114" s="22" t="n">
        <v>3</v>
      </c>
      <c r="E114" s="24" t="n">
        <v>15516.83</v>
      </c>
      <c r="F114" s="24" t="n">
        <v>52943570.96999999</v>
      </c>
      <c r="G114" s="34" t="n">
        <v>0.9950060657344147</v>
      </c>
      <c r="H114" s="22" t="inlineStr">
        <is>
          <t>A. Specification Development Phase</t>
        </is>
      </c>
      <c r="I114" s="22" t="inlineStr">
        <is>
          <t>Still open</t>
        </is>
      </c>
    </row>
    <row r="115">
      <c r="A115" s="19" t="n">
        <v>111</v>
      </c>
      <c r="B115" s="20" t="inlineStr">
        <is>
          <t>4/1/2025 - 4/30/2025 - COVID-19 AND OTHER PATHOGEN TESTING SERVICES IN CONGREGATE SETTINGS</t>
        </is>
      </c>
      <c r="C115" s="19" t="inlineStr">
        <is>
          <t>CHICAGO DEPARTMENT OF PUBLIC HEALTH</t>
        </is>
      </c>
      <c r="D115" s="19" t="n">
        <v>2</v>
      </c>
      <c r="E115" s="21" t="n">
        <v>13890</v>
      </c>
      <c r="F115" s="21" t="n">
        <v>52957460.96999999</v>
      </c>
      <c r="G115" s="33" t="n">
        <v>0.9952671103522944</v>
      </c>
      <c r="H115" s="19" t="inlineStr">
        <is>
          <t>H. One Time Purchase</t>
        </is>
      </c>
      <c r="I115" s="19" t="inlineStr">
        <is>
          <t>Still open</t>
        </is>
      </c>
    </row>
    <row r="116">
      <c r="A116" s="22" t="n">
        <v>112</v>
      </c>
      <c r="B116" s="23" t="inlineStr">
        <is>
          <t>31st Street Viaduct over Metra/ICRR - Exhibit B payment request for AECOM (PO #47573 - Rel 5)</t>
        </is>
      </c>
      <c r="C116" s="22" t="inlineStr">
        <is>
          <t>CHICAGO DEPARTMENT OF TRANSPORTATION</t>
        </is>
      </c>
      <c r="D116" s="22" t="n">
        <v>1</v>
      </c>
      <c r="E116" s="24" t="n">
        <v>13656.95</v>
      </c>
      <c r="F116" s="24" t="n">
        <v>52971117.91999999</v>
      </c>
      <c r="G116" s="34" t="n">
        <v>0.995523775096294</v>
      </c>
      <c r="H116" s="22" t="inlineStr">
        <is>
          <t>G. Not Applicable (Office Depot use Only)</t>
        </is>
      </c>
      <c r="I116" s="22" t="inlineStr">
        <is>
          <t>Claimed awarded - UNVERIFIED</t>
        </is>
      </c>
    </row>
    <row r="117">
      <c r="A117" s="19" t="n">
        <v>113</v>
      </c>
      <c r="B117" s="20" t="inlineStr">
        <is>
          <t>DECEMBER 2025 INVOICE FOR O'HARE AIRPORT</t>
        </is>
      </c>
      <c r="C117" s="19" t="inlineStr">
        <is>
          <t>CHICAGO DEPARTMENT OF AVIATION</t>
        </is>
      </c>
      <c r="D117" s="19" t="n">
        <v>4</v>
      </c>
      <c r="E117" s="21" t="n">
        <v>12420</v>
      </c>
      <c r="F117" s="21" t="n">
        <v>52983537.91999999</v>
      </c>
      <c r="G117" s="33" t="n">
        <v>0.9957571929619575</v>
      </c>
      <c r="H117" s="19" t="inlineStr">
        <is>
          <t>D. Solicitation Response Under Evaluation</t>
        </is>
      </c>
      <c r="I117" s="19" t="inlineStr">
        <is>
          <t>Still open</t>
        </is>
      </c>
    </row>
    <row r="118">
      <c r="A118" s="22" t="n">
        <v>114</v>
      </c>
      <c r="B118" s="23" t="inlineStr">
        <is>
          <t>TB/9 INVOICES/$12,244.89</t>
        </is>
      </c>
      <c r="C118" s="22" t="inlineStr">
        <is>
          <t>DEPARTMENT OF FLEET AND FACILITY MANAGEMENT</t>
        </is>
      </c>
      <c r="D118" s="22" t="n">
        <v>1</v>
      </c>
      <c r="E118" s="24" t="n">
        <v>12244.89</v>
      </c>
      <c r="F118" s="24" t="n">
        <v>52995782.80999999</v>
      </c>
      <c r="G118" s="34" t="n">
        <v>0.9959873198612397</v>
      </c>
      <c r="H118" s="22" t="inlineStr">
        <is>
          <t>A. Specification Development Phase</t>
        </is>
      </c>
      <c r="I118" s="22" t="inlineStr">
        <is>
          <t>Still open</t>
        </is>
      </c>
    </row>
    <row r="119">
      <c r="A119" s="19" t="n">
        <v>115</v>
      </c>
      <c r="B119" s="20" t="inlineStr">
        <is>
          <t>RAE Products Inv# 204193</t>
        </is>
      </c>
      <c r="C119" s="19" t="inlineStr">
        <is>
          <t>OFFICE OF PUBLIC SAFETY ADMINISTRATION</t>
        </is>
      </c>
      <c r="D119" s="19" t="n">
        <v>1</v>
      </c>
      <c r="E119" s="21" t="n">
        <v>12233</v>
      </c>
      <c r="F119" s="21" t="n">
        <v>53008015.80999999</v>
      </c>
      <c r="G119" s="33" t="n">
        <v>0.9962172233033219</v>
      </c>
      <c r="H119" s="19" t="inlineStr">
        <is>
          <t>A. Specification Development Phase</t>
        </is>
      </c>
      <c r="I119" s="19" t="inlineStr">
        <is>
          <t>Still open</t>
        </is>
      </c>
    </row>
    <row r="120">
      <c r="A120" s="22" t="n">
        <v>116</v>
      </c>
      <c r="B120" s="23" t="inlineStr">
        <is>
          <t>Consultant</t>
        </is>
      </c>
      <c r="C120" s="22" t="inlineStr">
        <is>
          <t>CHICAGO DEPARTMENT OF PUBLIC HEALTH</t>
        </is>
      </c>
      <c r="D120" s="22" t="n">
        <v>1</v>
      </c>
      <c r="E120" s="24" t="n">
        <v>10446.8</v>
      </c>
      <c r="F120" s="24" t="n">
        <v>53018462.60999999</v>
      </c>
      <c r="G120" s="34" t="n">
        <v>0.996413557422405</v>
      </c>
      <c r="H120" s="22" t="inlineStr">
        <is>
          <t>H. One Time Purchase</t>
        </is>
      </c>
      <c r="I120" s="22" t="inlineStr">
        <is>
          <t>Still open</t>
        </is>
      </c>
    </row>
    <row r="121">
      <c r="A121" s="19" t="n">
        <v>117</v>
      </c>
      <c r="B121" s="20" t="inlineStr">
        <is>
          <t>Midway Weather Forecasting Monthly ServicesInv#210-00243356 Service from Nov.1-Nov.30 26Inv#210-00267381 Service from Feb.1-Feb. 28 26Inv#210-00248151</t>
        </is>
      </c>
      <c r="C121" s="19" t="inlineStr">
        <is>
          <t>CHICAGO DEPARTMENT OF AVIATION</t>
        </is>
      </c>
      <c r="D121" s="19" t="n">
        <v>2</v>
      </c>
      <c r="E121" s="21" t="n">
        <v>9990</v>
      </c>
      <c r="F121" s="21" t="n">
        <v>53028452.60999999</v>
      </c>
      <c r="G121" s="33" t="n">
        <v>0.9966013065752214</v>
      </c>
      <c r="H121" s="19" t="inlineStr">
        <is>
          <t>D. Solicitation Response Under Evaluation</t>
        </is>
      </c>
      <c r="I121" s="19" t="inlineStr">
        <is>
          <t>Still open</t>
        </is>
      </c>
    </row>
    <row r="122">
      <c r="A122" s="22" t="n">
        <v>118</v>
      </c>
      <c r="B122" s="23" t="inlineStr">
        <is>
          <t>Berlin Rosen Public relations Nov/Dec 2025</t>
        </is>
      </c>
      <c r="C122" s="22" t="inlineStr">
        <is>
          <t>OFFICE OF THE MAYOR</t>
        </is>
      </c>
      <c r="D122" s="22" t="n">
        <v>1</v>
      </c>
      <c r="E122" s="24" t="n">
        <v>9975.75</v>
      </c>
      <c r="F122" s="24" t="n">
        <v>53038428.35999999</v>
      </c>
      <c r="G122" s="34" t="n">
        <v>0.9967887879176845</v>
      </c>
      <c r="H122" s="22" t="inlineStr">
        <is>
          <t>H. One Time Purchase</t>
        </is>
      </c>
      <c r="I122" s="22" t="inlineStr">
        <is>
          <t>Still open</t>
        </is>
      </c>
    </row>
    <row r="123">
      <c r="A123" s="19" t="n">
        <v>119</v>
      </c>
      <c r="B123" s="20" t="inlineStr">
        <is>
          <t>Crowleys Yacht Yard  53001122 A JS/ BJ/ 4-INVS/ $9,393.85/ PD9991/ WO 2583580/ ASR</t>
        </is>
      </c>
      <c r="C123" s="19" t="inlineStr">
        <is>
          <t>DEPARTMENT OF FLEET AND FACILITY MANAGEMENT</t>
        </is>
      </c>
      <c r="D123" s="19" t="n">
        <v>2</v>
      </c>
      <c r="E123" s="21" t="n">
        <v>9873.85</v>
      </c>
      <c r="F123" s="21" t="n">
        <v>53048302.20999999</v>
      </c>
      <c r="G123" s="33" t="n">
        <v>0.9969743541812016</v>
      </c>
      <c r="H123" s="19" t="inlineStr">
        <is>
          <t>A. Specification Development Phase</t>
        </is>
      </c>
      <c r="I123" s="19" t="inlineStr">
        <is>
          <t>Still open</t>
        </is>
      </c>
    </row>
    <row r="124">
      <c r="A124" s="22" t="n">
        <v>120</v>
      </c>
      <c r="B124" s="23" t="inlineStr">
        <is>
          <t>Exhibit B_$9865</t>
        </is>
      </c>
      <c r="C124" s="22" t="inlineStr">
        <is>
          <t>DEPARTMENT OF FAMILY AND SUPPORT SERVICES</t>
        </is>
      </c>
      <c r="D124" s="22" t="n">
        <v>1</v>
      </c>
      <c r="E124" s="24" t="n">
        <v>9865</v>
      </c>
      <c r="F124" s="24" t="n">
        <v>53058167.20999999</v>
      </c>
      <c r="G124" s="34" t="n">
        <v>0.997159754120394</v>
      </c>
      <c r="H124" s="22" t="inlineStr">
        <is>
          <t>G. Not Applicable (Office Depot use Only)</t>
        </is>
      </c>
      <c r="I124" s="22" t="inlineStr">
        <is>
          <t>Claimed awarded - UNVERIFIED</t>
        </is>
      </c>
    </row>
    <row r="125">
      <c r="A125" s="19" t="n">
        <v>121</v>
      </c>
      <c r="B125" s="20" t="inlineStr">
        <is>
          <t xml:space="preserve">FLEET &amp; FACILITY MANAGEMENT ("2FM") IS THE LEAD DEPARMENT FOR PO#32909 INTEGRATED PEST MANAGEMENT SERVICES, THROUGH ABC HUMANE WILDLIFE/LANDMARK PEST </t>
        </is>
      </c>
      <c r="C125" s="19" t="inlineStr">
        <is>
          <t>DEPARTMENT OF WATER MANAGEMENT</t>
        </is>
      </c>
      <c r="D125" s="19" t="n">
        <v>1</v>
      </c>
      <c r="E125" s="21" t="n">
        <v>9034</v>
      </c>
      <c r="F125" s="21" t="n">
        <v>53067201.20999999</v>
      </c>
      <c r="G125" s="33" t="n">
        <v>0.9973295364874153</v>
      </c>
      <c r="H125" s="19" t="inlineStr">
        <is>
          <t>H. One Time Purchase</t>
        </is>
      </c>
      <c r="I125" s="19" t="inlineStr">
        <is>
          <t>Still open</t>
        </is>
      </c>
    </row>
    <row r="126">
      <c r="A126" s="22" t="n">
        <v>122</v>
      </c>
      <c r="B126" s="23" t="inlineStr">
        <is>
          <t>Branded Promotional Items</t>
        </is>
      </c>
      <c r="C126" s="22" t="inlineStr">
        <is>
          <t>CHICAGO DEPARTMENT OF PUBLIC HEALTH</t>
        </is>
      </c>
      <c r="D126" s="22" t="n">
        <v>4</v>
      </c>
      <c r="E126" s="24" t="n">
        <v>8906.65</v>
      </c>
      <c r="F126" s="24" t="n">
        <v>53076107.85999999</v>
      </c>
      <c r="G126" s="34" t="n">
        <v>0.9974969254755965</v>
      </c>
      <c r="H126" s="22" t="inlineStr">
        <is>
          <t>H. One Time Purchase</t>
        </is>
      </c>
      <c r="I126" s="22" t="inlineStr">
        <is>
          <t>Claimed awarded - UNVERIFIED</t>
        </is>
      </c>
    </row>
    <row r="127">
      <c r="A127" s="19" t="n">
        <v>123</v>
      </c>
      <c r="B127" s="20" t="inlineStr">
        <is>
          <t>TB/VJ/3 INVOICES/$8449.16</t>
        </is>
      </c>
      <c r="C127" s="19" t="inlineStr">
        <is>
          <t>DEPARTMENT OF FLEET AND FACILITY MANAGEMENT</t>
        </is>
      </c>
      <c r="D127" s="19" t="n">
        <v>1</v>
      </c>
      <c r="E127" s="21" t="n">
        <v>8449.16</v>
      </c>
      <c r="F127" s="21" t="n">
        <v>53084557.01999999</v>
      </c>
      <c r="G127" s="33" t="n">
        <v>0.9976557165298517</v>
      </c>
      <c r="H127" s="19" t="inlineStr">
        <is>
          <t>A. Specification Development Phase</t>
        </is>
      </c>
      <c r="I127" s="19" t="inlineStr">
        <is>
          <t>Still open</t>
        </is>
      </c>
    </row>
    <row r="128">
      <c r="A128" s="22" t="n">
        <v>124</v>
      </c>
      <c r="B128" s="23" t="inlineStr">
        <is>
          <t>TB/AH/INV #25467/$636.32</t>
        </is>
      </c>
      <c r="C128" s="22" t="inlineStr">
        <is>
          <t>DEPARTMENT OF FLEET AND FACILITY MANAGEMENT</t>
        </is>
      </c>
      <c r="D128" s="22" t="n">
        <v>3</v>
      </c>
      <c r="E128" s="24" t="n">
        <v>8208.049999999999</v>
      </c>
      <c r="F128" s="24" t="n">
        <v>53092765.06999999</v>
      </c>
      <c r="G128" s="34" t="n">
        <v>0.9978099762329321</v>
      </c>
      <c r="H128" s="22" t="inlineStr">
        <is>
          <t>A. Specification Development Phase</t>
        </is>
      </c>
      <c r="I128" s="22" t="inlineStr">
        <is>
          <t>Still open</t>
        </is>
      </c>
    </row>
    <row r="129">
      <c r="A129" s="19" t="n">
        <v>125</v>
      </c>
      <c r="B129" s="20" t="inlineStr">
        <is>
          <t>TB/VJ/INVOICE #76270/$8200.00</t>
        </is>
      </c>
      <c r="C129" s="19" t="inlineStr">
        <is>
          <t>DEPARTMENT OF FLEET AND FACILITY MANAGEMENT</t>
        </is>
      </c>
      <c r="D129" s="19" t="n">
        <v>1</v>
      </c>
      <c r="E129" s="21" t="n">
        <v>8200</v>
      </c>
      <c r="F129" s="21" t="n">
        <v>53100965.06999999</v>
      </c>
      <c r="G129" s="33" t="n">
        <v>0.9979640846466552</v>
      </c>
      <c r="H129" s="19" t="inlineStr">
        <is>
          <t>A. Specification Development Phase</t>
        </is>
      </c>
      <c r="I129" s="19" t="inlineStr">
        <is>
          <t>Still open</t>
        </is>
      </c>
    </row>
    <row r="130">
      <c r="A130" s="22" t="n">
        <v>126</v>
      </c>
      <c r="B130" s="23" t="inlineStr">
        <is>
          <t>TB/GR/INVOICE #RO305183/$6671.00</t>
        </is>
      </c>
      <c r="C130" s="22" t="inlineStr">
        <is>
          <t>DEPARTMENT OF FLEET AND FACILITY MANAGEMENT</t>
        </is>
      </c>
      <c r="D130" s="22" t="n">
        <v>2</v>
      </c>
      <c r="E130" s="24" t="n">
        <v>8036.97</v>
      </c>
      <c r="F130" s="24" t="n">
        <v>53109002.03999998</v>
      </c>
      <c r="G130" s="34" t="n">
        <v>0.9981151291220015</v>
      </c>
      <c r="H130" s="22" t="inlineStr">
        <is>
          <t>A. Specification Development Phase</t>
        </is>
      </c>
      <c r="I130" s="22" t="inlineStr">
        <is>
          <t>Still open</t>
        </is>
      </c>
    </row>
    <row r="131">
      <c r="A131" s="19" t="n">
        <v>127</v>
      </c>
      <c r="B131" s="20" t="inlineStr">
        <is>
          <t>TB/JM/INVOICE #3931/$4000.00</t>
        </is>
      </c>
      <c r="C131" s="19" t="inlineStr">
        <is>
          <t>DEPARTMENT OF FLEET AND FACILITY MANAGEMENT</t>
        </is>
      </c>
      <c r="D131" s="19" t="n">
        <v>2</v>
      </c>
      <c r="E131" s="21" t="n">
        <v>8000</v>
      </c>
      <c r="F131" s="21" t="n">
        <v>53117002.03999998</v>
      </c>
      <c r="G131" s="33" t="n">
        <v>0.9982654787939265</v>
      </c>
      <c r="H131" s="19" t="inlineStr">
        <is>
          <t>A. Specification Development Phase</t>
        </is>
      </c>
      <c r="I131" s="19" t="inlineStr">
        <is>
          <t>Still open</t>
        </is>
      </c>
    </row>
    <row r="132">
      <c r="A132" s="22" t="n">
        <v>128</v>
      </c>
      <c r="B132" s="23" t="inlineStr">
        <is>
          <t>CoStar Aug 2026 Invoice</t>
        </is>
      </c>
      <c r="C132" s="22" t="inlineStr">
        <is>
          <t>DEPARTMENT OF PLANNING AND DEVELOPMENT</t>
        </is>
      </c>
      <c r="D132" s="22" t="n">
        <v>2</v>
      </c>
      <c r="E132" s="24" t="n">
        <v>7906.6</v>
      </c>
      <c r="F132" s="24" t="n">
        <v>53124908.63999999</v>
      </c>
      <c r="G132" s="34" t="n">
        <v>0.9984140731334318</v>
      </c>
      <c r="H132" s="22" t="inlineStr"/>
      <c r="I132" s="22" t="inlineStr">
        <is>
          <t>Still open</t>
        </is>
      </c>
    </row>
    <row r="133">
      <c r="A133" s="19" t="n">
        <v>129</v>
      </c>
      <c r="B133" s="20" t="inlineStr">
        <is>
          <t>Specialized supplies for preservation project of City Council archival materials.</t>
        </is>
      </c>
      <c r="C133" s="19" t="inlineStr">
        <is>
          <t>OFFICE OF CITY CLERK</t>
        </is>
      </c>
      <c r="D133" s="19" t="n">
        <v>1</v>
      </c>
      <c r="E133" s="21" t="n">
        <v>7396.57</v>
      </c>
      <c r="F133" s="21" t="n">
        <v>53132305.20999999</v>
      </c>
      <c r="G133" s="33" t="n">
        <v>0.9985530821175405</v>
      </c>
      <c r="H133" s="19" t="inlineStr">
        <is>
          <t>H. One Time Purchase</t>
        </is>
      </c>
      <c r="I133" s="19" t="inlineStr">
        <is>
          <t>Still open</t>
        </is>
      </c>
    </row>
    <row r="134">
      <c r="A134" s="22" t="n">
        <v>130</v>
      </c>
      <c r="B134" s="23" t="inlineStr">
        <is>
          <t>#2 Invoices $7,082.00 Requesting a Direct Voucher - Exhibit B for Ohare to due VLI. A VLI extension has been requested.</t>
        </is>
      </c>
      <c r="C134" s="22" t="inlineStr">
        <is>
          <t>CHICAGO DEPARTMENT OF AVIATION</t>
        </is>
      </c>
      <c r="D134" s="22" t="n">
        <v>1</v>
      </c>
      <c r="E134" s="24" t="n">
        <v>7082</v>
      </c>
      <c r="F134" s="24" t="n">
        <v>53139387.20999999</v>
      </c>
      <c r="G134" s="34" t="n">
        <v>0.9986861791646121</v>
      </c>
      <c r="H134" s="22" t="inlineStr">
        <is>
          <t>D. Solicitation Response Under Evaluation</t>
        </is>
      </c>
      <c r="I134" s="22" t="inlineStr">
        <is>
          <t>Still open</t>
        </is>
      </c>
    </row>
    <row r="135">
      <c r="A135" s="19" t="n">
        <v>131</v>
      </c>
      <c r="B135" s="20" t="inlineStr">
        <is>
          <t>Sewer Construction</t>
        </is>
      </c>
      <c r="C135" s="19" t="inlineStr">
        <is>
          <t>DEPARTMENT OF WATER MANAGEMENT</t>
        </is>
      </c>
      <c r="D135" s="19" t="n">
        <v>1</v>
      </c>
      <c r="E135" s="21" t="n">
        <v>6839.9</v>
      </c>
      <c r="F135" s="21" t="n">
        <v>53146227.10999998</v>
      </c>
      <c r="G135" s="33" t="n">
        <v>0.998814726254737</v>
      </c>
      <c r="H135" s="19" t="inlineStr">
        <is>
          <t>H. One Time Purchase</t>
        </is>
      </c>
      <c r="I135" s="19" t="inlineStr">
        <is>
          <t>Still open</t>
        </is>
      </c>
    </row>
    <row r="136">
      <c r="A136" s="22" t="n">
        <v>132</v>
      </c>
      <c r="B136" s="23" t="inlineStr">
        <is>
          <t>TB/GR/INV #5072349294/$6015.80</t>
        </is>
      </c>
      <c r="C136" s="22" t="inlineStr">
        <is>
          <t>DEPARTMENT OF FLEET AND FACILITY MANAGEMENT</t>
        </is>
      </c>
      <c r="D136" s="22" t="n">
        <v>1</v>
      </c>
      <c r="E136" s="24" t="n">
        <v>6015.8</v>
      </c>
      <c r="F136" s="24" t="n">
        <v>53152242.90999998</v>
      </c>
      <c r="G136" s="34" t="n">
        <v>0.9989277854492827</v>
      </c>
      <c r="H136" s="22" t="inlineStr">
        <is>
          <t>A. Specification Development Phase</t>
        </is>
      </c>
      <c r="I136" s="22" t="inlineStr">
        <is>
          <t>Still open</t>
        </is>
      </c>
    </row>
    <row r="137">
      <c r="A137" s="19" t="n">
        <v>133</v>
      </c>
      <c r="B137" s="20" t="inlineStr">
        <is>
          <t>Canon Copier Services Contract in VLI process</t>
        </is>
      </c>
      <c r="C137" s="19" t="inlineStr">
        <is>
          <t>CHICAGO ANIMAL CARE AND CONTROL</t>
        </is>
      </c>
      <c r="D137" s="19" t="n">
        <v>1</v>
      </c>
      <c r="E137" s="21" t="n">
        <v>5595.97</v>
      </c>
      <c r="F137" s="21" t="n">
        <v>53157838.87999998</v>
      </c>
      <c r="G137" s="33" t="n">
        <v>0.9990329544809829</v>
      </c>
      <c r="H137" s="19" t="inlineStr">
        <is>
          <t>A. Specification Development Phase</t>
        </is>
      </c>
      <c r="I137" s="19" t="inlineStr">
        <is>
          <t>Still open</t>
        </is>
      </c>
    </row>
    <row r="138">
      <c r="A138" s="22" t="n">
        <v>134</v>
      </c>
      <c r="B138" s="23" t="inlineStr">
        <is>
          <t>Republic Service Inv# 0710-005914497</t>
        </is>
      </c>
      <c r="C138" s="22" t="inlineStr">
        <is>
          <t>CHICAGO POLICE DEPARTMENT</t>
        </is>
      </c>
      <c r="D138" s="22" t="n">
        <v>1</v>
      </c>
      <c r="E138" s="24" t="n">
        <v>4891.34</v>
      </c>
      <c r="F138" s="24" t="n">
        <v>53162730.21999998</v>
      </c>
      <c r="G138" s="34" t="n">
        <v>0.9991248809015172</v>
      </c>
      <c r="H138" s="22" t="inlineStr">
        <is>
          <t>A. Specification Development Phase</t>
        </is>
      </c>
      <c r="I138" s="22" t="inlineStr">
        <is>
          <t>Still open</t>
        </is>
      </c>
    </row>
    <row r="139">
      <c r="A139" s="19" t="n">
        <v>135</v>
      </c>
      <c r="B139" s="20" t="inlineStr">
        <is>
          <t>All In One Desktops</t>
        </is>
      </c>
      <c r="C139" s="19" t="inlineStr">
        <is>
          <t>CHICAGO DEPARTMENT OF PUBLIC HEALTH</t>
        </is>
      </c>
      <c r="D139" s="19" t="n">
        <v>1</v>
      </c>
      <c r="E139" s="21" t="n">
        <v>4815</v>
      </c>
      <c r="F139" s="21" t="n">
        <v>53167545.21999998</v>
      </c>
      <c r="G139" s="33" t="n">
        <v>0.999215372610307</v>
      </c>
      <c r="H139" s="19" t="inlineStr">
        <is>
          <t>H. One Time Purchase</t>
        </is>
      </c>
      <c r="I139" s="19" t="inlineStr">
        <is>
          <t>Claimed awarded - UNVERIFIED</t>
        </is>
      </c>
    </row>
    <row r="140">
      <c r="A140" s="22" t="n">
        <v>136</v>
      </c>
      <c r="B140" s="23" t="inlineStr">
        <is>
          <t>A VLI was submitted to DPS in October 2024 under Rx 623996. We held invoices for the past five months in anticipation of the VLI approval, in an effor</t>
        </is>
      </c>
      <c r="C140" s="22" t="inlineStr">
        <is>
          <t>DEPARTMENT OF FLEET AND FACILITY MANAGEMENT</t>
        </is>
      </c>
      <c r="D140" s="22" t="n">
        <v>1</v>
      </c>
      <c r="E140" s="24" t="n">
        <v>4492.25</v>
      </c>
      <c r="F140" s="24" t="n">
        <v>53172037.46999998</v>
      </c>
      <c r="G140" s="34" t="n">
        <v>0.9992997986495201</v>
      </c>
      <c r="H140" s="22" t="inlineStr">
        <is>
          <t>F. SC - (Signature Cycle)</t>
        </is>
      </c>
      <c r="I140" s="22" t="inlineStr">
        <is>
          <t>Still open</t>
        </is>
      </c>
    </row>
    <row r="141">
      <c r="A141" s="19" t="n">
        <v>137</v>
      </c>
      <c r="B141" s="20" t="inlineStr">
        <is>
          <t>LKP Legislative services</t>
        </is>
      </c>
      <c r="C141" s="19" t="inlineStr">
        <is>
          <t>OFFICE OF THE MAYOR</t>
        </is>
      </c>
      <c r="D141" s="19" t="n">
        <v>1</v>
      </c>
      <c r="E141" s="21" t="n">
        <v>4000</v>
      </c>
      <c r="F141" s="21" t="n">
        <v>53176037.46999998</v>
      </c>
      <c r="G141" s="33" t="n">
        <v>0.9993749734854825</v>
      </c>
      <c r="H141" s="19" t="inlineStr">
        <is>
          <t>H. One Time Purchase</t>
        </is>
      </c>
      <c r="I141" s="19" t="inlineStr">
        <is>
          <t>Still open</t>
        </is>
      </c>
    </row>
    <row r="142">
      <c r="A142" s="22" t="n">
        <v>138</v>
      </c>
      <c r="B142" s="23" t="inlineStr">
        <is>
          <t>State Required Safety Lane Inspections for Public Safety Vehicles</t>
        </is>
      </c>
      <c r="C142" s="22" t="inlineStr">
        <is>
          <t>CHICAGO FIRE DEPARTMENT</t>
        </is>
      </c>
      <c r="D142" s="22" t="n">
        <v>6</v>
      </c>
      <c r="E142" s="24" t="n">
        <v>3783</v>
      </c>
      <c r="F142" s="24" t="n">
        <v>53179820.46999998</v>
      </c>
      <c r="G142" s="34" t="n">
        <v>0.9994460700865941</v>
      </c>
      <c r="H142" s="22" t="inlineStr">
        <is>
          <t>A. Specification Development Phase</t>
        </is>
      </c>
      <c r="I142" s="22" t="inlineStr">
        <is>
          <t>Still open</t>
        </is>
      </c>
    </row>
    <row r="143">
      <c r="A143" s="19" t="n">
        <v>139</v>
      </c>
      <c r="B143" s="20" t="inlineStr">
        <is>
          <t>TB/GR/2 INVOICES/$2999.00</t>
        </is>
      </c>
      <c r="C143" s="19" t="inlineStr">
        <is>
          <t>DEPARTMENT OF FLEET AND FACILITY MANAGEMENT</t>
        </is>
      </c>
      <c r="D143" s="19" t="n">
        <v>2</v>
      </c>
      <c r="E143" s="21" t="n">
        <v>3726.43</v>
      </c>
      <c r="F143" s="21" t="n">
        <v>53183546.89999998</v>
      </c>
      <c r="G143" s="33" t="n">
        <v>0.999516103527588</v>
      </c>
      <c r="H143" s="19" t="inlineStr">
        <is>
          <t>B. City Law Review</t>
        </is>
      </c>
      <c r="I143" s="19" t="inlineStr">
        <is>
          <t>Still open</t>
        </is>
      </c>
    </row>
    <row r="144">
      <c r="A144" s="22" t="n">
        <v>140</v>
      </c>
      <c r="B144" s="23" t="inlineStr">
        <is>
          <t>Hastings 1033282 B   JS/ JG/ Invoice Number: O38604D102-B/ $3,451.50/ January / Exhaust System Maint Pt. 2</t>
        </is>
      </c>
      <c r="C144" s="22" t="inlineStr">
        <is>
          <t>DEPARTMENT OF FLEET AND FACILITY MANAGEMENT</t>
        </is>
      </c>
      <c r="D144" s="22" t="n">
        <v>1</v>
      </c>
      <c r="E144" s="24" t="n">
        <v>3451.5</v>
      </c>
      <c r="F144" s="24" t="n">
        <v>53186998.39999998</v>
      </c>
      <c r="G144" s="34" t="n">
        <v>0.9995809700141691</v>
      </c>
      <c r="H144" s="22" t="inlineStr">
        <is>
          <t>A. Specification Development Phase</t>
        </is>
      </c>
      <c r="I144" s="22" t="inlineStr">
        <is>
          <t>Claimed awarded - UNVERIFIED</t>
        </is>
      </c>
    </row>
    <row r="145">
      <c r="A145" s="19" t="n">
        <v>141</v>
      </c>
      <c r="B145" s="20" t="inlineStr">
        <is>
          <t>FRANK COONEY, INV# 7005, INVOICE DATE 2/18/26, AMOUNT $2,893.75</t>
        </is>
      </c>
      <c r="C145" s="19" t="inlineStr">
        <is>
          <t>DEPARTMENT OF HUMAN RESOURCES</t>
        </is>
      </c>
      <c r="D145" s="19" t="n">
        <v>1</v>
      </c>
      <c r="E145" s="21" t="n">
        <v>2893.75</v>
      </c>
      <c r="F145" s="21" t="n">
        <v>53189892.14999998</v>
      </c>
      <c r="G145" s="33" t="n">
        <v>0.9996353543095607</v>
      </c>
      <c r="H145" s="19" t="inlineStr">
        <is>
          <t>H. One Time Purchase</t>
        </is>
      </c>
      <c r="I145" s="19" t="inlineStr">
        <is>
          <t>Claimed awarded - UNVERIFIED</t>
        </is>
      </c>
    </row>
    <row r="146">
      <c r="A146" s="22" t="n">
        <v>142</v>
      </c>
      <c r="B146" s="23" t="inlineStr">
        <is>
          <t>Eusebio Molina Invoice for 10/23/2025</t>
        </is>
      </c>
      <c r="C146" s="22" t="inlineStr">
        <is>
          <t>DEPARTMENT OF PLANNING AND DEVELOPMENT</t>
        </is>
      </c>
      <c r="D146" s="22" t="n">
        <v>1</v>
      </c>
      <c r="E146" s="24" t="n">
        <v>2100</v>
      </c>
      <c r="F146" s="24" t="n">
        <v>53191992.14999998</v>
      </c>
      <c r="G146" s="34" t="n">
        <v>0.9996748210984411</v>
      </c>
      <c r="H146" s="22" t="inlineStr"/>
      <c r="I146" s="22" t="inlineStr">
        <is>
          <t>Still open</t>
        </is>
      </c>
    </row>
    <row r="147">
      <c r="A147" s="19" t="n">
        <v>143</v>
      </c>
      <c r="B147" s="20" t="inlineStr">
        <is>
          <t>medical pharmaceuticals Wood Dale Pharmacy - Apr 2026</t>
        </is>
      </c>
      <c r="C147" s="19" t="inlineStr">
        <is>
          <t>CHICAGO ANIMAL CARE AND CONTROL</t>
        </is>
      </c>
      <c r="D147" s="19" t="n">
        <v>1</v>
      </c>
      <c r="E147" s="21" t="n">
        <v>2013.4</v>
      </c>
      <c r="F147" s="21" t="n">
        <v>53194005.54999998</v>
      </c>
      <c r="G147" s="33" t="n">
        <v>0.9997126603521227</v>
      </c>
      <c r="H147" s="19" t="inlineStr">
        <is>
          <t>B. City Law Review</t>
        </is>
      </c>
      <c r="I147" s="19" t="inlineStr">
        <is>
          <t>Still open</t>
        </is>
      </c>
    </row>
    <row r="148">
      <c r="A148" s="22" t="n">
        <v>144</v>
      </c>
      <c r="B148" s="23" t="inlineStr">
        <is>
          <t>WB/JR/INVOICE #9026432648/$1830.40</t>
        </is>
      </c>
      <c r="C148" s="22" t="inlineStr">
        <is>
          <t>DEPARTMENT OF FLEET AND FACILITY MANAGEMENT</t>
        </is>
      </c>
      <c r="D148" s="22" t="n">
        <v>1</v>
      </c>
      <c r="E148" s="24" t="n">
        <v>1830.4</v>
      </c>
      <c r="F148" s="24" t="n">
        <v>53195835.94999998</v>
      </c>
      <c r="G148" s="34" t="n">
        <v>0.9997470603570591</v>
      </c>
      <c r="H148" s="22" t="inlineStr">
        <is>
          <t>A. Specification Development Phase</t>
        </is>
      </c>
      <c r="I148" s="22" t="inlineStr">
        <is>
          <t>Still open</t>
        </is>
      </c>
    </row>
    <row r="149">
      <c r="A149" s="19" t="n">
        <v>145</v>
      </c>
      <c r="B149" s="20" t="inlineStr">
        <is>
          <t>QUOTE#0578146</t>
        </is>
      </c>
      <c r="C149" s="19" t="inlineStr">
        <is>
          <t>CHICAGO FIRE DEPARTMENT</t>
        </is>
      </c>
      <c r="D149" s="19" t="n">
        <v>1</v>
      </c>
      <c r="E149" s="21" t="n">
        <v>1735</v>
      </c>
      <c r="F149" s="21" t="n">
        <v>53197570.94999998</v>
      </c>
      <c r="G149" s="33" t="n">
        <v>0.9997796674421578</v>
      </c>
      <c r="H149" s="19" t="inlineStr">
        <is>
          <t>A. Specification Development Phase</t>
        </is>
      </c>
      <c r="I149" s="19" t="inlineStr">
        <is>
          <t>Still open</t>
        </is>
      </c>
    </row>
    <row r="150">
      <c r="A150" s="22" t="n">
        <v>146</v>
      </c>
      <c r="B150" s="23" t="inlineStr">
        <is>
          <t>INV#204824</t>
        </is>
      </c>
      <c r="C150" s="22" t="inlineStr">
        <is>
          <t>CHICAGO FIRE DEPARTMENT</t>
        </is>
      </c>
      <c r="D150" s="22" t="n">
        <v>2</v>
      </c>
      <c r="E150" s="24" t="n">
        <v>1521</v>
      </c>
      <c r="F150" s="24" t="n">
        <v>53199091.94999998</v>
      </c>
      <c r="G150" s="34" t="n">
        <v>0.9998082526735326</v>
      </c>
      <c r="H150" s="22" t="inlineStr">
        <is>
          <t>H. One Time Purchase</t>
        </is>
      </c>
      <c r="I150" s="22" t="inlineStr">
        <is>
          <t>Still open</t>
        </is>
      </c>
    </row>
    <row r="151">
      <c r="A151" s="19" t="n">
        <v>147</v>
      </c>
      <c r="B151" s="20" t="inlineStr">
        <is>
          <t>WEB HOSTING, PRINTING AND MAIL MANAGEMENT SERVICES FOR CITY BILLINGS; DOB, WATER, &amp; SEWER</t>
        </is>
      </c>
      <c r="C151" s="19" t="inlineStr">
        <is>
          <t>DEPARTMENT OF BUILDINGS</t>
        </is>
      </c>
      <c r="D151" s="19" t="n">
        <v>2</v>
      </c>
      <c r="E151" s="21" t="n">
        <v>1161.8</v>
      </c>
      <c r="F151" s="21" t="n">
        <v>53200253.74999998</v>
      </c>
      <c r="G151" s="33" t="n">
        <v>0.9998300872046378</v>
      </c>
      <c r="H151" s="19" t="inlineStr">
        <is>
          <t>F. SC - (Signature Cycle)</t>
        </is>
      </c>
      <c r="I151" s="19" t="inlineStr">
        <is>
          <t>Still open</t>
        </is>
      </c>
    </row>
    <row r="152">
      <c r="A152" s="22" t="n">
        <v>148</v>
      </c>
      <c r="B152" s="23" t="inlineStr">
        <is>
          <t>CONTRACT CURRENTLY WITH DPS FOR APPROVAL</t>
        </is>
      </c>
      <c r="C152" s="22" t="inlineStr">
        <is>
          <t>CHICAGO ANIMAL CARE AND CONTROL</t>
        </is>
      </c>
      <c r="D152" s="22" t="n">
        <v>2</v>
      </c>
      <c r="E152" s="24" t="n">
        <v>1013.42</v>
      </c>
      <c r="F152" s="24" t="n">
        <v>53201267.16999998</v>
      </c>
      <c r="G152" s="34" t="n">
        <v>0.9998491331252032</v>
      </c>
      <c r="H152" s="22" t="inlineStr">
        <is>
          <t>B. City Law Review</t>
        </is>
      </c>
      <c r="I152" s="22" t="inlineStr">
        <is>
          <t>Still open</t>
        </is>
      </c>
    </row>
    <row r="153">
      <c r="A153" s="19" t="n">
        <v>149</v>
      </c>
      <c r="B153" s="20" t="inlineStr">
        <is>
          <t>SCALES CERTIFICATION</t>
        </is>
      </c>
      <c r="C153" s="19" t="inlineStr">
        <is>
          <t>DEPARTMENT OF BUSINESS AFFAIRS AND CONSUMER PROTECTION</t>
        </is>
      </c>
      <c r="D153" s="19" t="n">
        <v>1</v>
      </c>
      <c r="E153" s="21" t="n">
        <v>980</v>
      </c>
      <c r="F153" s="21" t="n">
        <v>53202247.16999998</v>
      </c>
      <c r="G153" s="33" t="n">
        <v>0.9998675509600139</v>
      </c>
      <c r="H153" s="19" t="inlineStr">
        <is>
          <t>H. One Time Purchase</t>
        </is>
      </c>
      <c r="I153" s="19" t="inlineStr">
        <is>
          <t>Still open</t>
        </is>
      </c>
    </row>
    <row r="154">
      <c r="A154" s="22" t="n">
        <v>150</v>
      </c>
      <c r="B154" s="23" t="inlineStr">
        <is>
          <t>M02o5nthly Hosting Fee</t>
        </is>
      </c>
      <c r="C154" s="22" t="inlineStr">
        <is>
          <t>CHICAGO DEPARTMENT OF PUBLIC HEALTH</t>
        </is>
      </c>
      <c r="D154" s="22" t="n">
        <v>1</v>
      </c>
      <c r="E154" s="24" t="n">
        <v>833</v>
      </c>
      <c r="F154" s="24" t="n">
        <v>53203080.16999998</v>
      </c>
      <c r="G154" s="34" t="n">
        <v>0.9998832061196031</v>
      </c>
      <c r="H154" s="22" t="inlineStr">
        <is>
          <t>B. City Law Review</t>
        </is>
      </c>
      <c r="I154" s="22" t="inlineStr">
        <is>
          <t>Still open</t>
        </is>
      </c>
    </row>
    <row r="155">
      <c r="A155" s="19" t="n">
        <v>151</v>
      </c>
      <c r="B155" s="20" t="inlineStr">
        <is>
          <t>TB/DC/INV#68384/$825.00</t>
        </is>
      </c>
      <c r="C155" s="19" t="inlineStr">
        <is>
          <t>DEPARTMENT OF FLEET AND FACILITY MANAGEMENT</t>
        </is>
      </c>
      <c r="D155" s="19" t="n">
        <v>1</v>
      </c>
      <c r="E155" s="21" t="n">
        <v>825</v>
      </c>
      <c r="F155" s="21" t="n">
        <v>53203905.16999998</v>
      </c>
      <c r="G155" s="33" t="n">
        <v>0.9998987109295204</v>
      </c>
      <c r="H155" s="19" t="inlineStr">
        <is>
          <t>B. City Law Review</t>
        </is>
      </c>
      <c r="I155" s="19" t="inlineStr">
        <is>
          <t>Still open</t>
        </is>
      </c>
    </row>
    <row r="156">
      <c r="A156" s="22" t="n">
        <v>152</v>
      </c>
      <c r="B156" s="23" t="inlineStr">
        <is>
          <t>de-binding services for City Council archival preservation project.</t>
        </is>
      </c>
      <c r="C156" s="22" t="inlineStr">
        <is>
          <t>OFFICE OF CITY CLERK</t>
        </is>
      </c>
      <c r="D156" s="22" t="n">
        <v>1</v>
      </c>
      <c r="E156" s="24" t="n">
        <v>825</v>
      </c>
      <c r="F156" s="24" t="n">
        <v>53204730.16999998</v>
      </c>
      <c r="G156" s="34" t="n">
        <v>0.9999142157394376</v>
      </c>
      <c r="H156" s="22" t="inlineStr">
        <is>
          <t>H. One Time Purchase</t>
        </is>
      </c>
      <c r="I156" s="22" t="inlineStr">
        <is>
          <t>Still open</t>
        </is>
      </c>
    </row>
    <row r="157">
      <c r="A157" s="19" t="n">
        <v>153</v>
      </c>
      <c r="B157" s="20" t="inlineStr">
        <is>
          <t>Orkin - pest control treatment at satellite office</t>
        </is>
      </c>
      <c r="C157" s="19" t="inlineStr">
        <is>
          <t>OFFICE OF CITY CLERK</t>
        </is>
      </c>
      <c r="D157" s="19" t="n">
        <v>1</v>
      </c>
      <c r="E157" s="21" t="n">
        <v>800</v>
      </c>
      <c r="F157" s="21" t="n">
        <v>53205530.16999998</v>
      </c>
      <c r="G157" s="33" t="n">
        <v>0.9999292507066302</v>
      </c>
      <c r="H157" s="19" t="inlineStr">
        <is>
          <t>H. One Time Purchase</t>
        </is>
      </c>
      <c r="I157" s="19" t="inlineStr">
        <is>
          <t>Still open</t>
        </is>
      </c>
    </row>
    <row r="158">
      <c r="A158" s="22" t="n">
        <v>154</v>
      </c>
      <c r="B158" s="23" t="inlineStr">
        <is>
          <t>Replace 2-12V Batteries for Core point Scientific Ric</t>
        </is>
      </c>
      <c r="C158" s="22" t="inlineStr">
        <is>
          <t>CHICAGO DEPARTMENT OF PUBLIC HEALTH</t>
        </is>
      </c>
      <c r="D158" s="22" t="n">
        <v>1</v>
      </c>
      <c r="E158" s="24" t="n">
        <v>787.58</v>
      </c>
      <c r="F158" s="24" t="n">
        <v>53206317.74999998</v>
      </c>
      <c r="G158" s="34" t="n">
        <v>0.9999440522559569</v>
      </c>
      <c r="H158" s="22" t="inlineStr">
        <is>
          <t>H. One Time Purchase</t>
        </is>
      </c>
      <c r="I158" s="22" t="inlineStr">
        <is>
          <t>Still open</t>
        </is>
      </c>
    </row>
    <row r="159">
      <c r="A159" s="19" t="n">
        <v>155</v>
      </c>
      <c r="B159" s="20" t="inlineStr">
        <is>
          <t>Facilitron payment for CityKey/MCH event.</t>
        </is>
      </c>
      <c r="C159" s="19" t="inlineStr">
        <is>
          <t>OFFICE OF CITY CLERK</t>
        </is>
      </c>
      <c r="D159" s="19" t="n">
        <v>1</v>
      </c>
      <c r="E159" s="21" t="n">
        <v>529.83</v>
      </c>
      <c r="F159" s="21" t="n">
        <v>53206847.57999998</v>
      </c>
      <c r="G159" s="33" t="n">
        <v>0.9999540097267914</v>
      </c>
      <c r="H159" s="19" t="inlineStr">
        <is>
          <t>H. One Time Purchase</t>
        </is>
      </c>
      <c r="I159" s="19" t="inlineStr">
        <is>
          <t>Still open</t>
        </is>
      </c>
    </row>
    <row r="160">
      <c r="A160" s="22" t="n">
        <v>156</v>
      </c>
      <c r="B160" s="23" t="inlineStr">
        <is>
          <t>20261307 - T.G.</t>
        </is>
      </c>
      <c r="C160" s="22" t="inlineStr">
        <is>
          <t>CHICAGO PUBLIC LIBRARY</t>
        </is>
      </c>
      <c r="D160" s="22" t="n">
        <v>1</v>
      </c>
      <c r="E160" s="24" t="n">
        <v>514.16</v>
      </c>
      <c r="F160" s="24" t="n">
        <v>53207361.73999997</v>
      </c>
      <c r="G160" s="34" t="n">
        <v>0.9999636727002059</v>
      </c>
      <c r="H160" s="22" t="inlineStr">
        <is>
          <t>A. Specification Development Phase</t>
        </is>
      </c>
      <c r="I160" s="22" t="inlineStr">
        <is>
          <t>Still open</t>
        </is>
      </c>
    </row>
    <row r="161">
      <c r="A161" s="19" t="n">
        <v>157</v>
      </c>
      <c r="B161" s="20" t="inlineStr">
        <is>
          <t>CHICAGO UNITED 171076 / JK/ MM/ INVOICE #37743 / $424.32</t>
        </is>
      </c>
      <c r="C161" s="19" t="inlineStr">
        <is>
          <t>DEPARTMENT OF FLEET AND FACILITY MANAGEMENT</t>
        </is>
      </c>
      <c r="D161" s="19" t="n">
        <v>1</v>
      </c>
      <c r="E161" s="21" t="n">
        <v>424.32</v>
      </c>
      <c r="F161" s="21" t="n">
        <v>53207786.05999997</v>
      </c>
      <c r="G161" s="33" t="n">
        <v>0.9999716472468049</v>
      </c>
      <c r="H161" s="19" t="inlineStr">
        <is>
          <t>H. One Time Purchase</t>
        </is>
      </c>
      <c r="I161" s="19" t="inlineStr">
        <is>
          <t>Claimed awarded - UNVERIFIED</t>
        </is>
      </c>
    </row>
    <row r="162">
      <c r="A162" s="22" t="n">
        <v>158</v>
      </c>
      <c r="B162" s="23" t="inlineStr">
        <is>
          <t>X-Ray detection badges - 2025 Invoice</t>
        </is>
      </c>
      <c r="C162" s="22" t="inlineStr">
        <is>
          <t>CHICAGO ANIMAL CARE AND CONTROL</t>
        </is>
      </c>
      <c r="D162" s="22" t="n">
        <v>1</v>
      </c>
      <c r="E162" s="24" t="n">
        <v>381.58</v>
      </c>
      <c r="F162" s="24" t="n">
        <v>53208167.63999997</v>
      </c>
      <c r="G162" s="34" t="n">
        <v>0.9999788185502815</v>
      </c>
      <c r="H162" s="22" t="inlineStr">
        <is>
          <t>H. One Time Purchase</t>
        </is>
      </c>
      <c r="I162" s="22" t="inlineStr">
        <is>
          <t>Still open</t>
        </is>
      </c>
    </row>
    <row r="163">
      <c r="A163" s="19" t="n">
        <v>159</v>
      </c>
      <c r="B163" s="20" t="inlineStr">
        <is>
          <t>ENVIRONMENTAL SERVICES</t>
        </is>
      </c>
      <c r="C163" s="19" t="inlineStr">
        <is>
          <t>CHICAGO DEPARTMENT OF PUBLIC HEALTH</t>
        </is>
      </c>
      <c r="D163" s="19" t="n">
        <v>1</v>
      </c>
      <c r="E163" s="21" t="n">
        <v>370.7</v>
      </c>
      <c r="F163" s="21" t="n">
        <v>53208538.33999997</v>
      </c>
      <c r="G163" s="33" t="n">
        <v>0.9999857853782044</v>
      </c>
      <c r="H163" s="19" t="inlineStr">
        <is>
          <t>G. Not Applicable (Office Depot use Only)</t>
        </is>
      </c>
      <c r="I163" s="19" t="inlineStr">
        <is>
          <t>Still open</t>
        </is>
      </c>
    </row>
    <row r="164">
      <c r="A164" s="22" t="n">
        <v>160</v>
      </c>
      <c r="B164" s="23" t="inlineStr">
        <is>
          <t>Parchment Paper for Resolutions</t>
        </is>
      </c>
      <c r="C164" s="22" t="inlineStr">
        <is>
          <t>OFFICE OF CITY CLERK</t>
        </is>
      </c>
      <c r="D164" s="22" t="n">
        <v>2</v>
      </c>
      <c r="E164" s="24" t="n">
        <v>335.35</v>
      </c>
      <c r="F164" s="24" t="n">
        <v>53208873.68999998</v>
      </c>
      <c r="G164" s="34" t="n">
        <v>0.9999920878485143</v>
      </c>
      <c r="H164" s="22" t="inlineStr"/>
      <c r="I164" s="22" t="inlineStr">
        <is>
          <t>Still open</t>
        </is>
      </c>
    </row>
    <row r="165">
      <c r="A165" s="19" t="n">
        <v>161</v>
      </c>
      <c r="B165" s="20" t="inlineStr">
        <is>
          <t>Accurate Document Destruction (ADD) - Document Shredding Services Four (4) Cabinets DOS: 01/21/2026 Invoice.1592910T095 (Final Invoice)</t>
        </is>
      </c>
      <c r="C165" s="19" t="inlineStr">
        <is>
          <t>DEPARTMENT OF FINANCE</t>
        </is>
      </c>
      <c r="D165" s="19" t="n">
        <v>1</v>
      </c>
      <c r="E165" s="21" t="n">
        <v>276</v>
      </c>
      <c r="F165" s="21" t="n">
        <v>53209149.68999998</v>
      </c>
      <c r="G165" s="33" t="n">
        <v>0.9999972749121958</v>
      </c>
      <c r="H165" s="19" t="inlineStr">
        <is>
          <t>H. One Time Purchase</t>
        </is>
      </c>
      <c r="I165" s="19" t="inlineStr">
        <is>
          <t>Still open</t>
        </is>
      </c>
    </row>
    <row r="166">
      <c r="A166" s="22" t="n">
        <v>162</v>
      </c>
      <c r="B166" s="23" t="inlineStr">
        <is>
          <t>Technical support for software upgrade related to business license issuance</t>
        </is>
      </c>
      <c r="C166" s="22" t="inlineStr">
        <is>
          <t>OFFICE OF CITY CLERK</t>
        </is>
      </c>
      <c r="D166" s="22" t="n">
        <v>1</v>
      </c>
      <c r="E166" s="24" t="n">
        <v>145</v>
      </c>
      <c r="F166" s="24" t="n">
        <v>53209294.68999998</v>
      </c>
      <c r="G166" s="34" t="n">
        <v>0.9999999999999994</v>
      </c>
      <c r="H166" s="22" t="inlineStr">
        <is>
          <t>H. One Time Purchase</t>
        </is>
      </c>
      <c r="I166" s="22" t="inlineStr">
        <is>
          <t>Still open</t>
        </is>
      </c>
    </row>
    <row r="167">
      <c r="A167" s="19" t="n">
        <v>163</v>
      </c>
      <c r="B167" s="20" t="inlineStr">
        <is>
          <t>RAE Products  708377 A  JS/ PM/ INVOICE # 204502/ $46,777.11/</t>
        </is>
      </c>
      <c r="C167" s="19" t="inlineStr">
        <is>
          <t>DEPARTMENT OF FLEET AND FACILITY MANAGEMENT</t>
        </is>
      </c>
      <c r="D167" s="19" t="n">
        <v>1</v>
      </c>
      <c r="E167" s="21" t="n">
        <v>0</v>
      </c>
      <c r="F167" s="21" t="n">
        <v>53209294.68999998</v>
      </c>
      <c r="G167" s="33" t="n">
        <v>0.9999999999999994</v>
      </c>
      <c r="H167" s="19" t="inlineStr">
        <is>
          <t>A. Specification Development Phase</t>
        </is>
      </c>
      <c r="I167" s="19" t="inlineStr">
        <is>
          <t>Still open</t>
        </is>
      </c>
    </row>
    <row r="168">
      <c r="A168" s="22" t="n">
        <v>164</v>
      </c>
      <c r="B168" s="23" t="inlineStr">
        <is>
          <t>SVC ORDE#W00980681, W00980669 &amp; W00980680</t>
        </is>
      </c>
      <c r="C168" s="22" t="inlineStr">
        <is>
          <t>OFFICE OF EMERGENCY MANAGEMENT AND COMMUNICATIONS</t>
        </is>
      </c>
      <c r="D168" s="22" t="n">
        <v>1</v>
      </c>
      <c r="E168" s="24" t="n">
        <v>0</v>
      </c>
      <c r="F168" s="24" t="n">
        <v>53209294.68999998</v>
      </c>
      <c r="G168" s="34" t="n">
        <v>0.9999999999999994</v>
      </c>
      <c r="H168" s="22" t="inlineStr">
        <is>
          <t>H. One Time Purchase</t>
        </is>
      </c>
      <c r="I168" s="22" t="inlineStr">
        <is>
          <t>Still open</t>
        </is>
      </c>
    </row>
    <row r="169">
      <c r="A169" s="19" t="n">
        <v>165</v>
      </c>
      <c r="B169" s="20" t="inlineStr">
        <is>
          <t>Elizabeth Hernandez Order</t>
        </is>
      </c>
      <c r="C169" s="19" t="inlineStr">
        <is>
          <t>DEPARTMENT OF FLEET AND FACILITY MANAGEMENT</t>
        </is>
      </c>
      <c r="D169" s="19" t="n">
        <v>1</v>
      </c>
      <c r="E169" s="21" t="n">
        <v>0</v>
      </c>
      <c r="F169" s="21" t="n">
        <v>53209294.68999998</v>
      </c>
      <c r="G169" s="33" t="n">
        <v>0.9999999999999994</v>
      </c>
      <c r="H169" s="19" t="inlineStr"/>
      <c r="I169" s="19" t="inlineStr">
        <is>
          <t>Still open</t>
        </is>
      </c>
    </row>
    <row r="170">
      <c r="A170" s="22" t="n">
        <v>166</v>
      </c>
      <c r="B170" s="23" t="inlineStr">
        <is>
          <t>LIFT TRUCKS, SCISSOR LIFTS AND PALLET JACKS- GROUPS: A, B, C, D, E &amp; F</t>
        </is>
      </c>
      <c r="C170" s="22" t="inlineStr">
        <is>
          <t>DEPARTMENT OF FLEET AND FACILITY MANAGEMENT</t>
        </is>
      </c>
      <c r="D170" s="22" t="n">
        <v>1</v>
      </c>
      <c r="E170" s="24" t="n">
        <v>0</v>
      </c>
      <c r="F170" s="24" t="n">
        <v>53209294.68999998</v>
      </c>
      <c r="G170" s="34" t="n">
        <v>0.9999999999999994</v>
      </c>
      <c r="H170" s="22" t="inlineStr"/>
      <c r="I170" s="22" t="inlineStr">
        <is>
          <t>Still open</t>
        </is>
      </c>
    </row>
    <row r="171">
      <c r="A171" s="19" t="n">
        <v>167</v>
      </c>
      <c r="B171" s="20" t="inlineStr">
        <is>
          <t>Vehicle boot repairs</t>
        </is>
      </c>
      <c r="C171" s="19" t="inlineStr">
        <is>
          <t>DEPARTMENT OF FINANCE</t>
        </is>
      </c>
      <c r="D171" s="19" t="n">
        <v>1</v>
      </c>
      <c r="E171" s="21" t="n">
        <v>0</v>
      </c>
      <c r="F171" s="21" t="n">
        <v>53209294.68999998</v>
      </c>
      <c r="G171" s="33" t="n">
        <v>0.9999999999999994</v>
      </c>
      <c r="H171" s="19" t="inlineStr">
        <is>
          <t>H. One Time Purchase</t>
        </is>
      </c>
      <c r="I171" s="19" t="inlineStr">
        <is>
          <t>Still open</t>
        </is>
      </c>
    </row>
  </sheetData>
  <autoFilter ref="A4:I171"/>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42" customWidth="1" min="1" max="1"/>
    <col width="26" customWidth="1" min="2" max="2"/>
    <col width="16" customWidth="1" min="3" max="3"/>
    <col width="14" customWidth="1" min="4" max="4"/>
    <col width="18" customWidth="1" min="5" max="5"/>
    <col width="15" customWidth="1" min="6" max="6"/>
  </cols>
  <sheetData>
    <row r="1" ht="30" customHeight="1">
      <c r="A1" s="1" t="inlineStr">
        <is>
          <t>PIPELINE FORECAST - WHAT CONVERTS NEXT</t>
        </is>
      </c>
    </row>
    <row r="2" ht="18" customHeight="1">
      <c r="A2" s="2" t="inlineStr">
        <is>
          <t>Procurement Phase shows how far each Exhibit B requisition has progressed toward a contract. This turns a backward-looking scorecard into a forecast.</t>
        </is>
      </c>
    </row>
    <row r="4" ht="30" customHeight="1">
      <c r="A4" s="6" t="inlineStr">
        <is>
          <t>Procurement Phase</t>
        </is>
      </c>
      <c r="B4" s="6" t="inlineStr">
        <is>
          <t>Expected Conversion Horizon</t>
        </is>
      </c>
      <c r="C4" s="6" t="inlineStr">
        <is>
          <t>Sourcing Efforts</t>
        </is>
      </c>
      <c r="D4" s="6" t="inlineStr">
        <is>
          <t>Requisitions</t>
        </is>
      </c>
      <c r="E4" s="6" t="inlineStr">
        <is>
          <t>Exhibit B Spend</t>
        </is>
      </c>
      <c r="F4" s="6" t="inlineStr">
        <is>
          <t>Share of Spend</t>
        </is>
      </c>
    </row>
    <row r="5">
      <c r="A5" s="19" t="inlineStr">
        <is>
          <t>(not stated)</t>
        </is>
      </c>
      <c r="B5" s="19" t="inlineStr">
        <is>
          <t>unknown</t>
        </is>
      </c>
      <c r="C5" s="19" t="n">
        <v>6</v>
      </c>
      <c r="D5" s="19" t="n">
        <v>11</v>
      </c>
      <c r="E5" s="21" t="n">
        <v>84466.95</v>
      </c>
      <c r="F5" s="33" t="n">
        <v>0.001579961662405</v>
      </c>
    </row>
    <row r="6">
      <c r="A6" s="22" t="inlineStr">
        <is>
          <t>A. Specification Development Phase</t>
        </is>
      </c>
      <c r="B6" s="22" t="inlineStr">
        <is>
          <t>12+ months</t>
        </is>
      </c>
      <c r="C6" s="22" t="n">
        <v>71</v>
      </c>
      <c r="D6" s="22" t="n">
        <v>357</v>
      </c>
      <c r="E6" s="24" t="n">
        <v>23024246.93</v>
      </c>
      <c r="F6" s="34" t="n">
        <v>0.4306705457595665</v>
      </c>
    </row>
    <row r="7">
      <c r="A7" s="19" t="inlineStr">
        <is>
          <t>B. City Law Review</t>
        </is>
      </c>
      <c r="B7" s="19" t="inlineStr">
        <is>
          <t>6-12 months</t>
        </is>
      </c>
      <c r="C7" s="19" t="n">
        <v>42</v>
      </c>
      <c r="D7" s="19" t="n">
        <v>182</v>
      </c>
      <c r="E7" s="21" t="n">
        <v>8176786.66</v>
      </c>
      <c r="F7" s="33" t="n">
        <v>0.1529475072139414</v>
      </c>
    </row>
    <row r="8">
      <c r="A8" s="22" t="inlineStr">
        <is>
          <t>C. Solicitation or Bidding Phase</t>
        </is>
      </c>
      <c r="B8" s="22" t="inlineStr">
        <is>
          <t>3-6 months</t>
        </is>
      </c>
      <c r="C8" s="22" t="n">
        <v>12</v>
      </c>
      <c r="D8" s="22" t="n">
        <v>33</v>
      </c>
      <c r="E8" s="24" t="n">
        <v>2991599.22</v>
      </c>
      <c r="F8" s="34" t="n">
        <v>0.05595812417615057</v>
      </c>
    </row>
    <row r="9">
      <c r="A9" s="19" t="inlineStr">
        <is>
          <t>D. Solicitation Response Under Evaluation</t>
        </is>
      </c>
      <c r="B9" s="19" t="inlineStr">
        <is>
          <t>3-6 months</t>
        </is>
      </c>
      <c r="C9" s="19" t="n">
        <v>16</v>
      </c>
      <c r="D9" s="19" t="n">
        <v>30</v>
      </c>
      <c r="E9" s="21" t="n">
        <v>3699094.06</v>
      </c>
      <c r="F9" s="33" t="n">
        <v>0.0691918768279198</v>
      </c>
    </row>
    <row r="10">
      <c r="A10" s="22" t="inlineStr">
        <is>
          <t>E. ROA - (Recommendation of Award)</t>
        </is>
      </c>
      <c r="B10" s="22" t="inlineStr">
        <is>
          <t>0-3 months - imminent</t>
        </is>
      </c>
      <c r="C10" s="22" t="n">
        <v>5</v>
      </c>
      <c r="D10" s="22" t="n">
        <v>12</v>
      </c>
      <c r="E10" s="24" t="n">
        <v>5044003.88</v>
      </c>
      <c r="F10" s="34" t="n">
        <v>0.09434853224156986</v>
      </c>
    </row>
    <row r="11">
      <c r="A11" s="19" t="inlineStr">
        <is>
          <t>F. SC - (Signature Cycle)</t>
        </is>
      </c>
      <c r="B11" s="19" t="inlineStr">
        <is>
          <t>0-3 months - imminent</t>
        </is>
      </c>
      <c r="C11" s="19" t="n">
        <v>9</v>
      </c>
      <c r="D11" s="19" t="n">
        <v>13</v>
      </c>
      <c r="E11" s="21" t="n">
        <v>3543380.77</v>
      </c>
      <c r="F11" s="33" t="n">
        <v>0.06627924616554888</v>
      </c>
    </row>
    <row r="12">
      <c r="A12" s="22" t="inlineStr">
        <is>
          <t>G. Not Applicable (Office Depot use Only)</t>
        </is>
      </c>
      <c r="B12" s="22" t="inlineStr">
        <is>
          <t>n/a - not applicable</t>
        </is>
      </c>
      <c r="C12" s="22" t="n">
        <v>5</v>
      </c>
      <c r="D12" s="22" t="n">
        <v>7</v>
      </c>
      <c r="E12" s="24" t="n">
        <v>555173.71</v>
      </c>
      <c r="F12" s="34" t="n">
        <v>0.01038457263787968</v>
      </c>
    </row>
    <row r="13">
      <c r="A13" s="19" t="inlineStr">
        <is>
          <t>H. One Time Purchase</t>
        </is>
      </c>
      <c r="B13" s="19" t="inlineStr">
        <is>
          <t>n/a - one-time purchase</t>
        </is>
      </c>
      <c r="C13" s="19" t="n">
        <v>56</v>
      </c>
      <c r="D13" s="19" t="n">
        <v>85</v>
      </c>
      <c r="E13" s="21" t="n">
        <v>6342639.96</v>
      </c>
      <c r="F13" s="33" t="n">
        <v>0.1186396333150183</v>
      </c>
    </row>
    <row r="14">
      <c r="A14" s="35" t="inlineStr">
        <is>
          <t>TOTAL</t>
        </is>
      </c>
      <c r="B14" s="35" t="n"/>
      <c r="C14" s="35" t="n"/>
      <c r="D14" s="35" t="n"/>
      <c r="E14" s="36">
        <f>SUM(E5:E13)</f>
        <v/>
      </c>
      <c r="F14" s="37">
        <f>SUM(F5:F13)</f>
        <v/>
      </c>
    </row>
    <row r="16">
      <c r="A16" s="38" t="inlineStr">
        <is>
          <t>NEAR-TERM HEADLINE:  25 requisitions worth $8,587,385 are in Recommendation of Award or Signature Cycle - one administrative step from a contract. Expect these to leave Exhibit B within 60-90 days.</t>
        </is>
      </c>
    </row>
    <row r="17"/>
  </sheetData>
  <mergeCells count="3">
    <mergeCell ref="A2:F2"/>
    <mergeCell ref="A16:F17"/>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5" customWidth="1" min="1" max="1"/>
    <col width="14" customWidth="1" min="2" max="2"/>
    <col width="30" customWidth="1" min="3" max="3"/>
    <col width="48" customWidth="1" min="4" max="4"/>
    <col width="22" customWidth="1" min="5" max="5"/>
    <col width="16" customWidth="1" min="6" max="6"/>
    <col width="30" customWidth="1" min="7" max="7"/>
    <col width="17" customWidth="1" min="8" max="8"/>
    <col width="15" customWidth="1" min="9" max="9"/>
  </cols>
  <sheetData>
    <row r="1" ht="30" customHeight="1">
      <c r="A1" s="1" t="inlineStr">
        <is>
          <t>REVERSE LEAKAGE - EXHIBIT B FILED AFTER THE CONTRACT EXISTED</t>
        </is>
      </c>
    </row>
    <row r="2" ht="18" customHeight="1">
      <c r="A2" s="2" t="inlineStr">
        <is>
          <t>These requisitions were processed as contract exceptions AFTER an award covering that scope had already landed. The spend should have ridden the contract.</t>
        </is>
      </c>
    </row>
    <row r="4" ht="30" customHeight="1">
      <c r="A4" s="6" t="inlineStr">
        <is>
          <t>Exhibit B Req#</t>
        </is>
      </c>
      <c r="B4" s="6" t="inlineStr">
        <is>
          <t>Exhibit B Date</t>
        </is>
      </c>
      <c r="C4" s="6" t="inlineStr">
        <is>
          <t>Department</t>
        </is>
      </c>
      <c r="D4" s="6" t="inlineStr">
        <is>
          <t>Description</t>
        </is>
      </c>
      <c r="E4" s="6" t="inlineStr">
        <is>
          <t>Spend That Should Have Ridden Contract</t>
        </is>
      </c>
      <c r="F4" s="6" t="inlineStr">
        <is>
          <t>Contract Award Date</t>
        </is>
      </c>
      <c r="G4" s="6" t="inlineStr">
        <is>
          <t>Awarded Vendor</t>
        </is>
      </c>
      <c r="H4" s="6" t="inlineStr">
        <is>
          <t>Awarded Contract ID</t>
        </is>
      </c>
      <c r="I4" s="6" t="inlineStr">
        <is>
          <t>Days After Award</t>
        </is>
      </c>
    </row>
    <row r="5">
      <c r="A5" s="19" t="n">
        <v>744483</v>
      </c>
      <c r="B5" s="31" t="n">
        <v>46241</v>
      </c>
      <c r="C5" s="19" t="inlineStr">
        <is>
          <t>DEPARTMENT OF TECHNOLOGY AND INNOVATION</t>
        </is>
      </c>
      <c r="D5" s="20" t="inlineStr">
        <is>
          <t>1- 2025 unpaid DLT invoice for Oracle Active Data Guard Processor. This invoice was received after the Finance cutoff re</t>
        </is>
      </c>
      <c r="E5" s="21" t="n">
        <v>48673.35</v>
      </c>
      <c r="F5" s="31" t="n">
        <v>46073</v>
      </c>
      <c r="G5" s="19" t="inlineStr">
        <is>
          <t>DLT SOLUTIONS LLC</t>
        </is>
      </c>
      <c r="H5" s="19" t="inlineStr">
        <is>
          <t>387728</t>
        </is>
      </c>
      <c r="I5" s="19" t="n">
        <v>168</v>
      </c>
    </row>
    <row r="6">
      <c r="A6" s="22" t="n">
        <v>737833</v>
      </c>
      <c r="B6" s="32" t="n">
        <v>46203</v>
      </c>
      <c r="C6" s="22" t="inlineStr">
        <is>
          <t>DEPARTMENT OF FLEET AND FACILITY MANAGEMENT</t>
        </is>
      </c>
      <c r="D6" s="23" t="inlineStr">
        <is>
          <t>Helicopter Inc. 10633647 A  JS/ BJ/ 2-Invoices/ $18,497.54/ PD911Q/ WO 2626555/ ASR/50 HR inspection due and 150 hr engi</t>
        </is>
      </c>
      <c r="E6" s="24" t="n">
        <v>18497.54</v>
      </c>
      <c r="F6" s="32" t="n">
        <v>46203</v>
      </c>
      <c r="G6" s="22" t="inlineStr">
        <is>
          <t>Helicopters, Inc.</t>
        </is>
      </c>
      <c r="H6" s="22" t="inlineStr">
        <is>
          <t>386844</t>
        </is>
      </c>
      <c r="I6" s="22" t="n">
        <v>0</v>
      </c>
    </row>
    <row r="7">
      <c r="A7" s="19" t="n">
        <v>742855</v>
      </c>
      <c r="B7" s="31" t="n">
        <v>46231</v>
      </c>
      <c r="C7" s="19" t="inlineStr">
        <is>
          <t>DEPARTMENT OF FAMILY AND SUPPORT SERVICES</t>
        </is>
      </c>
      <c r="D7" s="20" t="inlineStr">
        <is>
          <t>Exhibit B_2 8160</t>
        </is>
      </c>
      <c r="E7" s="21" t="n">
        <v>8160</v>
      </c>
      <c r="F7" s="31" t="n">
        <v>46203</v>
      </c>
      <c r="G7" s="19" t="inlineStr">
        <is>
          <t>Service Sanitation Inc.</t>
        </is>
      </c>
      <c r="H7" s="19" t="inlineStr">
        <is>
          <t>381051</t>
        </is>
      </c>
      <c r="I7" s="19" t="n">
        <v>28</v>
      </c>
    </row>
    <row r="8">
      <c r="A8" s="22" t="n">
        <v>742832</v>
      </c>
      <c r="B8" s="32" t="n">
        <v>46238</v>
      </c>
      <c r="C8" s="22" t="inlineStr">
        <is>
          <t>DEPARTMENT OF FAMILY AND SUPPORT SERVICES</t>
        </is>
      </c>
      <c r="D8" s="23" t="inlineStr">
        <is>
          <t>Exhibit B_ 8160</t>
        </is>
      </c>
      <c r="E8" s="24" t="n">
        <v>8160</v>
      </c>
      <c r="F8" s="32" t="n">
        <v>46203</v>
      </c>
      <c r="G8" s="22" t="inlineStr">
        <is>
          <t>Service Sanitation Inc.</t>
        </is>
      </c>
      <c r="H8" s="22" t="inlineStr">
        <is>
          <t>381051</t>
        </is>
      </c>
      <c r="I8" s="22" t="n">
        <v>35</v>
      </c>
    </row>
    <row r="9">
      <c r="A9" s="19" t="n">
        <v>742887</v>
      </c>
      <c r="B9" s="31" t="n">
        <v>46231</v>
      </c>
      <c r="C9" s="19" t="inlineStr">
        <is>
          <t>DEPARTMENT OF FAMILY AND SUPPORT SERVICES</t>
        </is>
      </c>
      <c r="D9" s="20" t="inlineStr">
        <is>
          <t>Exhibit B_3_7644</t>
        </is>
      </c>
      <c r="E9" s="21" t="n">
        <v>7644</v>
      </c>
      <c r="F9" s="31" t="n">
        <v>46203</v>
      </c>
      <c r="G9" s="19" t="inlineStr">
        <is>
          <t>Service Sanitation Inc.</t>
        </is>
      </c>
      <c r="H9" s="19" t="inlineStr">
        <is>
          <t>381051</t>
        </is>
      </c>
      <c r="I9" s="19" t="n">
        <v>28</v>
      </c>
    </row>
    <row r="10">
      <c r="A10" s="22" t="n">
        <v>746639</v>
      </c>
      <c r="B10" s="32" t="n">
        <v>46253.93944444445</v>
      </c>
      <c r="C10" s="22" t="inlineStr">
        <is>
          <t>OFFICE OF THE MAYOR</t>
        </is>
      </c>
      <c r="D10" s="23" t="inlineStr">
        <is>
          <t>LKP Legislative services</t>
        </is>
      </c>
      <c r="E10" s="24" t="n">
        <v>4000</v>
      </c>
      <c r="F10" s="32" t="n">
        <v>46024</v>
      </c>
      <c r="G10" s="22" t="inlineStr">
        <is>
          <t>LKP CONSULTING LLC</t>
        </is>
      </c>
      <c r="H10" s="22" t="inlineStr">
        <is>
          <t>386406</t>
        </is>
      </c>
      <c r="I10" s="22" t="n">
        <v>229</v>
      </c>
    </row>
    <row r="11">
      <c r="A11" s="19" t="n">
        <v>734820</v>
      </c>
      <c r="B11" s="31" t="n">
        <v>46182</v>
      </c>
      <c r="C11" s="19" t="inlineStr">
        <is>
          <t>CHICAGO DEPARTMENT OF AVIATION</t>
        </is>
      </c>
      <c r="D11" s="20" t="inlineStr">
        <is>
          <t xml:space="preserve">Invoice# SS109523    Sherwin Industries FAA Part 139 Regulatory Compliance. Calibration of AFM2 (8 units) and labor for </t>
        </is>
      </c>
      <c r="E11" s="21" t="n">
        <v>3916</v>
      </c>
      <c r="F11" s="31" t="n">
        <v>46106</v>
      </c>
      <c r="G11" s="19" t="inlineStr">
        <is>
          <t>Halliday Technologies</t>
        </is>
      </c>
      <c r="H11" s="19" t="inlineStr">
        <is>
          <t>375509</t>
        </is>
      </c>
      <c r="I11" s="19" t="n">
        <v>76</v>
      </c>
    </row>
    <row r="12">
      <c r="A12" s="22" t="n">
        <v>745303</v>
      </c>
      <c r="B12" s="32" t="n">
        <v>46246</v>
      </c>
      <c r="C12" s="22" t="inlineStr">
        <is>
          <t>CHICAGO DEPARTMENT OF PUBLIC HEALTH</t>
        </is>
      </c>
      <c r="D12" s="23" t="inlineStr">
        <is>
          <t>OES:Odysseus Licensing FeeAnnual Licensing and Hosting Fee: June 2026</t>
        </is>
      </c>
      <c r="E12" s="24" t="n">
        <v>833</v>
      </c>
      <c r="F12" s="32" t="n">
        <v>46220</v>
      </c>
      <c r="G12" s="22" t="inlineStr">
        <is>
          <t>INTEGRATED SOLUTIONS CONSULTING CORPORATION</t>
        </is>
      </c>
      <c r="H12" s="22" t="inlineStr">
        <is>
          <t>386925</t>
        </is>
      </c>
      <c r="I12" s="22" t="n">
        <v>26</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40" customWidth="1" min="1" max="1"/>
    <col width="62" customWidth="1" min="2" max="2"/>
    <col width="40" customWidth="1" min="3" max="3"/>
    <col width="48" customWidth="1" min="4" max="4"/>
  </cols>
  <sheetData>
    <row r="1" ht="30" customHeight="1">
      <c r="A1" s="1" t="inlineStr">
        <is>
          <t>DATA QUALITY FINDINGS</t>
        </is>
      </c>
    </row>
    <row r="2" ht="18" customHeight="1">
      <c r="A2" s="2" t="inlineStr">
        <is>
          <t>Issues in the source data that limit measurement - and that are fixable at the point of entry.</t>
        </is>
      </c>
    </row>
    <row r="4" ht="30" customHeight="1">
      <c r="A4" s="6" t="inlineStr">
        <is>
          <t>Finding</t>
        </is>
      </c>
      <c r="B4" s="6" t="inlineStr">
        <is>
          <t>Detail</t>
        </is>
      </c>
      <c r="C4" s="6" t="inlineStr">
        <is>
          <t>Impact on Measurement</t>
        </is>
      </c>
      <c r="D4" s="6" t="inlineStr">
        <is>
          <t>Recommended Fix</t>
        </is>
      </c>
    </row>
    <row r="5" ht="56" customHeight="1">
      <c r="A5" s="39" t="inlineStr">
        <is>
          <t>'Contract Number Awarded' is largely unusable</t>
        </is>
      </c>
      <c r="B5" s="20" t="inlineStr">
        <is>
          <t>136 of 221 populated values are not contract numbers - they include 'TBD', 'na', '0', 'NO', 'yes', 'Pending', 'UNKNOWN', 'N?A' and 'None yet'.</t>
        </is>
      </c>
      <c r="C5" s="20" t="inlineStr">
        <is>
          <t>Cannot verify an award from this field alone</t>
        </is>
      </c>
      <c r="D5" s="20" t="inlineStr">
        <is>
          <t>Make it a validated numeric field, required only when 'Contract Awarded?' = Yes</t>
        </is>
      </c>
    </row>
    <row r="6" ht="56" customHeight="1">
      <c r="A6" s="40" t="inlineStr">
        <is>
          <t>Claimed contract numbers do not reconcile</t>
        </is>
      </c>
      <c r="B6" s="23" t="inlineStr">
        <is>
          <t>25 distinct numbers were supplied on rows claiming an award. Only 2 appear anywhere in the awarded contract file.</t>
        </is>
      </c>
      <c r="C6" s="23" t="inlineStr">
        <is>
          <t>The award claim cannot be substantiated for most rows</t>
        </is>
      </c>
      <c r="D6" s="23" t="inlineStr">
        <is>
          <t>Validate the entry against the contract master at the point of entry</t>
        </is>
      </c>
    </row>
    <row r="7" ht="56" customHeight="1">
      <c r="A7" s="39" t="inlineStr">
        <is>
          <t>'Requisition# for New Contract/Mod' is free text</t>
        </is>
      </c>
      <c r="B7" s="20" t="inlineStr">
        <is>
          <t>91 of 654 values need parsing - 'RX 596048', 'RX676831- SPEC 1197406C', concatenated '710856710875', 'Target Market 710856, Non-Target Market 710875', 'na'.</t>
        </is>
      </c>
      <c r="C7" s="20" t="inlineStr">
        <is>
          <t>Automated tracking requires a cleanup pass every time</t>
        </is>
      </c>
      <c r="D7" s="20" t="inlineStr">
        <is>
          <t>Split into a numeric requisition field plus a free-text note field</t>
        </is>
      </c>
    </row>
    <row r="8" ht="56" customHeight="1">
      <c r="A8" s="40" t="inlineStr">
        <is>
          <t>Awarded contract file has no requisition on every row</t>
        </is>
      </c>
      <c r="B8" s="23" t="inlineStr">
        <is>
          <t>14 of 100 awarded contracts carry no REQ number, and 0 carry no SPEC.</t>
        </is>
      </c>
      <c r="C8" s="23" t="inlineStr">
        <is>
          <t>Those awards cannot be traced back to the Exhibit B that preceded them</t>
        </is>
      </c>
      <c r="D8" s="23" t="inlineStr">
        <is>
          <t>Require the originating requisition on every award record</t>
        </is>
      </c>
    </row>
    <row r="9" ht="56" customHeight="1">
      <c r="A9" s="39" t="inlineStr">
        <is>
          <t>No shared key between the two systems</t>
        </is>
      </c>
      <c r="B9" s="20" t="inlineStr">
        <is>
          <t>Exhibit B and the award file share no reliable common identifier; linkage depends on requisition numbers appearing in a free-text field.</t>
        </is>
      </c>
      <c r="C9" s="20" t="inlineStr">
        <is>
          <t>Conversion cannot be measured automatically today</t>
        </is>
      </c>
      <c r="D9" s="20" t="inlineStr">
        <is>
          <t>Carry the Exhibit B requisition number forward onto the resulting award record</t>
        </is>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1" ht="30" customHeight="1">
      <c r="A1" s="1" t="inlineStr">
        <is>
          <t>METHODOLOGY, DEFINITIONS AND LIMITATIONS</t>
        </is>
      </c>
    </row>
    <row r="2" ht="18" customHeight="1">
      <c r="A2" s="2" t="inlineStr">
        <is>
          <t>Read this before quoting any number in this workbook.</t>
        </is>
      </c>
    </row>
    <row r="4">
      <c r="B4" s="41" t="inlineStr">
        <is>
          <t>WHAT THIS ANALYSIS ANSWERS</t>
        </is>
      </c>
      <c r="C4" s="42" t="n"/>
    </row>
    <row r="5" ht="24" customHeight="1">
      <c r="B5" s="43" t="inlineStr">
        <is>
          <t>Question</t>
        </is>
      </c>
      <c r="C5" s="18" t="inlineStr">
        <is>
          <t>Did non-contract ('maverick') Exhibit B spend move onto a competitively awarded contract during the period?</t>
        </is>
      </c>
    </row>
    <row r="6" ht="36" customHeight="1">
      <c r="B6" s="43" t="inlineStr">
        <is>
          <t>Two gates</t>
        </is>
      </c>
      <c r="C6" s="18" t="inlineStr">
        <is>
          <t>Gate 1 - did the spend exit Exhibit B onto an awarded contract? Gate 2 - was that award competitive (Bid/RFQ/RFP)? Exiting Exhibit B into a sole-source or emergency award clears the exception report but is not the procurement-correct outcome.</t>
        </is>
      </c>
    </row>
    <row r="8">
      <c r="B8" s="41" t="inlineStr">
        <is>
          <t>UNIT OF ANALYSIS</t>
        </is>
      </c>
      <c r="C8" s="42" t="n"/>
    </row>
    <row r="9" ht="36" customHeight="1">
      <c r="B9" s="43" t="inlineStr">
        <is>
          <t>Sourcing effort</t>
        </is>
      </c>
      <c r="C9" s="18" t="inlineStr">
        <is>
          <t>Requisitions are rolled up to the pending new-contract requisition (RX). 730 Exhibit B requisitions represent only 175 distinct sourcing efforts. One effort absorbs 49 requisitions and $16,275,951. Counting requisitions overstates the number of problems and understates their size.</t>
        </is>
      </c>
    </row>
    <row r="11">
      <c r="B11" s="41" t="inlineStr">
        <is>
          <t>EVIDENCE TIERS</t>
        </is>
      </c>
      <c r="C11" s="42" t="n"/>
    </row>
    <row r="12" ht="24" customHeight="1">
      <c r="B12" s="43" t="inlineStr">
        <is>
          <t>Tier A - Confirmed</t>
        </is>
      </c>
      <c r="C12" s="18" t="inlineStr">
        <is>
          <t>Hard ID link: the Exhibit B new-contract requisition equals an awarded REQ, or the reported contract number equals an awarded PO/CONTRACT_ID.</t>
        </is>
      </c>
    </row>
    <row r="13" ht="24" customHeight="1">
      <c r="B13" s="43" t="inlineStr">
        <is>
          <t>Tier B - Confirmed</t>
        </is>
      </c>
      <c r="C13" s="18" t="inlineStr">
        <is>
          <t>Same vendor plus commodity-token overlap of 10% or more between the Exhibit B description and the award description.</t>
        </is>
      </c>
    </row>
    <row r="14" ht="14" customHeight="1">
      <c r="B14" s="43" t="inlineStr">
        <is>
          <t>Tier C - Suggestive</t>
        </is>
      </c>
      <c r="C14" s="18" t="inlineStr">
        <is>
          <t>Same vendor only, no commodity overlap. NOT counted as a conversion.</t>
        </is>
      </c>
    </row>
    <row r="15" ht="14" customHeight="1">
      <c r="B15" s="43" t="inlineStr">
        <is>
          <t>Tier D - Weak</t>
        </is>
      </c>
      <c r="C15" s="18" t="inlineStr">
        <is>
          <t>Description similarity of 30% or more with no vendor or ID link. NOT counted as a conversion.</t>
        </is>
      </c>
    </row>
    <row r="16" ht="14" customHeight="1">
      <c r="B16" s="43" t="inlineStr">
        <is>
          <t>Tier E - None</t>
        </is>
      </c>
      <c r="C16" s="18" t="inlineStr">
        <is>
          <t>No linkage found in the awarded contract file.</t>
        </is>
      </c>
    </row>
    <row r="17" ht="24" customHeight="1">
      <c r="B17" s="43" t="inlineStr">
        <is>
          <t>Timing gate</t>
        </is>
      </c>
      <c r="C17" s="18" t="inlineStr">
        <is>
          <t>A Tier A or B match counts as a conversion only if the award date is AFTER the Exhibit B date. A match with an earlier award date is reverse leakage, not a conversion.</t>
        </is>
      </c>
    </row>
    <row r="18" ht="24" customHeight="1">
      <c r="B18" s="43" t="inlineStr">
        <is>
          <t>Headline basis</t>
        </is>
      </c>
      <c r="C18" s="18" t="inlineStr">
        <is>
          <t>The headline conversion figure uses Tier A and B only. Tiers C and D are disclosed separately and are never added to the headline.</t>
        </is>
      </c>
    </row>
    <row r="20">
      <c r="B20" s="41" t="inlineStr">
        <is>
          <t>DENOMINATOR</t>
        </is>
      </c>
      <c r="C20" s="42" t="n"/>
    </row>
    <row r="21" ht="36" customHeight="1">
      <c r="B21" s="43" t="inlineStr">
        <is>
          <t>Expected to convert</t>
        </is>
      </c>
      <c r="C21" s="18" t="inlineStr">
        <is>
          <t>'Request for New Contract/Mod' = Yes, excluding justifications 3. One Time Purchase, 4. Invoice Reconciliation, 6. Bid Protest - these are not intended to result in a contract. 476 requisitions ($40,335,240) meet this test.</t>
        </is>
      </c>
    </row>
    <row r="23">
      <c r="B23" s="41" t="inlineStr">
        <is>
          <t>LIMITATIONS - READ BEFORE CITING</t>
        </is>
      </c>
      <c r="C23" s="42" t="n"/>
    </row>
    <row r="24" ht="48" customHeight="1">
      <c r="B24" s="43" t="inlineStr">
        <is>
          <t>Award file is a fixed list</t>
        </is>
      </c>
      <c r="C24" s="18" t="inlineStr">
        <is>
          <t>The awarded contract file contains 100 contracts. If it is not the complete population of awards for the period, an Exhibit B effort could have been awarded on a contract absent from this file. 'No verified conversion' therefore means 'not evidenced in the supplied award data' - it does not prove no award occurred.</t>
        </is>
      </c>
    </row>
    <row r="25" ht="36" customHeight="1">
      <c r="B25" s="43" t="inlineStr">
        <is>
          <t>No shared key</t>
        </is>
      </c>
      <c r="C25" s="18" t="inlineStr">
        <is>
          <t>The two systems share no reliable common identifier. Linkage depends on requisition numbers appearing inside a free-text field, so some genuine conversions are likely unmatched. The verified figure is a floor, not a ceiling.</t>
        </is>
      </c>
    </row>
    <row r="26" ht="24" customHeight="1">
      <c r="B26" s="43" t="inlineStr">
        <is>
          <t>Self-reported fields excluded</t>
        </is>
      </c>
      <c r="C26" s="18" t="inlineStr">
        <is>
          <t>'Contract Awarded?' and 'Contract Number Awarded' are department self-reports and are analysed as a claim to be tested, never used as evidence of conversion.</t>
        </is>
      </c>
    </row>
    <row r="27" ht="24" customHeight="1">
      <c r="B27" s="43" t="inlineStr">
        <is>
          <t>Spend basis</t>
        </is>
      </c>
      <c r="C27" s="18" t="inlineStr">
        <is>
          <t>Requisition Amount as submitted. Approved and denied rows are both retained in the population and flagged; denied rows never count as converted.</t>
        </is>
      </c>
    </row>
    <row r="28" ht="24" customHeight="1">
      <c r="B28" s="43" t="inlineStr">
        <is>
          <t>Period</t>
        </is>
      </c>
      <c r="C28" s="18" t="inlineStr">
        <is>
          <t>January 5, 2026 to August 20, 2026. Both tabs cover the same window, so an Exhibit B request late in the period has had little time to reach award - conversion for recent months is understated by construction.</t>
        </is>
      </c>
    </row>
    <row r="30">
      <c r="B30" s="41" t="inlineStr">
        <is>
          <t>SOURCE DATA</t>
        </is>
      </c>
      <c r="C30" s="42" t="n"/>
    </row>
    <row r="31" ht="14" customHeight="1">
      <c r="B31" s="43" t="inlineStr">
        <is>
          <t>Exhibit B tab</t>
        </is>
      </c>
      <c r="C31" s="18" t="inlineStr">
        <is>
          <t>730 requisitions, $53,461,392.14</t>
        </is>
      </c>
    </row>
    <row r="32" ht="14" customHeight="1">
      <c r="B32" s="43" t="inlineStr">
        <is>
          <t>Awarded contracts tab</t>
        </is>
      </c>
      <c r="C32" s="18" t="inlineStr">
        <is>
          <t>100 contracts, $2,591,929,537.52 total award value (full award book, not only Exhibit B conversions)</t>
        </is>
      </c>
    </row>
    <row r="33" ht="14" customHeight="1">
      <c r="B33" s="43" t="inlineStr">
        <is>
          <t>Competitive definition</t>
        </is>
      </c>
      <c r="C33" s="18" t="inlineStr">
        <is>
          <t>PROCUREMENT_TYPE in ['BID', 'RFP', 'RFQ']. 53 of 100 awards qualify.</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73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28" customWidth="1" min="4" max="4"/>
    <col width="50" customWidth="1" min="5" max="5"/>
    <col width="14" customWidth="1" min="6" max="6"/>
    <col width="40" customWidth="1" min="7" max="7"/>
    <col width="26" customWidth="1" min="8" max="8"/>
    <col width="15" customWidth="1" min="9" max="9"/>
    <col width="16" customWidth="1" min="10" max="10"/>
    <col width="16" customWidth="1" min="11" max="11"/>
    <col width="18" customWidth="1" min="12" max="12"/>
    <col width="18" customWidth="1" min="13" max="13"/>
    <col width="11" customWidth="1" min="14" max="14"/>
    <col width="44" customWidth="1" min="15" max="15"/>
    <col width="17" customWidth="1" min="16" max="16"/>
    <col width="28" customWidth="1" min="17" max="17"/>
    <col width="13" customWidth="1" min="18" max="18"/>
    <col width="18" customWidth="1" min="19" max="19"/>
    <col width="12" customWidth="1" min="20" max="20"/>
    <col width="11" customWidth="1" min="21" max="21"/>
    <col width="12" customWidth="1" min="22" max="22"/>
    <col width="16" customWidth="1" min="23" max="23"/>
  </cols>
  <sheetData>
    <row r="1" ht="30" customHeight="1">
      <c r="A1" s="6" t="inlineStr">
        <is>
          <t>Requisition Number</t>
        </is>
      </c>
      <c r="B1" s="6" t="inlineStr">
        <is>
          <t>Exhibit B Date</t>
        </is>
      </c>
      <c r="C1" s="6" t="inlineStr">
        <is>
          <t>Department</t>
        </is>
      </c>
      <c r="D1" s="6" t="inlineStr">
        <is>
          <t>Vendor</t>
        </is>
      </c>
      <c r="E1" s="6" t="inlineStr">
        <is>
          <t>Description</t>
        </is>
      </c>
      <c r="F1" s="6" t="inlineStr">
        <is>
          <t>Amount</t>
        </is>
      </c>
      <c r="G1" s="6" t="inlineStr">
        <is>
          <t>Justification</t>
        </is>
      </c>
      <c r="H1" s="6" t="inlineStr">
        <is>
          <t>Procurement Phase</t>
        </is>
      </c>
      <c r="I1" s="6" t="inlineStr">
        <is>
          <t>Approved or Denied</t>
        </is>
      </c>
      <c r="J1" s="6" t="inlineStr">
        <is>
          <t>New Contract Requested</t>
        </is>
      </c>
      <c r="K1" s="6" t="inlineStr">
        <is>
          <t>Self-Reported Awarded</t>
        </is>
      </c>
      <c r="L1" s="6" t="inlineStr">
        <is>
          <t>Contract # Claimed</t>
        </is>
      </c>
      <c r="M1" s="6" t="inlineStr">
        <is>
          <t>Sourcing Key</t>
        </is>
      </c>
      <c r="N1" s="6" t="inlineStr">
        <is>
          <t>Evidence Tier</t>
        </is>
      </c>
      <c r="O1" s="6" t="inlineStr">
        <is>
          <t>Match Basis</t>
        </is>
      </c>
      <c r="P1" s="6" t="inlineStr">
        <is>
          <t>Awarded Contract ID</t>
        </is>
      </c>
      <c r="Q1" s="6" t="inlineStr">
        <is>
          <t>Awarded Vendor</t>
        </is>
      </c>
      <c r="R1" s="6" t="inlineStr">
        <is>
          <t>Award Date</t>
        </is>
      </c>
      <c r="S1" s="6" t="inlineStr">
        <is>
          <t>Procurement Type</t>
        </is>
      </c>
      <c r="T1" s="6" t="inlineStr">
        <is>
          <t>Competitive</t>
        </is>
      </c>
      <c r="U1" s="6" t="inlineStr">
        <is>
          <t>Converted</t>
        </is>
      </c>
      <c r="V1" s="6" t="inlineStr">
        <is>
          <t>Reverse Leak</t>
        </is>
      </c>
      <c r="W1" s="6" t="inlineStr">
        <is>
          <t>Expected to Convert</t>
        </is>
      </c>
    </row>
    <row r="2">
      <c r="A2" s="19" t="n">
        <v>737798</v>
      </c>
      <c r="B2" s="31" t="n">
        <v>46203</v>
      </c>
      <c r="C2" s="19" t="inlineStr">
        <is>
          <t>DEPARTMENT OF WATER MANAGEMENT</t>
        </is>
      </c>
      <c r="D2" s="19" t="inlineStr">
        <is>
          <t>PAN-OCEANIC ENGINEERING CO INC</t>
        </is>
      </c>
      <c r="E2" s="20" t="inlineStr">
        <is>
          <t>Sewer Construction</t>
        </is>
      </c>
      <c r="F2" s="21" t="n">
        <v>121426.74</v>
      </c>
      <c r="G2" s="19" t="inlineStr">
        <is>
          <t>1. Pending New Contract - Original Contract Expired. New Contract in Process</t>
        </is>
      </c>
      <c r="H2" s="19" t="inlineStr">
        <is>
          <t>H. One Time Purchase</t>
        </is>
      </c>
      <c r="I2" s="19" t="inlineStr">
        <is>
          <t>APPROVED</t>
        </is>
      </c>
      <c r="J2" s="19" t="inlineStr">
        <is>
          <t>Yes</t>
        </is>
      </c>
      <c r="K2" s="19" t="inlineStr">
        <is>
          <t>Yes</t>
        </is>
      </c>
      <c r="L2" s="19" t="n">
        <v>297413</v>
      </c>
      <c r="M2" s="19" t="inlineStr">
        <is>
          <t>VDPAN OCEANIC ENGINEERING</t>
        </is>
      </c>
      <c r="N2" s="19" t="inlineStr">
        <is>
          <t>E</t>
        </is>
      </c>
      <c r="O2" s="20" t="inlineStr">
        <is>
          <t>No linkage found in awarded contract file</t>
        </is>
      </c>
      <c r="P2" s="19" t="inlineStr"/>
      <c r="Q2" s="19" t="inlineStr"/>
      <c r="R2" s="31" t="inlineStr"/>
      <c r="S2" s="19" t="inlineStr"/>
      <c r="T2" s="19" t="inlineStr">
        <is>
          <t>No</t>
        </is>
      </c>
      <c r="U2" s="19" t="inlineStr">
        <is>
          <t>No</t>
        </is>
      </c>
      <c r="V2" s="19" t="inlineStr">
        <is>
          <t>No</t>
        </is>
      </c>
      <c r="W2" s="19" t="inlineStr">
        <is>
          <t>Yes</t>
        </is>
      </c>
    </row>
    <row r="3">
      <c r="A3" s="19" t="n">
        <v>734966</v>
      </c>
      <c r="B3" s="31" t="n">
        <v>46182</v>
      </c>
      <c r="C3" s="19" t="inlineStr">
        <is>
          <t>DEPARTMENT OF WATER MANAGEMENT</t>
        </is>
      </c>
      <c r="D3" s="19" t="inlineStr">
        <is>
          <t>SEVEN D CONSTRUCTION COMPANY</t>
        </is>
      </c>
      <c r="E3" s="20" t="inlineStr">
        <is>
          <t>Street and Parkway Repair Project NO. 19-625 North Region</t>
        </is>
      </c>
      <c r="F3" s="21" t="n">
        <v>143357.36</v>
      </c>
      <c r="G3" s="19" t="inlineStr">
        <is>
          <t>1. Pending New Contract - Original Contract Expired. New Contract in Process</t>
        </is>
      </c>
      <c r="H3" s="19" t="inlineStr">
        <is>
          <t>H. One Time Purchase</t>
        </is>
      </c>
      <c r="I3" s="19" t="inlineStr">
        <is>
          <t>APPROVED</t>
        </is>
      </c>
      <c r="J3" s="19" t="inlineStr">
        <is>
          <t>Yes</t>
        </is>
      </c>
      <c r="K3" s="19" t="inlineStr">
        <is>
          <t>Yes</t>
        </is>
      </c>
      <c r="L3" s="19" t="n">
        <v>272860</v>
      </c>
      <c r="M3" s="19" t="inlineStr">
        <is>
          <t>RX492769</t>
        </is>
      </c>
      <c r="N3" s="19" t="inlineStr">
        <is>
          <t>C</t>
        </is>
      </c>
      <c r="O3" s="20" t="inlineStr">
        <is>
          <t>Vendor name match only (similarity 0.00)</t>
        </is>
      </c>
      <c r="P3" s="19" t="inlineStr">
        <is>
          <t>383513</t>
        </is>
      </c>
      <c r="Q3" s="19" t="inlineStr">
        <is>
          <t>SEVEN D CONSTRUCTION COMPANY</t>
        </is>
      </c>
      <c r="R3" s="31" t="n">
        <v>46107</v>
      </c>
      <c r="S3" s="19" t="inlineStr">
        <is>
          <t>BID</t>
        </is>
      </c>
      <c r="T3" s="19" t="inlineStr">
        <is>
          <t>Yes</t>
        </is>
      </c>
      <c r="U3" s="19" t="inlineStr">
        <is>
          <t>No</t>
        </is>
      </c>
      <c r="V3" s="19" t="inlineStr">
        <is>
          <t>No</t>
        </is>
      </c>
      <c r="W3" s="19" t="inlineStr">
        <is>
          <t>Yes</t>
        </is>
      </c>
    </row>
    <row r="4">
      <c r="A4" s="19" t="n">
        <v>741608</v>
      </c>
      <c r="B4" s="31" t="n">
        <v>46223</v>
      </c>
      <c r="C4" s="19" t="inlineStr">
        <is>
          <t>DEPARTMENT OF WATER MANAGEMENT</t>
        </is>
      </c>
      <c r="D4" s="19" t="inlineStr">
        <is>
          <t>CHARLES EQUIPMENT ENERGY SYSTEMS LLC</t>
        </is>
      </c>
      <c r="E4" s="20" t="inlineStr">
        <is>
          <t>Perform 2025 annual planned maintenance on one Caterpillar chlorine emergency power generator and five MTU main plant power emergency generators</t>
        </is>
      </c>
      <c r="F4" s="21" t="n">
        <v>33822.1</v>
      </c>
      <c r="G4" s="19" t="inlineStr">
        <is>
          <t>1. Pending New Contract - Original Contract Expired. New Contract in Process</t>
        </is>
      </c>
      <c r="H4" s="19" t="inlineStr">
        <is>
          <t>H. One Time Purchase</t>
        </is>
      </c>
      <c r="I4" s="19" t="inlineStr">
        <is>
          <t>APPROVED</t>
        </is>
      </c>
      <c r="J4" s="19" t="inlineStr">
        <is>
          <t>Yes</t>
        </is>
      </c>
      <c r="K4" s="19" t="inlineStr">
        <is>
          <t>No</t>
        </is>
      </c>
      <c r="L4" s="19" t="inlineStr"/>
      <c r="M4" s="19" t="inlineStr">
        <is>
          <t>RX622326</t>
        </is>
      </c>
      <c r="N4" s="19" t="inlineStr">
        <is>
          <t>E</t>
        </is>
      </c>
      <c r="O4" s="20" t="inlineStr">
        <is>
          <t>No linkage found in awarded contract file</t>
        </is>
      </c>
      <c r="P4" s="19" t="inlineStr"/>
      <c r="Q4" s="19" t="inlineStr"/>
      <c r="R4" s="31" t="inlineStr"/>
      <c r="S4" s="19" t="inlineStr"/>
      <c r="T4" s="19" t="inlineStr">
        <is>
          <t>No</t>
        </is>
      </c>
      <c r="U4" s="19" t="inlineStr">
        <is>
          <t>No</t>
        </is>
      </c>
      <c r="V4" s="19" t="inlineStr">
        <is>
          <t>No</t>
        </is>
      </c>
      <c r="W4" s="19" t="inlineStr">
        <is>
          <t>Yes</t>
        </is>
      </c>
    </row>
    <row r="5">
      <c r="A5" s="19" t="n">
        <v>742464</v>
      </c>
      <c r="B5" s="31" t="n">
        <v>46226</v>
      </c>
      <c r="C5" s="19" t="inlineStr">
        <is>
          <t>DEPARTMENT OF FLEET AND FACILITY MANAGEMENT</t>
        </is>
      </c>
      <c r="D5" s="19" t="inlineStr">
        <is>
          <t>JACOB PRESS' SONS INC</t>
        </is>
      </c>
      <c r="E5" s="20" t="inlineStr">
        <is>
          <t>WB/MM/INVOICE#598412/$1221.66</t>
        </is>
      </c>
      <c r="F5" s="21" t="n">
        <v>1221.66</v>
      </c>
      <c r="G5" s="19" t="inlineStr">
        <is>
          <t>1. Pending New Contract - Original Contract Expired. New Contract in Process</t>
        </is>
      </c>
      <c r="H5" s="19" t="inlineStr">
        <is>
          <t>B. City Law Review</t>
        </is>
      </c>
      <c r="I5" s="19" t="inlineStr">
        <is>
          <t>DENIED</t>
        </is>
      </c>
      <c r="J5" s="19" t="inlineStr">
        <is>
          <t>Yes</t>
        </is>
      </c>
      <c r="K5" s="19" t="inlineStr">
        <is>
          <t>No</t>
        </is>
      </c>
      <c r="L5" s="19" t="inlineStr"/>
      <c r="M5" s="19" t="inlineStr">
        <is>
          <t>RX590958</t>
        </is>
      </c>
      <c r="N5" s="19" t="inlineStr">
        <is>
          <t>E</t>
        </is>
      </c>
      <c r="O5" s="20" t="inlineStr">
        <is>
          <t>No linkage found in awarded contract file</t>
        </is>
      </c>
      <c r="P5" s="19" t="inlineStr"/>
      <c r="Q5" s="19" t="inlineStr"/>
      <c r="R5" s="31" t="inlineStr"/>
      <c r="S5" s="19" t="inlineStr"/>
      <c r="T5" s="19" t="inlineStr">
        <is>
          <t>No</t>
        </is>
      </c>
      <c r="U5" s="19" t="inlineStr">
        <is>
          <t>No</t>
        </is>
      </c>
      <c r="V5" s="19" t="inlineStr">
        <is>
          <t>No</t>
        </is>
      </c>
      <c r="W5" s="19" t="inlineStr">
        <is>
          <t>Yes</t>
        </is>
      </c>
    </row>
    <row r="6">
      <c r="A6" s="19" t="n">
        <v>726600</v>
      </c>
      <c r="B6" s="31" t="n">
        <v>46146</v>
      </c>
      <c r="C6" s="19" t="inlineStr">
        <is>
          <t>DEPARTMENT OF BUSINESS AFFAIRS AND CONSUMER PROTECTION</t>
        </is>
      </c>
      <c r="D6" s="19" t="inlineStr">
        <is>
          <t>WALZ SCALES CO.</t>
        </is>
      </c>
      <c r="E6" s="20" t="inlineStr">
        <is>
          <t>SCALES CERTIFICATION</t>
        </is>
      </c>
      <c r="F6" s="21" t="n">
        <v>980</v>
      </c>
      <c r="G6" s="19" t="inlineStr">
        <is>
          <t>3. One Time Purchase</t>
        </is>
      </c>
      <c r="H6" s="19" t="inlineStr">
        <is>
          <t>H. One Time Purchase</t>
        </is>
      </c>
      <c r="I6" s="19" t="inlineStr">
        <is>
          <t>APPROVED</t>
        </is>
      </c>
      <c r="J6" s="19" t="inlineStr">
        <is>
          <t>Yes</t>
        </is>
      </c>
      <c r="K6" s="19" t="inlineStr">
        <is>
          <t>No</t>
        </is>
      </c>
      <c r="L6" s="19" t="inlineStr"/>
      <c r="M6" s="19" t="inlineStr">
        <is>
          <t>VDWALZ SCALES</t>
        </is>
      </c>
      <c r="N6" s="19" t="inlineStr">
        <is>
          <t>E</t>
        </is>
      </c>
      <c r="O6" s="20" t="inlineStr">
        <is>
          <t>No linkage found in awarded contract file</t>
        </is>
      </c>
      <c r="P6" s="19" t="inlineStr"/>
      <c r="Q6" s="19" t="inlineStr"/>
      <c r="R6" s="31" t="inlineStr"/>
      <c r="S6" s="19" t="inlineStr"/>
      <c r="T6" s="19" t="inlineStr">
        <is>
          <t>No</t>
        </is>
      </c>
      <c r="U6" s="19" t="inlineStr">
        <is>
          <t>No</t>
        </is>
      </c>
      <c r="V6" s="19" t="inlineStr">
        <is>
          <t>No</t>
        </is>
      </c>
      <c r="W6" s="19" t="inlineStr">
        <is>
          <t>No</t>
        </is>
      </c>
    </row>
    <row r="7">
      <c r="A7" s="19" t="n">
        <v>742345</v>
      </c>
      <c r="B7" s="31" t="n">
        <v>46226</v>
      </c>
      <c r="C7" s="19" t="inlineStr">
        <is>
          <t>CHICAGO FIRE DEPARTMENT</t>
        </is>
      </c>
      <c r="D7" s="19" t="inlineStr">
        <is>
          <t>ACORN GARAGE INC</t>
        </is>
      </c>
      <c r="E7" s="20" t="inlineStr">
        <is>
          <t>INV#204824</t>
        </is>
      </c>
      <c r="F7" s="21" t="n">
        <v>273</v>
      </c>
      <c r="G7" s="19" t="inlineStr">
        <is>
          <t>1. Pending New Contract - Original Contract Expired. New Contract in Process</t>
        </is>
      </c>
      <c r="H7" s="19" t="inlineStr">
        <is>
          <t>H. One Time Purchase</t>
        </is>
      </c>
      <c r="I7" s="19" t="inlineStr">
        <is>
          <t>DENIED</t>
        </is>
      </c>
      <c r="J7" s="19" t="inlineStr">
        <is>
          <t>No</t>
        </is>
      </c>
      <c r="K7" s="19" t="inlineStr">
        <is>
          <t>No</t>
        </is>
      </c>
      <c r="L7" s="19" t="inlineStr"/>
      <c r="M7" s="19" t="inlineStr">
        <is>
          <t>RX680611</t>
        </is>
      </c>
      <c r="N7" s="19" t="inlineStr">
        <is>
          <t>E</t>
        </is>
      </c>
      <c r="O7" s="20" t="inlineStr">
        <is>
          <t>No linkage found in awarded contract file</t>
        </is>
      </c>
      <c r="P7" s="19" t="inlineStr"/>
      <c r="Q7" s="19" t="inlineStr"/>
      <c r="R7" s="31" t="inlineStr"/>
      <c r="S7" s="19" t="inlineStr"/>
      <c r="T7" s="19" t="inlineStr">
        <is>
          <t>No</t>
        </is>
      </c>
      <c r="U7" s="19" t="inlineStr">
        <is>
          <t>No</t>
        </is>
      </c>
      <c r="V7" s="19" t="inlineStr">
        <is>
          <t>No</t>
        </is>
      </c>
      <c r="W7" s="19" t="inlineStr">
        <is>
          <t>No</t>
        </is>
      </c>
    </row>
    <row r="8">
      <c r="A8" s="19" t="n">
        <v>739577</v>
      </c>
      <c r="B8" s="31" t="n">
        <v>46210</v>
      </c>
      <c r="C8" s="19" t="inlineStr">
        <is>
          <t>CHICAGO FIRE DEPARTMENT</t>
        </is>
      </c>
      <c r="D8" s="19" t="inlineStr">
        <is>
          <t>TELEFLEX LLC</t>
        </is>
      </c>
      <c r="E8" s="20" t="inlineStr">
        <is>
          <t>QUOTE#0578146</t>
        </is>
      </c>
      <c r="F8" s="21" t="n">
        <v>1735</v>
      </c>
      <c r="G8" s="19" t="inlineStr">
        <is>
          <t>1. Pending New Contract - Original Contract Expired. New Contract in Process</t>
        </is>
      </c>
      <c r="H8" s="19" t="inlineStr">
        <is>
          <t>A. Specification Development Phase</t>
        </is>
      </c>
      <c r="I8" s="19" t="inlineStr">
        <is>
          <t>DENIED</t>
        </is>
      </c>
      <c r="J8" s="19" t="inlineStr">
        <is>
          <t>Yes</t>
        </is>
      </c>
      <c r="K8" s="19" t="inlineStr">
        <is>
          <t>No</t>
        </is>
      </c>
      <c r="L8" s="19" t="inlineStr"/>
      <c r="M8" s="19" t="inlineStr">
        <is>
          <t>RX695898</t>
        </is>
      </c>
      <c r="N8" s="19" t="inlineStr">
        <is>
          <t>E</t>
        </is>
      </c>
      <c r="O8" s="20" t="inlineStr">
        <is>
          <t>No linkage found in awarded contract file</t>
        </is>
      </c>
      <c r="P8" s="19" t="inlineStr"/>
      <c r="Q8" s="19" t="inlineStr"/>
      <c r="R8" s="31" t="inlineStr"/>
      <c r="S8" s="19" t="inlineStr"/>
      <c r="T8" s="19" t="inlineStr">
        <is>
          <t>No</t>
        </is>
      </c>
      <c r="U8" s="19" t="inlineStr">
        <is>
          <t>No</t>
        </is>
      </c>
      <c r="V8" s="19" t="inlineStr">
        <is>
          <t>No</t>
        </is>
      </c>
      <c r="W8" s="19" t="inlineStr">
        <is>
          <t>Yes</t>
        </is>
      </c>
    </row>
    <row r="9">
      <c r="A9" s="19" t="n">
        <v>707111</v>
      </c>
      <c r="B9" s="31" t="n">
        <v>46027</v>
      </c>
      <c r="C9" s="19" t="inlineStr">
        <is>
          <t>DEPARTMENT OF BUILDINGS</t>
        </is>
      </c>
      <c r="D9" s="19" t="inlineStr">
        <is>
          <t>A &amp; D PROPERTY SERVICES, INC.</t>
        </is>
      </c>
      <c r="E9" s="20" t="inlineStr">
        <is>
          <t>BOARD UP SERVICES</t>
        </is>
      </c>
      <c r="F9" s="21" t="n">
        <v>38700</v>
      </c>
      <c r="G9" s="19" t="inlineStr">
        <is>
          <t>1. Pending New Contract - Original Contract Expired. New Contract in Process</t>
        </is>
      </c>
      <c r="H9" s="19" t="inlineStr">
        <is>
          <t>A. Specification Development Phase</t>
        </is>
      </c>
      <c r="I9" s="19" t="inlineStr">
        <is>
          <t>APPROVED</t>
        </is>
      </c>
      <c r="J9" s="19" t="inlineStr">
        <is>
          <t>Yes</t>
        </is>
      </c>
      <c r="K9" s="19" t="inlineStr">
        <is>
          <t>No</t>
        </is>
      </c>
      <c r="L9" s="19" t="n">
        <v>32040</v>
      </c>
      <c r="M9" s="19" t="inlineStr">
        <is>
          <t>RX659422</t>
        </is>
      </c>
      <c r="N9" s="19" t="inlineStr">
        <is>
          <t>E</t>
        </is>
      </c>
      <c r="O9" s="20" t="inlineStr">
        <is>
          <t>No linkage found in awarded contract file</t>
        </is>
      </c>
      <c r="P9" s="19" t="inlineStr"/>
      <c r="Q9" s="19" t="inlineStr"/>
      <c r="R9" s="31" t="inlineStr"/>
      <c r="S9" s="19" t="inlineStr"/>
      <c r="T9" s="19" t="inlineStr">
        <is>
          <t>No</t>
        </is>
      </c>
      <c r="U9" s="19" t="inlineStr">
        <is>
          <t>No</t>
        </is>
      </c>
      <c r="V9" s="19" t="inlineStr">
        <is>
          <t>No</t>
        </is>
      </c>
      <c r="W9" s="19" t="inlineStr">
        <is>
          <t>Yes</t>
        </is>
      </c>
    </row>
    <row r="10">
      <c r="A10" s="19" t="n">
        <v>718143</v>
      </c>
      <c r="B10" s="31" t="n">
        <v>46087</v>
      </c>
      <c r="C10" s="19" t="inlineStr">
        <is>
          <t>DEPARTMENT OF BUILDINGS</t>
        </is>
      </c>
      <c r="D10" s="19" t="inlineStr">
        <is>
          <t>A &amp; D PROPERTY SERVICES, INC.</t>
        </is>
      </c>
      <c r="E10" s="20" t="inlineStr">
        <is>
          <t>BOARD UP SERVICES</t>
        </is>
      </c>
      <c r="F10" s="21" t="n">
        <v>43650</v>
      </c>
      <c r="G10" s="19" t="inlineStr">
        <is>
          <t>1. Pending New Contract - Original Contract Expired. New Contract in Process</t>
        </is>
      </c>
      <c r="H10" s="19" t="inlineStr">
        <is>
          <t>B. City Law Review</t>
        </is>
      </c>
      <c r="I10" s="19" t="inlineStr">
        <is>
          <t>APPROVED</t>
        </is>
      </c>
      <c r="J10" s="19" t="inlineStr">
        <is>
          <t>Yes</t>
        </is>
      </c>
      <c r="K10" s="19" t="inlineStr">
        <is>
          <t>No</t>
        </is>
      </c>
      <c r="L10" s="19" t="n">
        <v>32040</v>
      </c>
      <c r="M10" s="19" t="inlineStr">
        <is>
          <t>RX659422</t>
        </is>
      </c>
      <c r="N10" s="19" t="inlineStr">
        <is>
          <t>E</t>
        </is>
      </c>
      <c r="O10" s="20" t="inlineStr">
        <is>
          <t>No linkage found in awarded contract file</t>
        </is>
      </c>
      <c r="P10" s="19" t="inlineStr"/>
      <c r="Q10" s="19" t="inlineStr"/>
      <c r="R10" s="31" t="inlineStr"/>
      <c r="S10" s="19" t="inlineStr"/>
      <c r="T10" s="19" t="inlineStr">
        <is>
          <t>No</t>
        </is>
      </c>
      <c r="U10" s="19" t="inlineStr">
        <is>
          <t>No</t>
        </is>
      </c>
      <c r="V10" s="19" t="inlineStr">
        <is>
          <t>No</t>
        </is>
      </c>
      <c r="W10" s="19" t="inlineStr">
        <is>
          <t>Yes</t>
        </is>
      </c>
    </row>
    <row r="11">
      <c r="A11" s="19" t="n">
        <v>716026</v>
      </c>
      <c r="B11" s="31" t="n">
        <v>46078</v>
      </c>
      <c r="C11" s="19" t="inlineStr">
        <is>
          <t>OFFICE OF THE MAYOR</t>
        </is>
      </c>
      <c r="D11" s="19" t="inlineStr">
        <is>
          <t>Berlin Rosen, LLC</t>
        </is>
      </c>
      <c r="E11" s="20" t="inlineStr">
        <is>
          <t>Berlin Rosen Public relations Nov/Dec 2025</t>
        </is>
      </c>
      <c r="F11" s="21" t="n">
        <v>9975.75</v>
      </c>
      <c r="G11" s="19" t="inlineStr">
        <is>
          <t>3. One Time Purchase</t>
        </is>
      </c>
      <c r="H11" s="19" t="inlineStr">
        <is>
          <t>H. One Time Purchase</t>
        </is>
      </c>
      <c r="I11" s="19" t="inlineStr">
        <is>
          <t>APPROVED</t>
        </is>
      </c>
      <c r="J11" s="19" t="inlineStr">
        <is>
          <t>No</t>
        </is>
      </c>
      <c r="K11" s="19" t="inlineStr">
        <is>
          <t>No</t>
        </is>
      </c>
      <c r="L11" s="19" t="inlineStr">
        <is>
          <t>none</t>
        </is>
      </c>
      <c r="M11" s="19" t="inlineStr">
        <is>
          <t>VDBERLIN ROSEN</t>
        </is>
      </c>
      <c r="N11" s="19" t="inlineStr">
        <is>
          <t>E</t>
        </is>
      </c>
      <c r="O11" s="20" t="inlineStr">
        <is>
          <t>No linkage found in awarded contract file</t>
        </is>
      </c>
      <c r="P11" s="19" t="inlineStr"/>
      <c r="Q11" s="19" t="inlineStr"/>
      <c r="R11" s="31" t="inlineStr"/>
      <c r="S11" s="19" t="inlineStr"/>
      <c r="T11" s="19" t="inlineStr">
        <is>
          <t>No</t>
        </is>
      </c>
      <c r="U11" s="19" t="inlineStr">
        <is>
          <t>No</t>
        </is>
      </c>
      <c r="V11" s="19" t="inlineStr">
        <is>
          <t>No</t>
        </is>
      </c>
      <c r="W11" s="19" t="inlineStr">
        <is>
          <t>No</t>
        </is>
      </c>
    </row>
    <row r="12">
      <c r="A12" s="19" t="n">
        <v>745000</v>
      </c>
      <c r="B12" s="31" t="n">
        <v>46245</v>
      </c>
      <c r="C12" s="19" t="inlineStr">
        <is>
          <t>DEPARTMENT OF FLEET AND FACILITY MANAGEMENT</t>
        </is>
      </c>
      <c r="D12" s="19" t="inlineStr">
        <is>
          <t>P. R. STREICH &amp; SONS</t>
        </is>
      </c>
      <c r="E12" s="20" t="inlineStr">
        <is>
          <t>KB/MM/ INV#56736/ $693.39</t>
        </is>
      </c>
      <c r="F12" s="21" t="n">
        <v>693.39</v>
      </c>
      <c r="G12" s="19" t="inlineStr">
        <is>
          <t>1. Pending New Contract - Original Contract Expired. New Contract in Process</t>
        </is>
      </c>
      <c r="H12" s="19" t="inlineStr">
        <is>
          <t>B. City Law Review</t>
        </is>
      </c>
      <c r="I12" s="19" t="inlineStr">
        <is>
          <t>APPROVED</t>
        </is>
      </c>
      <c r="J12" s="19" t="inlineStr">
        <is>
          <t>Yes</t>
        </is>
      </c>
      <c r="K12" s="19" t="inlineStr">
        <is>
          <t>No</t>
        </is>
      </c>
      <c r="L12" s="19" t="inlineStr">
        <is>
          <t>TBD</t>
        </is>
      </c>
      <c r="M12" s="19" t="inlineStr">
        <is>
          <t>RX679901</t>
        </is>
      </c>
      <c r="N12" s="19" t="inlineStr">
        <is>
          <t>E</t>
        </is>
      </c>
      <c r="O12" s="20" t="inlineStr">
        <is>
          <t>No linkage found in awarded contract file</t>
        </is>
      </c>
      <c r="P12" s="19" t="inlineStr"/>
      <c r="Q12" s="19" t="inlineStr"/>
      <c r="R12" s="31" t="inlineStr"/>
      <c r="S12" s="19" t="inlineStr"/>
      <c r="T12" s="19" t="inlineStr">
        <is>
          <t>No</t>
        </is>
      </c>
      <c r="U12" s="19" t="inlineStr">
        <is>
          <t>No</t>
        </is>
      </c>
      <c r="V12" s="19" t="inlineStr">
        <is>
          <t>No</t>
        </is>
      </c>
      <c r="W12" s="19" t="inlineStr">
        <is>
          <t>Yes</t>
        </is>
      </c>
    </row>
    <row r="13">
      <c r="A13" s="19" t="n">
        <v>708310</v>
      </c>
      <c r="B13" s="31" t="n">
        <v>46035</v>
      </c>
      <c r="C13" s="19" t="inlineStr">
        <is>
          <t>CHICAGO DEPARTMENT OF PUBLIC HEALTH</t>
        </is>
      </c>
      <c r="D13" s="19" t="inlineStr">
        <is>
          <t>CIS Support, Inc.</t>
        </is>
      </c>
      <c r="E13" s="20" t="inlineStr">
        <is>
          <t>CIS Maintenance/Support-December</t>
        </is>
      </c>
      <c r="F13" s="21" t="n">
        <v>5500</v>
      </c>
      <c r="G13" s="19" t="inlineStr">
        <is>
          <t>1. Pending New Contract - Original Contract Expired. New Contract in Process</t>
        </is>
      </c>
      <c r="H13" s="19" t="inlineStr">
        <is>
          <t>H. One Time Purchase</t>
        </is>
      </c>
      <c r="I13" s="19" t="inlineStr">
        <is>
          <t>APPROVED</t>
        </is>
      </c>
      <c r="J13" s="19" t="inlineStr">
        <is>
          <t>Yes</t>
        </is>
      </c>
      <c r="K13" s="19" t="inlineStr">
        <is>
          <t>No</t>
        </is>
      </c>
      <c r="L13" s="19" t="inlineStr"/>
      <c r="M13" s="19" t="inlineStr">
        <is>
          <t>VDCIS SUPPORT</t>
        </is>
      </c>
      <c r="N13" s="19" t="inlineStr">
        <is>
          <t>E</t>
        </is>
      </c>
      <c r="O13" s="20" t="inlineStr">
        <is>
          <t>No linkage found in awarded contract file</t>
        </is>
      </c>
      <c r="P13" s="19" t="inlineStr"/>
      <c r="Q13" s="19" t="inlineStr"/>
      <c r="R13" s="31" t="inlineStr"/>
      <c r="S13" s="19" t="inlineStr"/>
      <c r="T13" s="19" t="inlineStr">
        <is>
          <t>No</t>
        </is>
      </c>
      <c r="U13" s="19" t="inlineStr">
        <is>
          <t>No</t>
        </is>
      </c>
      <c r="V13" s="19" t="inlineStr">
        <is>
          <t>No</t>
        </is>
      </c>
      <c r="W13" s="19" t="inlineStr">
        <is>
          <t>Yes</t>
        </is>
      </c>
    </row>
    <row r="14">
      <c r="A14" s="19" t="n">
        <v>707519</v>
      </c>
      <c r="B14" s="31" t="n">
        <v>46031</v>
      </c>
      <c r="C14" s="19" t="inlineStr">
        <is>
          <t>DEPARTMENT OF WATER MANAGEMENT</t>
        </is>
      </c>
      <c r="D14" s="19" t="inlineStr">
        <is>
          <t>USALCO</t>
        </is>
      </c>
      <c r="E14" s="20" t="inlineStr">
        <is>
          <t>Liquid Aluminum Sulfate (Iron Free)</t>
        </is>
      </c>
      <c r="F14" s="21" t="n">
        <v>663663.84</v>
      </c>
      <c r="G14" s="19" t="inlineStr">
        <is>
          <t>1. Pending New Contract - Original Contract Expired. New Contract in Process</t>
        </is>
      </c>
      <c r="H14" s="19" t="inlineStr">
        <is>
          <t>A. Specification Development Phase</t>
        </is>
      </c>
      <c r="I14" s="19" t="inlineStr">
        <is>
          <t>APPROVED</t>
        </is>
      </c>
      <c r="J14" s="19" t="inlineStr">
        <is>
          <t>Yes</t>
        </is>
      </c>
      <c r="K14" s="19" t="inlineStr">
        <is>
          <t>No</t>
        </is>
      </c>
      <c r="L14" s="19" t="inlineStr"/>
      <c r="M14" s="19" t="inlineStr">
        <is>
          <t>RX661351</t>
        </is>
      </c>
      <c r="N14" s="19" t="inlineStr">
        <is>
          <t>E</t>
        </is>
      </c>
      <c r="O14" s="20" t="inlineStr">
        <is>
          <t>No linkage found in awarded contract file</t>
        </is>
      </c>
      <c r="P14" s="19" t="inlineStr"/>
      <c r="Q14" s="19" t="inlineStr"/>
      <c r="R14" s="31" t="inlineStr"/>
      <c r="S14" s="19" t="inlineStr"/>
      <c r="T14" s="19" t="inlineStr">
        <is>
          <t>No</t>
        </is>
      </c>
      <c r="U14" s="19" t="inlineStr">
        <is>
          <t>No</t>
        </is>
      </c>
      <c r="V14" s="19" t="inlineStr">
        <is>
          <t>No</t>
        </is>
      </c>
      <c r="W14" s="19" t="inlineStr">
        <is>
          <t>Yes</t>
        </is>
      </c>
    </row>
    <row r="15">
      <c r="A15" s="19" t="n">
        <v>737495</v>
      </c>
      <c r="B15" s="31" t="n">
        <v>46197</v>
      </c>
      <c r="C15" s="19" t="inlineStr">
        <is>
          <t>CHICAGO FIRE DEPARTMENT</t>
        </is>
      </c>
      <c r="D15" s="19" t="inlineStr">
        <is>
          <t>INDUSTRIAL FENCE INC.</t>
        </is>
      </c>
      <c r="E15" s="20" t="inlineStr">
        <is>
          <t>FFIB Industrial Fence $578,668.60</t>
        </is>
      </c>
      <c r="F15" s="21" t="n">
        <v>578668.6</v>
      </c>
      <c r="G15" s="19" t="inlineStr">
        <is>
          <t>1. Pending New Contract - Original Contract Expired. New Contract in Process</t>
        </is>
      </c>
      <c r="H15" s="19" t="inlineStr">
        <is>
          <t>B. City Law Review</t>
        </is>
      </c>
      <c r="I15" s="19" t="inlineStr">
        <is>
          <t>DENIED</t>
        </is>
      </c>
      <c r="J15" s="19" t="inlineStr">
        <is>
          <t>No</t>
        </is>
      </c>
      <c r="K15" s="19" t="inlineStr">
        <is>
          <t>No</t>
        </is>
      </c>
      <c r="L15" s="19" t="inlineStr"/>
      <c r="M15" s="19" t="inlineStr">
        <is>
          <t>RX596048</t>
        </is>
      </c>
      <c r="N15" s="19" t="inlineStr">
        <is>
          <t>E</t>
        </is>
      </c>
      <c r="O15" s="20" t="inlineStr">
        <is>
          <t>No linkage found in awarded contract file</t>
        </is>
      </c>
      <c r="P15" s="19" t="inlineStr"/>
      <c r="Q15" s="19" t="inlineStr"/>
      <c r="R15" s="31" t="inlineStr"/>
      <c r="S15" s="19" t="inlineStr"/>
      <c r="T15" s="19" t="inlineStr">
        <is>
          <t>No</t>
        </is>
      </c>
      <c r="U15" s="19" t="inlineStr">
        <is>
          <t>No</t>
        </is>
      </c>
      <c r="V15" s="19" t="inlineStr">
        <is>
          <t>No</t>
        </is>
      </c>
      <c r="W15" s="19" t="inlineStr">
        <is>
          <t>No</t>
        </is>
      </c>
    </row>
    <row r="16">
      <c r="A16" s="19" t="n">
        <v>740144</v>
      </c>
      <c r="B16" s="31" t="n">
        <v>46220</v>
      </c>
      <c r="C16" s="19" t="inlineStr">
        <is>
          <t>DEPARTMENT OF FAMILY AND SUPPORT SERVICES</t>
        </is>
      </c>
      <c r="D16" s="19" t="inlineStr">
        <is>
          <t>DIRECT FITNESS SOLUTIONS, LLC</t>
        </is>
      </c>
      <c r="E16" s="20" t="inlineStr">
        <is>
          <t>Aps 82_Fitness Equipment Maintenance Project</t>
        </is>
      </c>
      <c r="F16" s="21" t="n">
        <v>0</v>
      </c>
      <c r="G16" s="19" t="inlineStr">
        <is>
          <t>1. Pending New Contract - Original Contract Expired. New Contract in Process</t>
        </is>
      </c>
      <c r="H16" s="19" t="inlineStr">
        <is>
          <t>A. Specification Development Phase</t>
        </is>
      </c>
      <c r="I16" s="19" t="inlineStr">
        <is>
          <t>APPROVED</t>
        </is>
      </c>
      <c r="J16" s="19" t="inlineStr">
        <is>
          <t>No</t>
        </is>
      </c>
      <c r="K16" s="19" t="inlineStr">
        <is>
          <t>No</t>
        </is>
      </c>
      <c r="L16" s="19" t="inlineStr"/>
      <c r="M16" s="19" t="inlineStr">
        <is>
          <t>RX609670</t>
        </is>
      </c>
      <c r="N16" s="19" t="inlineStr">
        <is>
          <t>E</t>
        </is>
      </c>
      <c r="O16" s="20" t="inlineStr">
        <is>
          <t>No linkage found in awarded contract file</t>
        </is>
      </c>
      <c r="P16" s="19" t="inlineStr"/>
      <c r="Q16" s="19" t="inlineStr"/>
      <c r="R16" s="31" t="inlineStr"/>
      <c r="S16" s="19" t="inlineStr"/>
      <c r="T16" s="19" t="inlineStr">
        <is>
          <t>No</t>
        </is>
      </c>
      <c r="U16" s="19" t="inlineStr">
        <is>
          <t>No</t>
        </is>
      </c>
      <c r="V16" s="19" t="inlineStr">
        <is>
          <t>No</t>
        </is>
      </c>
      <c r="W16" s="19" t="inlineStr">
        <is>
          <t>No</t>
        </is>
      </c>
    </row>
    <row r="17">
      <c r="A17" s="19" t="n">
        <v>709818</v>
      </c>
      <c r="B17" s="31" t="n">
        <v>46044</v>
      </c>
      <c r="C17" s="19" t="inlineStr">
        <is>
          <t>DEPARTMENT OF FLEET AND FACILITY MANAGEMENT</t>
        </is>
      </c>
      <c r="D17" s="19" t="inlineStr">
        <is>
          <t>RUNNION EQUIPMENT CO</t>
        </is>
      </c>
      <c r="E17" s="20" t="inlineStr">
        <is>
          <t>We currently do not have a contract in place due to City Utility (PO # 17836) no longer performing this work for us. These aerial bucket trucks are used by CDOT (street light and traffic signal installation and repair), Streets &amp; Sanitation</t>
        </is>
      </c>
      <c r="F17" s="21" t="n">
        <v>6681</v>
      </c>
      <c r="G17" s="19" t="inlineStr">
        <is>
          <t>1. Pending New Contract - Original Contract Expired. New Contract in Process</t>
        </is>
      </c>
      <c r="H17" s="19" t="inlineStr">
        <is>
          <t>B. City Law Review</t>
        </is>
      </c>
      <c r="I17" s="19" t="inlineStr">
        <is>
          <t>APPROVED</t>
        </is>
      </c>
      <c r="J17" s="19" t="inlineStr">
        <is>
          <t>Yes</t>
        </is>
      </c>
      <c r="K17" s="19" t="inlineStr">
        <is>
          <t>No</t>
        </is>
      </c>
      <c r="L17" s="19" t="inlineStr"/>
      <c r="M17" s="19" t="inlineStr">
        <is>
          <t>RX590958</t>
        </is>
      </c>
      <c r="N17" s="19" t="inlineStr">
        <is>
          <t>E</t>
        </is>
      </c>
      <c r="O17" s="20" t="inlineStr">
        <is>
          <t>No linkage found in awarded contract file</t>
        </is>
      </c>
      <c r="P17" s="19" t="inlineStr"/>
      <c r="Q17" s="19" t="inlineStr"/>
      <c r="R17" s="31" t="inlineStr"/>
      <c r="S17" s="19" t="inlineStr"/>
      <c r="T17" s="19" t="inlineStr">
        <is>
          <t>No</t>
        </is>
      </c>
      <c r="U17" s="19" t="inlineStr">
        <is>
          <t>No</t>
        </is>
      </c>
      <c r="V17" s="19" t="inlineStr">
        <is>
          <t>No</t>
        </is>
      </c>
      <c r="W17" s="19" t="inlineStr">
        <is>
          <t>Yes</t>
        </is>
      </c>
    </row>
    <row r="18">
      <c r="A18" s="19" t="n">
        <v>728640</v>
      </c>
      <c r="B18" s="31" t="n">
        <v>46146</v>
      </c>
      <c r="C18" s="19" t="inlineStr">
        <is>
          <t>DEPARTMENT OF FLEET AND FACILITY MANAGEMENT</t>
        </is>
      </c>
      <c r="D18" s="19" t="inlineStr">
        <is>
          <t>RUNNION EQUIPMENT CO</t>
        </is>
      </c>
      <c r="E18" s="20" t="inlineStr">
        <is>
          <t>We currently do not have a contract in place due to City Utility (PO # 17836) no longer performing this work for us. These aerial bucket trucks are used by CDOT (street light and traffic signal installation and repair), Streets &amp; Sanitation</t>
        </is>
      </c>
      <c r="F18" s="21" t="n">
        <v>9754.65</v>
      </c>
      <c r="G18" s="19" t="inlineStr">
        <is>
          <t>1. Pending New Contract - Original Contract Expired. New Contract in Process</t>
        </is>
      </c>
      <c r="H18" s="19" t="inlineStr">
        <is>
          <t>B. City Law Review</t>
        </is>
      </c>
      <c r="I18" s="19" t="inlineStr">
        <is>
          <t>APPROVED</t>
        </is>
      </c>
      <c r="J18" s="19" t="inlineStr">
        <is>
          <t>Yes</t>
        </is>
      </c>
      <c r="K18" s="19" t="inlineStr">
        <is>
          <t>No</t>
        </is>
      </c>
      <c r="L18" s="19" t="inlineStr"/>
      <c r="M18" s="19" t="inlineStr">
        <is>
          <t>RX590958</t>
        </is>
      </c>
      <c r="N18" s="19" t="inlineStr">
        <is>
          <t>E</t>
        </is>
      </c>
      <c r="O18" s="20" t="inlineStr">
        <is>
          <t>No linkage found in awarded contract file</t>
        </is>
      </c>
      <c r="P18" s="19" t="inlineStr"/>
      <c r="Q18" s="19" t="inlineStr"/>
      <c r="R18" s="31" t="inlineStr"/>
      <c r="S18" s="19" t="inlineStr"/>
      <c r="T18" s="19" t="inlineStr">
        <is>
          <t>No</t>
        </is>
      </c>
      <c r="U18" s="19" t="inlineStr">
        <is>
          <t>No</t>
        </is>
      </c>
      <c r="V18" s="19" t="inlineStr">
        <is>
          <t>No</t>
        </is>
      </c>
      <c r="W18" s="19" t="inlineStr">
        <is>
          <t>Yes</t>
        </is>
      </c>
    </row>
    <row r="19">
      <c r="A19" s="19" t="n">
        <v>738075</v>
      </c>
      <c r="B19" s="31" t="n">
        <v>46203</v>
      </c>
      <c r="C19" s="19" t="inlineStr">
        <is>
          <t>DEPARTMENT OF FLEET AND FACILITY MANAGEMENT</t>
        </is>
      </c>
      <c r="D19" s="19" t="inlineStr">
        <is>
          <t>BELLA BAGNO INC</t>
        </is>
      </c>
      <c r="E19" s="20" t="inlineStr">
        <is>
          <t>Bella Bagno Inc is removing and installing carpet at the Bucktown/Wicker Park Branch Library. The labor services are outside of the contract prevue, and should be paid under Exhibit B. CDA has a new solicitation for purchase and installatio</t>
        </is>
      </c>
      <c r="F19" s="21" t="n">
        <v>147666.41</v>
      </c>
      <c r="G19" s="19" t="inlineStr">
        <is>
          <t>1. Pending New Contract - Original Contract Expired. New Contract in Process</t>
        </is>
      </c>
      <c r="H19" s="19" t="inlineStr">
        <is>
          <t>D. Solicitation Response Under Evaluation</t>
        </is>
      </c>
      <c r="I19" s="19" t="inlineStr">
        <is>
          <t>APPROVED</t>
        </is>
      </c>
      <c r="J19" s="19" t="inlineStr">
        <is>
          <t>Yes</t>
        </is>
      </c>
      <c r="K19" s="19" t="inlineStr">
        <is>
          <t>Yes</t>
        </is>
      </c>
      <c r="L19" s="19" t="inlineStr"/>
      <c r="M19" s="19" t="inlineStr">
        <is>
          <t>RX628102</t>
        </is>
      </c>
      <c r="N19" s="19" t="inlineStr">
        <is>
          <t>E</t>
        </is>
      </c>
      <c r="O19" s="20" t="inlineStr">
        <is>
          <t>No linkage found in awarded contract file</t>
        </is>
      </c>
      <c r="P19" s="19" t="inlineStr"/>
      <c r="Q19" s="19" t="inlineStr"/>
      <c r="R19" s="31" t="inlineStr"/>
      <c r="S19" s="19" t="inlineStr"/>
      <c r="T19" s="19" t="inlineStr">
        <is>
          <t>No</t>
        </is>
      </c>
      <c r="U19" s="19" t="inlineStr">
        <is>
          <t>No</t>
        </is>
      </c>
      <c r="V19" s="19" t="inlineStr">
        <is>
          <t>No</t>
        </is>
      </c>
      <c r="W19" s="19" t="inlineStr">
        <is>
          <t>Yes</t>
        </is>
      </c>
    </row>
    <row r="20">
      <c r="A20" s="19" t="n">
        <v>728179</v>
      </c>
      <c r="B20" s="31" t="n">
        <v>46142</v>
      </c>
      <c r="C20" s="19" t="inlineStr">
        <is>
          <t>DEPARTMENT OF FLEET AND FACILITY MANAGEMENT</t>
        </is>
      </c>
      <c r="D20" s="19" t="inlineStr">
        <is>
          <t>P. R. STREICH &amp; SONS</t>
        </is>
      </c>
      <c r="E20" s="20" t="inlineStr">
        <is>
          <t>There is curently no active contract with a vendor to repair and certify the shop floor equipment. Our previous vendor, Standard Industrial (PO 24519) did not want to extend their contract. Due to this 2FM found a local vendor PR Streich to</t>
        </is>
      </c>
      <c r="F20" s="21" t="n">
        <v>925</v>
      </c>
      <c r="G20" s="19" t="inlineStr">
        <is>
          <t>1. Pending New Contract - Original Contract Expired. New Contract in Process</t>
        </is>
      </c>
      <c r="H20" s="19" t="inlineStr">
        <is>
          <t>B. City Law Review</t>
        </is>
      </c>
      <c r="I20" s="19" t="inlineStr">
        <is>
          <t>APPROVED</t>
        </is>
      </c>
      <c r="J20" s="19" t="inlineStr">
        <is>
          <t>Yes</t>
        </is>
      </c>
      <c r="K20" s="19" t="inlineStr">
        <is>
          <t>No</t>
        </is>
      </c>
      <c r="L20" s="19" t="inlineStr">
        <is>
          <t>TBD</t>
        </is>
      </c>
      <c r="M20" s="19" t="inlineStr">
        <is>
          <t>RX679901</t>
        </is>
      </c>
      <c r="N20" s="19" t="inlineStr">
        <is>
          <t>E</t>
        </is>
      </c>
      <c r="O20" s="20" t="inlineStr">
        <is>
          <t>No linkage found in awarded contract file</t>
        </is>
      </c>
      <c r="P20" s="19" t="inlineStr"/>
      <c r="Q20" s="19" t="inlineStr"/>
      <c r="R20" s="31" t="inlineStr"/>
      <c r="S20" s="19" t="inlineStr"/>
      <c r="T20" s="19" t="inlineStr">
        <is>
          <t>No</t>
        </is>
      </c>
      <c r="U20" s="19" t="inlineStr">
        <is>
          <t>No</t>
        </is>
      </c>
      <c r="V20" s="19" t="inlineStr">
        <is>
          <t>No</t>
        </is>
      </c>
      <c r="W20" s="19" t="inlineStr">
        <is>
          <t>Yes</t>
        </is>
      </c>
    </row>
    <row r="21">
      <c r="A21" s="19" t="n">
        <v>721747</v>
      </c>
      <c r="B21" s="31" t="n">
        <v>46107</v>
      </c>
      <c r="C21" s="19" t="inlineStr">
        <is>
          <t>DEPARTMENT OF FLEET AND FACILITY MANAGEMENT</t>
        </is>
      </c>
      <c r="D21" s="19" t="inlineStr">
        <is>
          <t>Service Sanitation Inc.</t>
        </is>
      </c>
      <c r="E21" s="20" t="inlineStr">
        <is>
          <t>DCASE submitted a new contract request for RENTAL AND MAINTENANCE OF PORTABLE CHEMICAL TOILETS, SINKS, WASTE WATER BARRELS, PORTABLE WATERLESS HAND SANITIZER DISPENSERS, FRESH WATER TRAILER AND PORTABLE SHOWERS to DPS under RX 613315, Spec</t>
        </is>
      </c>
      <c r="F21" s="21" t="n">
        <v>247.5</v>
      </c>
      <c r="G21" s="19" t="inlineStr">
        <is>
          <t>1. Pending New Contract - Original Contract Expired. New Contract in Process</t>
        </is>
      </c>
      <c r="H21" s="19" t="inlineStr">
        <is>
          <t>D. Solicitation Response Under Evaluation</t>
        </is>
      </c>
      <c r="I21" s="19" t="inlineStr">
        <is>
          <t>APPROVED</t>
        </is>
      </c>
      <c r="J21" s="19" t="inlineStr">
        <is>
          <t>Yes</t>
        </is>
      </c>
      <c r="K21" s="19" t="inlineStr">
        <is>
          <t>No</t>
        </is>
      </c>
      <c r="L21" s="19" t="inlineStr"/>
      <c r="M21" s="19" t="inlineStr">
        <is>
          <t>RX700212</t>
        </is>
      </c>
      <c r="N21" s="19" t="inlineStr">
        <is>
          <t>B</t>
        </is>
      </c>
      <c r="O21" s="20" t="inlineStr">
        <is>
          <t>Vendor match + commodity overlap (similarity 0.64)</t>
        </is>
      </c>
      <c r="P21" s="19" t="inlineStr">
        <is>
          <t>381051</t>
        </is>
      </c>
      <c r="Q21" s="19" t="inlineStr">
        <is>
          <t>Service Sanitation Inc.</t>
        </is>
      </c>
      <c r="R21" s="31" t="n">
        <v>46203</v>
      </c>
      <c r="S21" s="19" t="inlineStr">
        <is>
          <t>BID</t>
        </is>
      </c>
      <c r="T21" s="19" t="inlineStr">
        <is>
          <t>Yes</t>
        </is>
      </c>
      <c r="U21" s="19" t="inlineStr">
        <is>
          <t>Yes</t>
        </is>
      </c>
      <c r="V21" s="19" t="inlineStr">
        <is>
          <t>No</t>
        </is>
      </c>
      <c r="W21" s="19" t="inlineStr">
        <is>
          <t>Yes</t>
        </is>
      </c>
    </row>
    <row r="22">
      <c r="A22" s="19" t="n">
        <v>737334</v>
      </c>
      <c r="B22" s="31" t="n">
        <v>46197</v>
      </c>
      <c r="C22" s="19" t="inlineStr">
        <is>
          <t>DEPARTMENT OF FLEET AND FACILITY MANAGEMENT</t>
        </is>
      </c>
      <c r="D22" s="19" t="inlineStr">
        <is>
          <t>ABM INDUSTRY GROUPS, LLC</t>
        </is>
      </c>
      <c r="E22" s="20" t="inlineStr">
        <is>
          <t>There was an active contract for Comprehensive Custodial Services for Zones 1, 2, and 4, which expire on February 13, 2026. 2FM previously submitted a modification request for a time extension and VLI under RX 680673; however, the request</t>
        </is>
      </c>
      <c r="F22" s="21" t="n">
        <v>266459.09</v>
      </c>
      <c r="G22" s="19" t="inlineStr">
        <is>
          <t>1. Pending New Contract - Original Contract Expired. New Contract in Process</t>
        </is>
      </c>
      <c r="H22" s="19" t="inlineStr">
        <is>
          <t>A. Specification Development Phase</t>
        </is>
      </c>
      <c r="I22" s="19" t="inlineStr">
        <is>
          <t>APPROVED</t>
        </is>
      </c>
      <c r="J22" s="19" t="inlineStr">
        <is>
          <t>Yes</t>
        </is>
      </c>
      <c r="K22" s="19" t="inlineStr">
        <is>
          <t>No</t>
        </is>
      </c>
      <c r="L22" s="19" t="inlineStr"/>
      <c r="M22" s="19" t="inlineStr">
        <is>
          <t>RX624331</t>
        </is>
      </c>
      <c r="N22" s="19" t="inlineStr">
        <is>
          <t>E</t>
        </is>
      </c>
      <c r="O22" s="20" t="inlineStr">
        <is>
          <t>No linkage found in awarded contract file</t>
        </is>
      </c>
      <c r="P22" s="19" t="inlineStr"/>
      <c r="Q22" s="19" t="inlineStr"/>
      <c r="R22" s="31" t="inlineStr"/>
      <c r="S22" s="19" t="inlineStr"/>
      <c r="T22" s="19" t="inlineStr">
        <is>
          <t>No</t>
        </is>
      </c>
      <c r="U22" s="19" t="inlineStr">
        <is>
          <t>No</t>
        </is>
      </c>
      <c r="V22" s="19" t="inlineStr">
        <is>
          <t>No</t>
        </is>
      </c>
      <c r="W22" s="19" t="inlineStr">
        <is>
          <t>Yes</t>
        </is>
      </c>
    </row>
    <row r="23">
      <c r="A23" s="19" t="n">
        <v>740290</v>
      </c>
      <c r="B23" s="31" t="n">
        <v>46217</v>
      </c>
      <c r="C23" s="19" t="inlineStr">
        <is>
          <t>DEPARTMENT OF FLEET AND FACILITY MANAGEMENT</t>
        </is>
      </c>
      <c r="D23" s="19" t="inlineStr">
        <is>
          <t>ABM INDUSTRY GROUPS, LLC</t>
        </is>
      </c>
      <c r="E23" s="20" t="inlineStr">
        <is>
          <t>There was an active contract for Comprehensive Custodial Services for Zones 1, 2, and 4, which expire on February 13, 2026. 2FM previously submitted a modification request for a time extension and VLI under RX 680673; however, the reques</t>
        </is>
      </c>
      <c r="F23" s="21" t="n">
        <v>984580.8100000001</v>
      </c>
      <c r="G23" s="19" t="inlineStr">
        <is>
          <t>1. Pending New Contract - Original Contract Expired. New Contract in Process</t>
        </is>
      </c>
      <c r="H23" s="19" t="inlineStr">
        <is>
          <t>A. Specification Development Phase</t>
        </is>
      </c>
      <c r="I23" s="19" t="inlineStr">
        <is>
          <t>APPROVED</t>
        </is>
      </c>
      <c r="J23" s="19" t="inlineStr">
        <is>
          <t>Yes</t>
        </is>
      </c>
      <c r="K23" s="19" t="inlineStr">
        <is>
          <t>No</t>
        </is>
      </c>
      <c r="L23" s="19" t="inlineStr"/>
      <c r="M23" s="19" t="inlineStr">
        <is>
          <t>RX624331</t>
        </is>
      </c>
      <c r="N23" s="19" t="inlineStr">
        <is>
          <t>E</t>
        </is>
      </c>
      <c r="O23" s="20" t="inlineStr">
        <is>
          <t>No linkage found in awarded contract file</t>
        </is>
      </c>
      <c r="P23" s="19" t="inlineStr"/>
      <c r="Q23" s="19" t="inlineStr"/>
      <c r="R23" s="31" t="inlineStr"/>
      <c r="S23" s="19" t="inlineStr"/>
      <c r="T23" s="19" t="inlineStr">
        <is>
          <t>No</t>
        </is>
      </c>
      <c r="U23" s="19" t="inlineStr">
        <is>
          <t>No</t>
        </is>
      </c>
      <c r="V23" s="19" t="inlineStr">
        <is>
          <t>No</t>
        </is>
      </c>
      <c r="W23" s="19" t="inlineStr">
        <is>
          <t>Yes</t>
        </is>
      </c>
    </row>
    <row r="24">
      <c r="A24" s="19" t="n">
        <v>737251</v>
      </c>
      <c r="B24" s="31" t="n">
        <v>46197</v>
      </c>
      <c r="C24" s="19" t="inlineStr">
        <is>
          <t>DEPARTMENT OF FLEET AND FACILITY MANAGEMENT</t>
        </is>
      </c>
      <c r="D24" s="19" t="inlineStr">
        <is>
          <t>KING TRANSMISSION CO INC</t>
        </is>
      </c>
      <c r="E24" s="20" t="inlineStr">
        <is>
          <t>King Transmission had a contract (PO 34964) with the City that expired 4/19/24. 2FM submitted a TE Request that was rejected by DPS due to King's inability to comply with M/WBE requirements. King requested a waiver twice and was rejected bo</t>
        </is>
      </c>
      <c r="F24" s="21" t="n">
        <v>8590</v>
      </c>
      <c r="G24" s="19" t="inlineStr">
        <is>
          <t>1. Pending New Contract - Original Contract Expired. New Contract in Process</t>
        </is>
      </c>
      <c r="H24" s="19" t="inlineStr">
        <is>
          <t>B. City Law Review</t>
        </is>
      </c>
      <c r="I24" s="19" t="inlineStr">
        <is>
          <t>APPROVED</t>
        </is>
      </c>
      <c r="J24" s="19" t="inlineStr">
        <is>
          <t>Yes</t>
        </is>
      </c>
      <c r="K24" s="19" t="inlineStr">
        <is>
          <t>No</t>
        </is>
      </c>
      <c r="L24" s="19" t="inlineStr"/>
      <c r="M24" s="19" t="inlineStr">
        <is>
          <t>RX590958</t>
        </is>
      </c>
      <c r="N24" s="19" t="inlineStr">
        <is>
          <t>E</t>
        </is>
      </c>
      <c r="O24" s="20" t="inlineStr">
        <is>
          <t>No linkage found in awarded contract file</t>
        </is>
      </c>
      <c r="P24" s="19" t="inlineStr"/>
      <c r="Q24" s="19" t="inlineStr"/>
      <c r="R24" s="31" t="inlineStr"/>
      <c r="S24" s="19" t="inlineStr"/>
      <c r="T24" s="19" t="inlineStr">
        <is>
          <t>No</t>
        </is>
      </c>
      <c r="U24" s="19" t="inlineStr">
        <is>
          <t>No</t>
        </is>
      </c>
      <c r="V24" s="19" t="inlineStr">
        <is>
          <t>No</t>
        </is>
      </c>
      <c r="W24" s="19" t="inlineStr">
        <is>
          <t>Yes</t>
        </is>
      </c>
    </row>
    <row r="25">
      <c r="A25" s="19" t="n">
        <v>722363</v>
      </c>
      <c r="B25" s="31" t="n">
        <v>46119</v>
      </c>
      <c r="C25" s="19" t="inlineStr">
        <is>
          <t>DEPARTMENT OF FLEET AND FACILITY MANAGEMENT</t>
        </is>
      </c>
      <c r="D25" s="19" t="inlineStr">
        <is>
          <t>ARLINGTON GLASS &amp; MIRROR</t>
        </is>
      </c>
      <c r="E25" s="20" t="inlineStr">
        <is>
          <t>Arlington did not want to proceed with the contract  extension unless they had their price increases. CDA put forth 3 price increases for 5% each. DPS would not approve all 3 price increases at 5%. They would give only 1  but at approx. 3%,</t>
        </is>
      </c>
      <c r="F25" s="21" t="n">
        <v>3058.86</v>
      </c>
      <c r="G25" s="19" t="inlineStr">
        <is>
          <t>1. Pending New Contract - Original Contract Expired. New Contract in Process</t>
        </is>
      </c>
      <c r="H25" s="19" t="inlineStr">
        <is>
          <t>A. Specification Development Phase</t>
        </is>
      </c>
      <c r="I25" s="19" t="inlineStr">
        <is>
          <t>APPROVED</t>
        </is>
      </c>
      <c r="J25" s="19" t="inlineStr">
        <is>
          <t>Yes</t>
        </is>
      </c>
      <c r="K25" s="19" t="inlineStr">
        <is>
          <t>No</t>
        </is>
      </c>
      <c r="L25" s="19" t="inlineStr"/>
      <c r="M25" s="19" t="inlineStr">
        <is>
          <t>RX647383</t>
        </is>
      </c>
      <c r="N25" s="19" t="inlineStr">
        <is>
          <t>E</t>
        </is>
      </c>
      <c r="O25" s="20" t="inlineStr">
        <is>
          <t>No linkage found in awarded contract file</t>
        </is>
      </c>
      <c r="P25" s="19" t="inlineStr"/>
      <c r="Q25" s="19" t="inlineStr"/>
      <c r="R25" s="31" t="inlineStr"/>
      <c r="S25" s="19" t="inlineStr"/>
      <c r="T25" s="19" t="inlineStr">
        <is>
          <t>No</t>
        </is>
      </c>
      <c r="U25" s="19" t="inlineStr">
        <is>
          <t>No</t>
        </is>
      </c>
      <c r="V25" s="19" t="inlineStr">
        <is>
          <t>No</t>
        </is>
      </c>
      <c r="W25" s="19" t="inlineStr">
        <is>
          <t>Yes</t>
        </is>
      </c>
    </row>
    <row r="26">
      <c r="A26" s="19" t="n">
        <v>744391</v>
      </c>
      <c r="B26" s="31" t="n">
        <v>46241</v>
      </c>
      <c r="C26" s="19" t="inlineStr">
        <is>
          <t>DEPARTMENT OF FLEET AND FACILITY MANAGEMENT</t>
        </is>
      </c>
      <c r="D26" s="19" t="inlineStr">
        <is>
          <t>MURNANE PAPER COMPANY</t>
        </is>
      </c>
      <c r="E26" s="20" t="inlineStr">
        <is>
          <t>There is currently no active contract for this type of paper. The items being purchased are not part of the current Murnane contract.  The Department of Fleet and Facility Management (2FM) previously advertised Specification 1288508, RX 579</t>
        </is>
      </c>
      <c r="F26" s="21" t="n">
        <v>8624</v>
      </c>
      <c r="G26" s="19" t="inlineStr">
        <is>
          <t>1. Pending New Contract - Original Contract Expired. New Contract in Process</t>
        </is>
      </c>
      <c r="H26" s="19" t="inlineStr">
        <is>
          <t>A. Specification Development Phase</t>
        </is>
      </c>
      <c r="I26" s="19" t="inlineStr">
        <is>
          <t>APPROVED</t>
        </is>
      </c>
      <c r="J26" s="19" t="inlineStr">
        <is>
          <t>No</t>
        </is>
      </c>
      <c r="K26" s="19" t="inlineStr">
        <is>
          <t>No</t>
        </is>
      </c>
      <c r="L26" s="19" t="inlineStr"/>
      <c r="M26" s="19" t="inlineStr">
        <is>
          <t>RX600854</t>
        </is>
      </c>
      <c r="N26" s="19" t="inlineStr">
        <is>
          <t>E</t>
        </is>
      </c>
      <c r="O26" s="20" t="inlineStr">
        <is>
          <t>No linkage found in awarded contract file</t>
        </is>
      </c>
      <c r="P26" s="19" t="inlineStr"/>
      <c r="Q26" s="19" t="inlineStr"/>
      <c r="R26" s="31" t="inlineStr"/>
      <c r="S26" s="19" t="inlineStr"/>
      <c r="T26" s="19" t="inlineStr">
        <is>
          <t>No</t>
        </is>
      </c>
      <c r="U26" s="19" t="inlineStr">
        <is>
          <t>No</t>
        </is>
      </c>
      <c r="V26" s="19" t="inlineStr">
        <is>
          <t>No</t>
        </is>
      </c>
      <c r="W26" s="19" t="inlineStr">
        <is>
          <t>No</t>
        </is>
      </c>
    </row>
    <row r="27">
      <c r="A27" s="19" t="n">
        <v>721742</v>
      </c>
      <c r="B27" s="31" t="n">
        <v>46107</v>
      </c>
      <c r="C27" s="19" t="inlineStr">
        <is>
          <t>DEPARTMENT OF FLEET AND FACILITY MANAGEMENT</t>
        </is>
      </c>
      <c r="D27" s="19" t="inlineStr">
        <is>
          <t>MURNANE PAPER COMPANY</t>
        </is>
      </c>
      <c r="E27" s="20" t="inlineStr">
        <is>
          <t>There is currently no active contract for this type of paper. The items being purchased are not part of the current Murnane contract.  The Department of Fleet and Facility Management (2FM) previously advertised Specification 1288508, RX 579</t>
        </is>
      </c>
      <c r="F27" s="21" t="n">
        <v>19759</v>
      </c>
      <c r="G27" s="19" t="inlineStr">
        <is>
          <t>1. Pending New Contract - Original Contract Expired. New Contract in Process</t>
        </is>
      </c>
      <c r="H27" s="19" t="inlineStr">
        <is>
          <t>A. Specification Development Phase</t>
        </is>
      </c>
      <c r="I27" s="19" t="inlineStr">
        <is>
          <t>APPROVED</t>
        </is>
      </c>
      <c r="J27" s="19" t="inlineStr">
        <is>
          <t>No</t>
        </is>
      </c>
      <c r="K27" s="19" t="inlineStr">
        <is>
          <t>No</t>
        </is>
      </c>
      <c r="L27" s="19" t="inlineStr"/>
      <c r="M27" s="19" t="inlineStr">
        <is>
          <t>RX600854</t>
        </is>
      </c>
      <c r="N27" s="19" t="inlineStr">
        <is>
          <t>E</t>
        </is>
      </c>
      <c r="O27" s="20" t="inlineStr">
        <is>
          <t>No linkage found in awarded contract file</t>
        </is>
      </c>
      <c r="P27" s="19" t="inlineStr"/>
      <c r="Q27" s="19" t="inlineStr"/>
      <c r="R27" s="31" t="inlineStr"/>
      <c r="S27" s="19" t="inlineStr"/>
      <c r="T27" s="19" t="inlineStr">
        <is>
          <t>No</t>
        </is>
      </c>
      <c r="U27" s="19" t="inlineStr">
        <is>
          <t>No</t>
        </is>
      </c>
      <c r="V27" s="19" t="inlineStr">
        <is>
          <t>No</t>
        </is>
      </c>
      <c r="W27" s="19" t="inlineStr">
        <is>
          <t>No</t>
        </is>
      </c>
    </row>
    <row r="28">
      <c r="A28" s="19" t="n">
        <v>709915</v>
      </c>
      <c r="B28" s="31" t="n">
        <v>46048</v>
      </c>
      <c r="C28" s="19" t="inlineStr">
        <is>
          <t>DEPARTMENT OF FLEET AND FACILITY MANAGEMENT</t>
        </is>
      </c>
      <c r="D28" s="19" t="inlineStr">
        <is>
          <t>ABC Humane Wildlife Control &amp; Prevention, Inc.</t>
        </is>
      </c>
      <c r="E28" s="20" t="inlineStr">
        <is>
          <t>There is currently no active contract for Integrated Pest Management. The vendor chose not to extend beyond the May 29, 2025 expiration date. 2FM submitted a replacement specification under RX 579113, Spec #1291433, which was advertised on</t>
        </is>
      </c>
      <c r="F28" s="21" t="n">
        <v>61600.38</v>
      </c>
      <c r="G28" s="19" t="inlineStr">
        <is>
          <t>1. Pending New Contract - Original Contract Expired. New Contract in Process</t>
        </is>
      </c>
      <c r="H28" s="19" t="inlineStr">
        <is>
          <t>A. Specification Development Phase</t>
        </is>
      </c>
      <c r="I28" s="19" t="inlineStr">
        <is>
          <t>APPROVED</t>
        </is>
      </c>
      <c r="J28" s="19" t="inlineStr">
        <is>
          <t>No</t>
        </is>
      </c>
      <c r="K28" s="19" t="inlineStr">
        <is>
          <t>No</t>
        </is>
      </c>
      <c r="L28" s="19" t="inlineStr"/>
      <c r="M28" s="19" t="inlineStr">
        <is>
          <t>RX682957</t>
        </is>
      </c>
      <c r="N28" s="19" t="inlineStr">
        <is>
          <t>E</t>
        </is>
      </c>
      <c r="O28" s="20" t="inlineStr">
        <is>
          <t>No linkage found in awarded contract file</t>
        </is>
      </c>
      <c r="P28" s="19" t="inlineStr"/>
      <c r="Q28" s="19" t="inlineStr"/>
      <c r="R28" s="31" t="inlineStr"/>
      <c r="S28" s="19" t="inlineStr"/>
      <c r="T28" s="19" t="inlineStr">
        <is>
          <t>No</t>
        </is>
      </c>
      <c r="U28" s="19" t="inlineStr">
        <is>
          <t>No</t>
        </is>
      </c>
      <c r="V28" s="19" t="inlineStr">
        <is>
          <t>No</t>
        </is>
      </c>
      <c r="W28" s="19" t="inlineStr">
        <is>
          <t>No</t>
        </is>
      </c>
    </row>
    <row r="29">
      <c r="A29" s="19" t="n">
        <v>728515</v>
      </c>
      <c r="B29" s="31" t="n">
        <v>46146</v>
      </c>
      <c r="C29" s="19" t="inlineStr">
        <is>
          <t>DEPARTMENT OF FLEET AND FACILITY MANAGEMENT</t>
        </is>
      </c>
      <c r="D29" s="19" t="inlineStr">
        <is>
          <t>Helicopters, Inc.</t>
        </is>
      </c>
      <c r="E29" s="20" t="inlineStr">
        <is>
          <t>2FM currently holds two helicopter maintenance contracts; however, the Bell 407 and 429 aircraft are not covered under either agreement due to a lack of certified personnel. To address this gap, 2FM submitted an Emergency Contract request f</t>
        </is>
      </c>
      <c r="F29" s="21" t="n">
        <v>89734.75999999999</v>
      </c>
      <c r="G29" s="19" t="inlineStr">
        <is>
          <t>1. Pending New Contract - Original Contract Expired. New Contract in Process</t>
        </is>
      </c>
      <c r="H29" s="19" t="inlineStr">
        <is>
          <t>B. City Law Review</t>
        </is>
      </c>
      <c r="I29" s="19" t="inlineStr">
        <is>
          <t>APPROVED</t>
        </is>
      </c>
      <c r="J29" s="19" t="inlineStr">
        <is>
          <t>Yes</t>
        </is>
      </c>
      <c r="K29" s="19" t="inlineStr">
        <is>
          <t>No</t>
        </is>
      </c>
      <c r="L29" s="19" t="inlineStr">
        <is>
          <t>TBD</t>
        </is>
      </c>
      <c r="M29" s="19" t="inlineStr">
        <is>
          <t>RX690671</t>
        </is>
      </c>
      <c r="N29" s="19" t="inlineStr">
        <is>
          <t>A</t>
        </is>
      </c>
      <c r="O29" s="20" t="inlineStr">
        <is>
          <t>Requisition ID link: Exhibit B new-contract RX = awarded REQ</t>
        </is>
      </c>
      <c r="P29" s="19" t="inlineStr">
        <is>
          <t>386844</t>
        </is>
      </c>
      <c r="Q29" s="19" t="inlineStr">
        <is>
          <t>Helicopters, Inc.</t>
        </is>
      </c>
      <c r="R29" s="31" t="n">
        <v>46203</v>
      </c>
      <c r="S29" s="19" t="inlineStr">
        <is>
          <t>EMERGENCY</t>
        </is>
      </c>
      <c r="T29" s="19" t="inlineStr">
        <is>
          <t>No</t>
        </is>
      </c>
      <c r="U29" s="19" t="inlineStr">
        <is>
          <t>Yes</t>
        </is>
      </c>
      <c r="V29" s="19" t="inlineStr">
        <is>
          <t>No</t>
        </is>
      </c>
      <c r="W29" s="19" t="inlineStr">
        <is>
          <t>Yes</t>
        </is>
      </c>
    </row>
    <row r="30">
      <c r="A30" s="19" t="n">
        <v>722397</v>
      </c>
      <c r="B30" s="31" t="n">
        <v>46126</v>
      </c>
      <c r="C30" s="19" t="inlineStr">
        <is>
          <t>DEPARTMENT OF FLEET AND FACILITY MANAGEMENT</t>
        </is>
      </c>
      <c r="D30" s="19" t="inlineStr">
        <is>
          <t>DAYSPRING PROFESSIONAL JANITOR</t>
        </is>
      </c>
      <c r="E30" s="20" t="inlineStr">
        <is>
          <t>There was an active contract for Comprehensive Custodial Services for Zones 1, 2, and 4, which expire on February 13, 2026.  2FM previously submitted a modification request for a time extension and vendor limit increase (VLI) under RX 680</t>
        </is>
      </c>
      <c r="F30" s="21" t="n">
        <v>407334.07</v>
      </c>
      <c r="G30" s="19" t="inlineStr">
        <is>
          <t>1. Pending New Contract - Original Contract Expired. New Contract in Process</t>
        </is>
      </c>
      <c r="H30" s="19" t="inlineStr">
        <is>
          <t>A. Specification Development Phase</t>
        </is>
      </c>
      <c r="I30" s="19" t="inlineStr">
        <is>
          <t>APPROVED</t>
        </is>
      </c>
      <c r="J30" s="19" t="inlineStr">
        <is>
          <t>Yes</t>
        </is>
      </c>
      <c r="K30" s="19" t="inlineStr">
        <is>
          <t>No</t>
        </is>
      </c>
      <c r="L30" s="19" t="inlineStr"/>
      <c r="M30" s="19" t="inlineStr">
        <is>
          <t>RX624331</t>
        </is>
      </c>
      <c r="N30" s="19" t="inlineStr">
        <is>
          <t>E</t>
        </is>
      </c>
      <c r="O30" s="20" t="inlineStr">
        <is>
          <t>No linkage found in awarded contract file</t>
        </is>
      </c>
      <c r="P30" s="19" t="inlineStr"/>
      <c r="Q30" s="19" t="inlineStr"/>
      <c r="R30" s="31" t="inlineStr"/>
      <c r="S30" s="19" t="inlineStr"/>
      <c r="T30" s="19" t="inlineStr">
        <is>
          <t>No</t>
        </is>
      </c>
      <c r="U30" s="19" t="inlineStr">
        <is>
          <t>No</t>
        </is>
      </c>
      <c r="V30" s="19" t="inlineStr">
        <is>
          <t>No</t>
        </is>
      </c>
      <c r="W30" s="19" t="inlineStr">
        <is>
          <t>Yes</t>
        </is>
      </c>
    </row>
    <row r="31">
      <c r="A31" s="19" t="n">
        <v>725748</v>
      </c>
      <c r="B31" s="31" t="n">
        <v>46136</v>
      </c>
      <c r="C31" s="19" t="inlineStr">
        <is>
          <t>DEPARTMENT OF FLEET AND FACILITY MANAGEMENT</t>
        </is>
      </c>
      <c r="D31" s="19" t="inlineStr">
        <is>
          <t>TOTAL FACILITY MAINTENANCE</t>
        </is>
      </c>
      <c r="E31" s="20" t="inlineStr">
        <is>
          <t>There was an active contract for Comprehensive Custodial Services which expired on February 15, 2026.  2FM previously submitted a modification request for a time extension and vendor limit increase (VLI) under RX 680779; however, the requ</t>
        </is>
      </c>
      <c r="F31" s="21" t="n">
        <v>161282.16</v>
      </c>
      <c r="G31" s="19" t="inlineStr">
        <is>
          <t>1. Pending New Contract - Original Contract Expired. New Contract in Process</t>
        </is>
      </c>
      <c r="H31" s="19" t="inlineStr">
        <is>
          <t>B. City Law Review</t>
        </is>
      </c>
      <c r="I31" s="19" t="inlineStr">
        <is>
          <t>APPROVED</t>
        </is>
      </c>
      <c r="J31" s="19" t="inlineStr">
        <is>
          <t>Yes</t>
        </is>
      </c>
      <c r="K31" s="19" t="inlineStr">
        <is>
          <t>No</t>
        </is>
      </c>
      <c r="L31" s="19" t="inlineStr"/>
      <c r="M31" s="19" t="inlineStr">
        <is>
          <t>RX624331</t>
        </is>
      </c>
      <c r="N31" s="19" t="inlineStr">
        <is>
          <t>E</t>
        </is>
      </c>
      <c r="O31" s="20" t="inlineStr">
        <is>
          <t>No linkage found in awarded contract file</t>
        </is>
      </c>
      <c r="P31" s="19" t="inlineStr"/>
      <c r="Q31" s="19" t="inlineStr"/>
      <c r="R31" s="31" t="inlineStr"/>
      <c r="S31" s="19" t="inlineStr"/>
      <c r="T31" s="19" t="inlineStr">
        <is>
          <t>No</t>
        </is>
      </c>
      <c r="U31" s="19" t="inlineStr">
        <is>
          <t>No</t>
        </is>
      </c>
      <c r="V31" s="19" t="inlineStr">
        <is>
          <t>No</t>
        </is>
      </c>
      <c r="W31" s="19" t="inlineStr">
        <is>
          <t>Yes</t>
        </is>
      </c>
    </row>
    <row r="32">
      <c r="A32" s="19" t="n">
        <v>724629</v>
      </c>
      <c r="B32" s="31" t="n">
        <v>46133</v>
      </c>
      <c r="C32" s="19" t="inlineStr">
        <is>
          <t>DEPARTMENT OF FLEET AND FACILITY MANAGEMENT</t>
        </is>
      </c>
      <c r="D32" s="19" t="inlineStr">
        <is>
          <t>WISS, JANNEY, ELSTNER, &amp; ASSOCIATES, INC.</t>
        </is>
      </c>
      <c r="E32" s="20" t="inlineStr">
        <is>
          <t>Current Spec 127930's Scope of services for this Exhibit B is outside of the current contract. Additional language was added to the new Specification for A/E, Spec#132104 Req.#607835, to address this scope gap in the future. Spec#132104 Req</t>
        </is>
      </c>
      <c r="F32" s="21" t="n">
        <v>8210.66</v>
      </c>
      <c r="G32" s="19" t="inlineStr">
        <is>
          <t>1. Pending New Contract - Original Contract Expired. New Contract in Process</t>
        </is>
      </c>
      <c r="H32" s="19" t="inlineStr">
        <is>
          <t>H. One Time Purchase</t>
        </is>
      </c>
      <c r="I32" s="19" t="inlineStr">
        <is>
          <t>APPROVED</t>
        </is>
      </c>
      <c r="J32" s="19" t="inlineStr">
        <is>
          <t>Yes</t>
        </is>
      </c>
      <c r="K32" s="19" t="inlineStr">
        <is>
          <t>No</t>
        </is>
      </c>
      <c r="L32" s="19" t="n">
        <v>203199</v>
      </c>
      <c r="M32" s="19" t="inlineStr">
        <is>
          <t>RX607835</t>
        </is>
      </c>
      <c r="N32" s="19" t="inlineStr">
        <is>
          <t>E</t>
        </is>
      </c>
      <c r="O32" s="20" t="inlineStr">
        <is>
          <t>No linkage found in awarded contract file</t>
        </is>
      </c>
      <c r="P32" s="19" t="inlineStr"/>
      <c r="Q32" s="19" t="inlineStr"/>
      <c r="R32" s="31" t="inlineStr"/>
      <c r="S32" s="19" t="inlineStr"/>
      <c r="T32" s="19" t="inlineStr">
        <is>
          <t>No</t>
        </is>
      </c>
      <c r="U32" s="19" t="inlineStr">
        <is>
          <t>No</t>
        </is>
      </c>
      <c r="V32" s="19" t="inlineStr">
        <is>
          <t>No</t>
        </is>
      </c>
      <c r="W32" s="19" t="inlineStr">
        <is>
          <t>Yes</t>
        </is>
      </c>
    </row>
    <row r="33">
      <c r="A33" s="19" t="n">
        <v>724038</v>
      </c>
      <c r="B33" s="31" t="n">
        <v>46129</v>
      </c>
      <c r="C33" s="19" t="inlineStr">
        <is>
          <t>DEPARTMENT OF WATER MANAGEMENT</t>
        </is>
      </c>
      <c r="D33" s="19" t="inlineStr">
        <is>
          <t>USALCO</t>
        </is>
      </c>
      <c r="E33" s="20" t="inlineStr">
        <is>
          <t>Liquid Aluminum Sulfate (Iron Free)</t>
        </is>
      </c>
      <c r="F33" s="21" t="n">
        <v>708176.6</v>
      </c>
      <c r="G33" s="19" t="inlineStr">
        <is>
          <t>2. Pending Amendment/Modification - Line Item Addition / Vendor Limit Increase / Scope Change</t>
        </is>
      </c>
      <c r="H33" s="19" t="inlineStr">
        <is>
          <t>A. Specification Development Phase</t>
        </is>
      </c>
      <c r="I33" s="19" t="inlineStr">
        <is>
          <t>APPROVED</t>
        </is>
      </c>
      <c r="J33" s="19" t="inlineStr">
        <is>
          <t>Yes</t>
        </is>
      </c>
      <c r="K33" s="19" t="inlineStr">
        <is>
          <t>No</t>
        </is>
      </c>
      <c r="L33" s="19" t="inlineStr"/>
      <c r="M33" s="19" t="inlineStr">
        <is>
          <t>RX661351</t>
        </is>
      </c>
      <c r="N33" s="19" t="inlineStr">
        <is>
          <t>E</t>
        </is>
      </c>
      <c r="O33" s="20" t="inlineStr">
        <is>
          <t>No linkage found in awarded contract file</t>
        </is>
      </c>
      <c r="P33" s="19" t="inlineStr"/>
      <c r="Q33" s="19" t="inlineStr"/>
      <c r="R33" s="31" t="inlineStr"/>
      <c r="S33" s="19" t="inlineStr"/>
      <c r="T33" s="19" t="inlineStr">
        <is>
          <t>No</t>
        </is>
      </c>
      <c r="U33" s="19" t="inlineStr">
        <is>
          <t>No</t>
        </is>
      </c>
      <c r="V33" s="19" t="inlineStr">
        <is>
          <t>No</t>
        </is>
      </c>
      <c r="W33" s="19" t="inlineStr">
        <is>
          <t>Yes</t>
        </is>
      </c>
    </row>
    <row r="34">
      <c r="A34" s="19" t="n">
        <v>711297</v>
      </c>
      <c r="B34" s="31" t="n">
        <v>46052</v>
      </c>
      <c r="C34" s="19" t="inlineStr">
        <is>
          <t>CHICAGO ANIMAL CARE AND CONTROL</t>
        </is>
      </c>
      <c r="D34" s="19" t="inlineStr">
        <is>
          <t>LEGEND &amp; WHITE ANIMAL HEALTH</t>
        </is>
      </c>
      <c r="E34" s="20" t="inlineStr">
        <is>
          <t>ANIMAL CARE AND CONTROL SUPPLIES</t>
        </is>
      </c>
      <c r="F34" s="21" t="n">
        <v>24988.24</v>
      </c>
      <c r="G34" s="19" t="inlineStr">
        <is>
          <t>1. Pending New Contract - Original Contract Expired. New Contract in Process</t>
        </is>
      </c>
      <c r="H34" s="19" t="inlineStr">
        <is>
          <t>A. Specification Development Phase</t>
        </is>
      </c>
      <c r="I34" s="19" t="inlineStr">
        <is>
          <t>APPROVED</t>
        </is>
      </c>
      <c r="J34" s="19" t="inlineStr">
        <is>
          <t>No</t>
        </is>
      </c>
      <c r="K34" s="19" t="inlineStr">
        <is>
          <t>No</t>
        </is>
      </c>
      <c r="L34" s="19" t="inlineStr">
        <is>
          <t>NO</t>
        </is>
      </c>
      <c r="M34" s="19" t="inlineStr">
        <is>
          <t>VDLEGEND WHITE ANIMAL HEALTH</t>
        </is>
      </c>
      <c r="N34" s="19" t="inlineStr">
        <is>
          <t>E</t>
        </is>
      </c>
      <c r="O34" s="20" t="inlineStr">
        <is>
          <t>No linkage found in awarded contract file</t>
        </is>
      </c>
      <c r="P34" s="19" t="inlineStr"/>
      <c r="Q34" s="19" t="inlineStr"/>
      <c r="R34" s="31" t="inlineStr"/>
      <c r="S34" s="19" t="inlineStr"/>
      <c r="T34" s="19" t="inlineStr">
        <is>
          <t>No</t>
        </is>
      </c>
      <c r="U34" s="19" t="inlineStr">
        <is>
          <t>No</t>
        </is>
      </c>
      <c r="V34" s="19" t="inlineStr">
        <is>
          <t>No</t>
        </is>
      </c>
      <c r="W34" s="19" t="inlineStr">
        <is>
          <t>No</t>
        </is>
      </c>
    </row>
    <row r="35">
      <c r="A35" s="19" t="n">
        <v>728242</v>
      </c>
      <c r="B35" s="31" t="n">
        <v>46142</v>
      </c>
      <c r="C35" s="19" t="inlineStr">
        <is>
          <t>CHICAGO DEPARTMENT OF TRANSPORTATION</t>
        </is>
      </c>
      <c r="D35" s="19" t="inlineStr">
        <is>
          <t>BLUETRITON BRANDS INC</t>
        </is>
      </c>
      <c r="E35" s="20" t="inlineStr">
        <is>
          <t>BOTTLED DRINKING WATER, DISTILLED WATER &amp; WATER COOLER RENTALS</t>
        </is>
      </c>
      <c r="F35" s="21" t="n">
        <v>170.86</v>
      </c>
      <c r="G35" s="19" t="inlineStr">
        <is>
          <t>1. Pending New Contract - Original Contract Expired. New Contract in Process</t>
        </is>
      </c>
      <c r="H35" s="19" t="inlineStr">
        <is>
          <t>A. Specification Development Phase</t>
        </is>
      </c>
      <c r="I35" s="19" t="inlineStr">
        <is>
          <t>APPROVED</t>
        </is>
      </c>
      <c r="J35" s="19" t="inlineStr">
        <is>
          <t>No</t>
        </is>
      </c>
      <c r="K35" s="19" t="inlineStr">
        <is>
          <t>No</t>
        </is>
      </c>
      <c r="L35" s="19" t="inlineStr"/>
      <c r="M35" s="19" t="inlineStr">
        <is>
          <t>RX676831</t>
        </is>
      </c>
      <c r="N35" s="19" t="inlineStr">
        <is>
          <t>E</t>
        </is>
      </c>
      <c r="O35" s="20" t="inlineStr">
        <is>
          <t>No linkage found in awarded contract file</t>
        </is>
      </c>
      <c r="P35" s="19" t="inlineStr"/>
      <c r="Q35" s="19" t="inlineStr"/>
      <c r="R35" s="31" t="inlineStr"/>
      <c r="S35" s="19" t="inlineStr"/>
      <c r="T35" s="19" t="inlineStr">
        <is>
          <t>No</t>
        </is>
      </c>
      <c r="U35" s="19" t="inlineStr">
        <is>
          <t>No</t>
        </is>
      </c>
      <c r="V35" s="19" t="inlineStr">
        <is>
          <t>No</t>
        </is>
      </c>
      <c r="W35" s="19" t="inlineStr">
        <is>
          <t>No</t>
        </is>
      </c>
    </row>
    <row r="36">
      <c r="A36" s="19" t="n">
        <v>738378</v>
      </c>
      <c r="B36" s="31" t="n">
        <v>46203</v>
      </c>
      <c r="C36" s="19" t="inlineStr">
        <is>
          <t>DEPARTMENT OF STREETS AND SANITATION</t>
        </is>
      </c>
      <c r="D36" s="19" t="inlineStr">
        <is>
          <t>CASCADE ENGINEERING, INC</t>
        </is>
      </c>
      <c r="E36" s="20" t="inlineStr">
        <is>
          <t>PURCHASE OF BLACK AND BLUE MOBILE CARTS</t>
        </is>
      </c>
      <c r="F36" s="21" t="n">
        <v>580153.6</v>
      </c>
      <c r="G36" s="19" t="inlineStr">
        <is>
          <t>1. Pending New Contract - Original Contract Expired. New Contract in Process</t>
        </is>
      </c>
      <c r="H36" s="19" t="inlineStr">
        <is>
          <t>C. Solicitation or Bidding Phase</t>
        </is>
      </c>
      <c r="I36" s="19" t="inlineStr">
        <is>
          <t>APPROVED</t>
        </is>
      </c>
      <c r="J36" s="19" t="inlineStr">
        <is>
          <t>Yes</t>
        </is>
      </c>
      <c r="K36" s="19" t="inlineStr">
        <is>
          <t>No</t>
        </is>
      </c>
      <c r="L36" s="19" t="n">
        <v>0</v>
      </c>
      <c r="M36" s="19" t="inlineStr">
        <is>
          <t>RX634792</t>
        </is>
      </c>
      <c r="N36" s="19" t="inlineStr">
        <is>
          <t>E</t>
        </is>
      </c>
      <c r="O36" s="20" t="inlineStr">
        <is>
          <t>No linkage found in awarded contract file</t>
        </is>
      </c>
      <c r="P36" s="19" t="inlineStr"/>
      <c r="Q36" s="19" t="inlineStr"/>
      <c r="R36" s="31" t="inlineStr"/>
      <c r="S36" s="19" t="inlineStr"/>
      <c r="T36" s="19" t="inlineStr">
        <is>
          <t>No</t>
        </is>
      </c>
      <c r="U36" s="19" t="inlineStr">
        <is>
          <t>No</t>
        </is>
      </c>
      <c r="V36" s="19" t="inlineStr">
        <is>
          <t>No</t>
        </is>
      </c>
      <c r="W36" s="19" t="inlineStr">
        <is>
          <t>Yes</t>
        </is>
      </c>
    </row>
    <row r="37">
      <c r="A37" s="19" t="n">
        <v>738410</v>
      </c>
      <c r="B37" s="31" t="n">
        <v>46253</v>
      </c>
      <c r="C37" s="19" t="inlineStr">
        <is>
          <t>DEPARTMENT OF STREETS AND SANITATION</t>
        </is>
      </c>
      <c r="D37" s="19" t="inlineStr">
        <is>
          <t>CASCADE ENGINEERING, INC</t>
        </is>
      </c>
      <c r="E37" s="20" t="inlineStr">
        <is>
          <t>PURCHASE OF BLACK AND BLUE MOBILE CARTS</t>
        </is>
      </c>
      <c r="F37" s="21" t="n">
        <v>630234.8</v>
      </c>
      <c r="G37" s="19" t="inlineStr">
        <is>
          <t>1. Pending New Contract - Original Contract Expired. New Contract in Process</t>
        </is>
      </c>
      <c r="H37" s="19" t="inlineStr">
        <is>
          <t>C. Solicitation or Bidding Phase</t>
        </is>
      </c>
      <c r="I37" s="19" t="inlineStr">
        <is>
          <t>DENIED</t>
        </is>
      </c>
      <c r="J37" s="19" t="inlineStr">
        <is>
          <t>Yes</t>
        </is>
      </c>
      <c r="K37" s="19" t="inlineStr">
        <is>
          <t>No</t>
        </is>
      </c>
      <c r="L37" s="19" t="n">
        <v>0</v>
      </c>
      <c r="M37" s="19" t="inlineStr">
        <is>
          <t>RX634792</t>
        </is>
      </c>
      <c r="N37" s="19" t="inlineStr">
        <is>
          <t>E</t>
        </is>
      </c>
      <c r="O37" s="20" t="inlineStr">
        <is>
          <t>No linkage found in awarded contract file</t>
        </is>
      </c>
      <c r="P37" s="19" t="inlineStr"/>
      <c r="Q37" s="19" t="inlineStr"/>
      <c r="R37" s="31" t="inlineStr"/>
      <c r="S37" s="19" t="inlineStr"/>
      <c r="T37" s="19" t="inlineStr">
        <is>
          <t>No</t>
        </is>
      </c>
      <c r="U37" s="19" t="inlineStr">
        <is>
          <t>No</t>
        </is>
      </c>
      <c r="V37" s="19" t="inlineStr">
        <is>
          <t>No</t>
        </is>
      </c>
      <c r="W37" s="19" t="inlineStr">
        <is>
          <t>Yes</t>
        </is>
      </c>
    </row>
    <row r="38">
      <c r="A38" s="19" t="n">
        <v>707043</v>
      </c>
      <c r="B38" s="31" t="n">
        <v>46027</v>
      </c>
      <c r="C38" s="19" t="inlineStr">
        <is>
          <t>CHICAGO DEPARTMENT OF TRANSPORTATION</t>
        </is>
      </c>
      <c r="D38" s="19" t="inlineStr">
        <is>
          <t>A SAFE HAVEN FOUNDATION</t>
        </is>
      </c>
      <c r="E38" s="20" t="inlineStr">
        <is>
          <t>Landscape Maintenance Services</t>
        </is>
      </c>
      <c r="F38" s="21" t="n">
        <v>92090.14</v>
      </c>
      <c r="G38" s="19" t="inlineStr">
        <is>
          <t>1. Pending New Contract - Original Contract Expired. New Contract in Process</t>
        </is>
      </c>
      <c r="H38" s="19" t="inlineStr">
        <is>
          <t>B. City Law Review</t>
        </is>
      </c>
      <c r="I38" s="19" t="inlineStr">
        <is>
          <t>APPROVED</t>
        </is>
      </c>
      <c r="J38" s="19" t="inlineStr">
        <is>
          <t>Yes</t>
        </is>
      </c>
      <c r="K38" s="19" t="inlineStr">
        <is>
          <t>No</t>
        </is>
      </c>
      <c r="L38" s="19" t="inlineStr">
        <is>
          <t>na</t>
        </is>
      </c>
      <c r="M38" s="19" t="inlineStr">
        <is>
          <t>RX596443</t>
        </is>
      </c>
      <c r="N38" s="19" t="inlineStr">
        <is>
          <t>E</t>
        </is>
      </c>
      <c r="O38" s="20" t="inlineStr">
        <is>
          <t>No linkage found in awarded contract file</t>
        </is>
      </c>
      <c r="P38" s="19" t="inlineStr"/>
      <c r="Q38" s="19" t="inlineStr"/>
      <c r="R38" s="31" t="inlineStr"/>
      <c r="S38" s="19" t="inlineStr"/>
      <c r="T38" s="19" t="inlineStr">
        <is>
          <t>No</t>
        </is>
      </c>
      <c r="U38" s="19" t="inlineStr">
        <is>
          <t>No</t>
        </is>
      </c>
      <c r="V38" s="19" t="inlineStr">
        <is>
          <t>No</t>
        </is>
      </c>
      <c r="W38" s="19" t="inlineStr">
        <is>
          <t>Yes</t>
        </is>
      </c>
    </row>
    <row r="39">
      <c r="A39" s="19" t="n">
        <v>741283</v>
      </c>
      <c r="B39" s="31" t="n">
        <v>46220</v>
      </c>
      <c r="C39" s="19" t="inlineStr">
        <is>
          <t>CHICAGO DEPARTMENT OF TRANSPORTATION</t>
        </is>
      </c>
      <c r="D39" s="19" t="inlineStr">
        <is>
          <t>CHRISTY WEBBER LANDSCAPES</t>
        </is>
      </c>
      <c r="E39" s="20" t="inlineStr">
        <is>
          <t>Landscaping Services Regions 2 and 6</t>
        </is>
      </c>
      <c r="F39" s="21" t="n">
        <v>17432.81</v>
      </c>
      <c r="G39" s="19" t="inlineStr">
        <is>
          <t>1. Pending New Contract - Original Contract Expired. New Contract in Process</t>
        </is>
      </c>
      <c r="H39" s="19" t="inlineStr">
        <is>
          <t>B. City Law Review</t>
        </is>
      </c>
      <c r="I39" s="19" t="inlineStr">
        <is>
          <t>APPROVED</t>
        </is>
      </c>
      <c r="J39" s="19" t="inlineStr">
        <is>
          <t>Yes</t>
        </is>
      </c>
      <c r="K39" s="19" t="inlineStr">
        <is>
          <t>No</t>
        </is>
      </c>
      <c r="L39" s="19" t="inlineStr">
        <is>
          <t>na</t>
        </is>
      </c>
      <c r="M39" s="19" t="inlineStr">
        <is>
          <t>RX679137</t>
        </is>
      </c>
      <c r="N39" s="19" t="inlineStr">
        <is>
          <t>E</t>
        </is>
      </c>
      <c r="O39" s="20" t="inlineStr">
        <is>
          <t>No linkage found in awarded contract file</t>
        </is>
      </c>
      <c r="P39" s="19" t="inlineStr"/>
      <c r="Q39" s="19" t="inlineStr"/>
      <c r="R39" s="31" t="inlineStr"/>
      <c r="S39" s="19" t="inlineStr"/>
      <c r="T39" s="19" t="inlineStr">
        <is>
          <t>No</t>
        </is>
      </c>
      <c r="U39" s="19" t="inlineStr">
        <is>
          <t>No</t>
        </is>
      </c>
      <c r="V39" s="19" t="inlineStr">
        <is>
          <t>No</t>
        </is>
      </c>
      <c r="W39" s="19" t="inlineStr">
        <is>
          <t>Yes</t>
        </is>
      </c>
    </row>
    <row r="40">
      <c r="A40" s="19" t="n">
        <v>708412</v>
      </c>
      <c r="B40" s="31" t="n">
        <v>46035</v>
      </c>
      <c r="C40" s="19" t="inlineStr">
        <is>
          <t>CHICAGO DEPARTMENT OF TRANSPORTATION</t>
        </is>
      </c>
      <c r="D40" s="19" t="inlineStr">
        <is>
          <t>LIZZETTE MEDINA &amp; COMPANY</t>
        </is>
      </c>
      <c r="E40" s="20" t="inlineStr">
        <is>
          <t>LANDSCAPE SERVICES, REGIONS III &amp; V</t>
        </is>
      </c>
      <c r="F40" s="21" t="n">
        <v>7331.24</v>
      </c>
      <c r="G40" s="19" t="inlineStr">
        <is>
          <t>1. Pending New Contract - Original Contract Expired. New Contract in Process</t>
        </is>
      </c>
      <c r="H40" s="19" t="inlineStr">
        <is>
          <t>B. City Law Review</t>
        </is>
      </c>
      <c r="I40" s="19" t="inlineStr">
        <is>
          <t>APPROVED</t>
        </is>
      </c>
      <c r="J40" s="19" t="inlineStr">
        <is>
          <t>Yes</t>
        </is>
      </c>
      <c r="K40" s="19" t="inlineStr">
        <is>
          <t>No</t>
        </is>
      </c>
      <c r="L40" s="19" t="inlineStr">
        <is>
          <t>na</t>
        </is>
      </c>
      <c r="M40" s="19" t="inlineStr">
        <is>
          <t>RX652655</t>
        </is>
      </c>
      <c r="N40" s="19" t="inlineStr">
        <is>
          <t>E</t>
        </is>
      </c>
      <c r="O40" s="20" t="inlineStr">
        <is>
          <t>No linkage found in awarded contract file</t>
        </is>
      </c>
      <c r="P40" s="19" t="inlineStr"/>
      <c r="Q40" s="19" t="inlineStr"/>
      <c r="R40" s="31" t="inlineStr"/>
      <c r="S40" s="19" t="inlineStr"/>
      <c r="T40" s="19" t="inlineStr">
        <is>
          <t>No</t>
        </is>
      </c>
      <c r="U40" s="19" t="inlineStr">
        <is>
          <t>No</t>
        </is>
      </c>
      <c r="V40" s="19" t="inlineStr">
        <is>
          <t>No</t>
        </is>
      </c>
      <c r="W40" s="19" t="inlineStr">
        <is>
          <t>Yes</t>
        </is>
      </c>
    </row>
    <row r="41">
      <c r="A41" s="19" t="n">
        <v>717524</v>
      </c>
      <c r="B41" s="31" t="n">
        <v>46085</v>
      </c>
      <c r="C41" s="19" t="inlineStr">
        <is>
          <t>OFFICE OF CITY CLERK</t>
        </is>
      </c>
      <c r="D41" s="19" t="inlineStr">
        <is>
          <t>VERITIV OPERATING COMPANY</t>
        </is>
      </c>
      <c r="E41" s="20" t="inlineStr">
        <is>
          <t>Parchment Paper for City Council Resolutions</t>
        </is>
      </c>
      <c r="F41" s="21" t="n">
        <v>335.35</v>
      </c>
      <c r="G41" s="19" t="inlineStr">
        <is>
          <t>1. Pending New Contract - Original Contract Expired. New Contract in Process</t>
        </is>
      </c>
      <c r="H41" s="19" t="inlineStr">
        <is>
          <t>B. City Law Review</t>
        </is>
      </c>
      <c r="I41" s="19" t="inlineStr">
        <is>
          <t>APPROVED</t>
        </is>
      </c>
      <c r="J41" s="19" t="inlineStr">
        <is>
          <t>No</t>
        </is>
      </c>
      <c r="K41" s="19" t="inlineStr">
        <is>
          <t>No</t>
        </is>
      </c>
      <c r="L41" s="19" t="inlineStr">
        <is>
          <t>no</t>
        </is>
      </c>
      <c r="M41" s="19" t="inlineStr">
        <is>
          <t>RX600854</t>
        </is>
      </c>
      <c r="N41" s="19" t="inlineStr">
        <is>
          <t>E</t>
        </is>
      </c>
      <c r="O41" s="20" t="inlineStr">
        <is>
          <t>No linkage found in awarded contract file</t>
        </is>
      </c>
      <c r="P41" s="19" t="inlineStr"/>
      <c r="Q41" s="19" t="inlineStr"/>
      <c r="R41" s="31" t="inlineStr"/>
      <c r="S41" s="19" t="inlineStr"/>
      <c r="T41" s="19" t="inlineStr">
        <is>
          <t>No</t>
        </is>
      </c>
      <c r="U41" s="19" t="inlineStr">
        <is>
          <t>No</t>
        </is>
      </c>
      <c r="V41" s="19" t="inlineStr">
        <is>
          <t>No</t>
        </is>
      </c>
      <c r="W41" s="19" t="inlineStr">
        <is>
          <t>No</t>
        </is>
      </c>
    </row>
    <row r="42">
      <c r="A42" s="19" t="n">
        <v>740376</v>
      </c>
      <c r="B42" s="31" t="n">
        <v>46217</v>
      </c>
      <c r="C42" s="19" t="inlineStr">
        <is>
          <t>CHICAGO POLICE DEPARTMENT</t>
        </is>
      </c>
      <c r="D42" s="19" t="inlineStr">
        <is>
          <t xml:space="preserve">REPUBLIC SERVICES INC </t>
        </is>
      </c>
      <c r="E42" s="20" t="inlineStr">
        <is>
          <t>Republic Services Inv# 005898442</t>
        </is>
      </c>
      <c r="F42" s="21" t="n">
        <v>4878.77</v>
      </c>
      <c r="G42" s="19" t="inlineStr">
        <is>
          <t>1. Pending New Contract - Original Contract Expired. New Contract in Process</t>
        </is>
      </c>
      <c r="H42" s="19" t="inlineStr">
        <is>
          <t>A. Specification Development Phase</t>
        </is>
      </c>
      <c r="I42" s="19" t="inlineStr">
        <is>
          <t>APPROVED</t>
        </is>
      </c>
      <c r="J42" s="19" t="inlineStr">
        <is>
          <t>Yes</t>
        </is>
      </c>
      <c r="K42" s="19" t="inlineStr">
        <is>
          <t>No</t>
        </is>
      </c>
      <c r="L42" s="19" t="inlineStr"/>
      <c r="M42" s="19" t="inlineStr">
        <is>
          <t>RX669739</t>
        </is>
      </c>
      <c r="N42" s="19" t="inlineStr">
        <is>
          <t>E</t>
        </is>
      </c>
      <c r="O42" s="20" t="inlineStr">
        <is>
          <t>No linkage found in awarded contract file</t>
        </is>
      </c>
      <c r="P42" s="19" t="inlineStr"/>
      <c r="Q42" s="19" t="inlineStr"/>
      <c r="R42" s="31" t="inlineStr"/>
      <c r="S42" s="19" t="inlineStr"/>
      <c r="T42" s="19" t="inlineStr">
        <is>
          <t>No</t>
        </is>
      </c>
      <c r="U42" s="19" t="inlineStr">
        <is>
          <t>No</t>
        </is>
      </c>
      <c r="V42" s="19" t="inlineStr">
        <is>
          <t>No</t>
        </is>
      </c>
      <c r="W42" s="19" t="inlineStr">
        <is>
          <t>Yes</t>
        </is>
      </c>
    </row>
    <row r="43">
      <c r="A43" s="19" t="n">
        <v>711716</v>
      </c>
      <c r="B43" s="31" t="n">
        <v>46052</v>
      </c>
      <c r="C43" s="19" t="inlineStr">
        <is>
          <t>CHICAGO DEPARTMENT OF PUBLIC HEALTH</t>
        </is>
      </c>
      <c r="D43" s="19" t="inlineStr">
        <is>
          <t>INTEGRATED SOLUTIONS CONSULTING CORPORATION</t>
        </is>
      </c>
      <c r="E43" s="20" t="inlineStr">
        <is>
          <t>M02o5nthly Hosting Fee</t>
        </is>
      </c>
      <c r="F43" s="21" t="n">
        <v>833</v>
      </c>
      <c r="G43" s="19" t="inlineStr">
        <is>
          <t>1. Pending New Contract - Original Contract Expired. New Contract in Process</t>
        </is>
      </c>
      <c r="H43" s="19" t="inlineStr">
        <is>
          <t>B. City Law Review</t>
        </is>
      </c>
      <c r="I43" s="19" t="inlineStr">
        <is>
          <t>APPROVED</t>
        </is>
      </c>
      <c r="J43" s="19" t="inlineStr">
        <is>
          <t>Yes</t>
        </is>
      </c>
      <c r="K43" s="19" t="inlineStr">
        <is>
          <t>No</t>
        </is>
      </c>
      <c r="L43" s="19" t="inlineStr"/>
      <c r="M43" s="19" t="inlineStr">
        <is>
          <t>VDINTEGRATED SOLUTIONS CONSULT</t>
        </is>
      </c>
      <c r="N43" s="19" t="inlineStr">
        <is>
          <t>C</t>
        </is>
      </c>
      <c r="O43" s="20" t="inlineStr">
        <is>
          <t>Vendor name match only (similarity 0.00)</t>
        </is>
      </c>
      <c r="P43" s="19" t="inlineStr">
        <is>
          <t>386925</t>
        </is>
      </c>
      <c r="Q43" s="19" t="inlineStr">
        <is>
          <t>INTEGRATED SOLUTIONS CONSULTING CORPORATION</t>
        </is>
      </c>
      <c r="R43" s="31" t="n">
        <v>46220</v>
      </c>
      <c r="S43" s="19" t="inlineStr">
        <is>
          <t>SOLE SOURCE</t>
        </is>
      </c>
      <c r="T43" s="19" t="inlineStr">
        <is>
          <t>No</t>
        </is>
      </c>
      <c r="U43" s="19" t="inlineStr">
        <is>
          <t>No</t>
        </is>
      </c>
      <c r="V43" s="19" t="inlineStr">
        <is>
          <t>No</t>
        </is>
      </c>
      <c r="W43" s="19" t="inlineStr">
        <is>
          <t>Yes</t>
        </is>
      </c>
    </row>
    <row r="44">
      <c r="A44" s="19" t="n">
        <v>711218</v>
      </c>
      <c r="B44" s="31" t="n">
        <v>46052</v>
      </c>
      <c r="C44" s="19" t="inlineStr">
        <is>
          <t>OFFICE OF PUBLIC SAFETY ADMINISTRATION</t>
        </is>
      </c>
      <c r="D44" s="19" t="inlineStr">
        <is>
          <t>RAE PRODUCTS &amp; CHEMICALS CORP.</t>
        </is>
      </c>
      <c r="E44" s="20" t="inlineStr">
        <is>
          <t>RAE Products Inv# 204193</t>
        </is>
      </c>
      <c r="F44" s="21" t="n">
        <v>12233</v>
      </c>
      <c r="G44" s="19" t="inlineStr">
        <is>
          <t>1. Pending New Contract - Original Contract Expired. New Contract in Process</t>
        </is>
      </c>
      <c r="H44" s="19" t="inlineStr">
        <is>
          <t>A. Specification Development Phase</t>
        </is>
      </c>
      <c r="I44" s="19" t="inlineStr">
        <is>
          <t>APPROVED</t>
        </is>
      </c>
      <c r="J44" s="19" t="inlineStr">
        <is>
          <t>No</t>
        </is>
      </c>
      <c r="K44" s="19" t="inlineStr">
        <is>
          <t>No</t>
        </is>
      </c>
      <c r="L44" s="19" t="inlineStr"/>
      <c r="M44" s="19" t="inlineStr">
        <is>
          <t>VDRAE PRODUCTS CHEMICALS</t>
        </is>
      </c>
      <c r="N44" s="19" t="inlineStr">
        <is>
          <t>E</t>
        </is>
      </c>
      <c r="O44" s="20" t="inlineStr">
        <is>
          <t>No linkage found in awarded contract file</t>
        </is>
      </c>
      <c r="P44" s="19" t="inlineStr"/>
      <c r="Q44" s="19" t="inlineStr"/>
      <c r="R44" s="31" t="inlineStr"/>
      <c r="S44" s="19" t="inlineStr"/>
      <c r="T44" s="19" t="inlineStr">
        <is>
          <t>No</t>
        </is>
      </c>
      <c r="U44" s="19" t="inlineStr">
        <is>
          <t>No</t>
        </is>
      </c>
      <c r="V44" s="19" t="inlineStr">
        <is>
          <t>No</t>
        </is>
      </c>
      <c r="W44" s="19" t="inlineStr">
        <is>
          <t>No</t>
        </is>
      </c>
    </row>
    <row r="45">
      <c r="A45" s="19" t="n">
        <v>714540</v>
      </c>
      <c r="B45" s="31" t="n">
        <v>46077</v>
      </c>
      <c r="C45" s="19" t="inlineStr">
        <is>
          <t>CHICAGO DEPARTMENT OF AVIATION</t>
        </is>
      </c>
      <c r="D45" s="19" t="inlineStr">
        <is>
          <t>DTN, LLC</t>
        </is>
      </c>
      <c r="E45" s="20" t="inlineStr">
        <is>
          <t>DECEMBER 2025 INVOICE FOR O'HARE AIRPORT</t>
        </is>
      </c>
      <c r="F45" s="21" t="n">
        <v>3105</v>
      </c>
      <c r="G45" s="19" t="inlineStr">
        <is>
          <t>5. User Dept. Decision - Elects to Purchase Smaller Goods or Services not Covered by Existing Contract</t>
        </is>
      </c>
      <c r="H45" s="19" t="inlineStr">
        <is>
          <t>D. Solicitation Response Under Evaluation</t>
        </is>
      </c>
      <c r="I45" s="19" t="inlineStr">
        <is>
          <t>APPROVED</t>
        </is>
      </c>
      <c r="J45" s="19" t="inlineStr">
        <is>
          <t>Yes</t>
        </is>
      </c>
      <c r="K45" s="19" t="inlineStr">
        <is>
          <t>No</t>
        </is>
      </c>
      <c r="L45" s="19" t="inlineStr"/>
      <c r="M45" s="19" t="inlineStr">
        <is>
          <t>RX656425</t>
        </is>
      </c>
      <c r="N45" s="19" t="inlineStr">
        <is>
          <t>E</t>
        </is>
      </c>
      <c r="O45" s="20" t="inlineStr">
        <is>
          <t>No linkage found in awarded contract file</t>
        </is>
      </c>
      <c r="P45" s="19" t="inlineStr"/>
      <c r="Q45" s="19" t="inlineStr"/>
      <c r="R45" s="31" t="inlineStr"/>
      <c r="S45" s="19" t="inlineStr"/>
      <c r="T45" s="19" t="inlineStr">
        <is>
          <t>No</t>
        </is>
      </c>
      <c r="U45" s="19" t="inlineStr">
        <is>
          <t>No</t>
        </is>
      </c>
      <c r="V45" s="19" t="inlineStr">
        <is>
          <t>No</t>
        </is>
      </c>
      <c r="W45" s="19" t="inlineStr">
        <is>
          <t>Yes</t>
        </is>
      </c>
    </row>
    <row r="46">
      <c r="A46" s="19" t="n">
        <v>720294</v>
      </c>
      <c r="B46" s="31" t="n">
        <v>46104</v>
      </c>
      <c r="C46" s="19" t="inlineStr">
        <is>
          <t>CHICAGO DEPARTMENT OF AVIATION</t>
        </is>
      </c>
      <c r="D46" s="19" t="inlineStr">
        <is>
          <t>DELAWARE CARS/T.R. HARMSEN CORP. J.V.</t>
        </is>
      </c>
      <c r="E46" s="20" t="inlineStr">
        <is>
          <t>Transfered from APRF No. 511278.  Regular and emergency bus services at O'Hare Airport for January through March 2026</t>
        </is>
      </c>
      <c r="F46" s="21" t="n">
        <v>3276126.91</v>
      </c>
      <c r="G46" s="19" t="inlineStr">
        <is>
          <t>2. Pending Amendment/Modification - Line Item Addition / Vendor Limit Increase / Scope Change</t>
        </is>
      </c>
      <c r="H46" s="19" t="inlineStr">
        <is>
          <t>F. SC - (Signature Cycle)</t>
        </is>
      </c>
      <c r="I46" s="19" t="inlineStr">
        <is>
          <t>APPROVED</t>
        </is>
      </c>
      <c r="J46" s="19" t="inlineStr">
        <is>
          <t>Yes</t>
        </is>
      </c>
      <c r="K46" s="19" t="inlineStr">
        <is>
          <t>No</t>
        </is>
      </c>
      <c r="L46" s="19" t="inlineStr"/>
      <c r="M46" s="19" t="inlineStr">
        <is>
          <t>RX686938</t>
        </is>
      </c>
      <c r="N46" s="19" t="inlineStr">
        <is>
          <t>E</t>
        </is>
      </c>
      <c r="O46" s="20" t="inlineStr">
        <is>
          <t>No linkage found in awarded contract file</t>
        </is>
      </c>
      <c r="P46" s="19" t="inlineStr"/>
      <c r="Q46" s="19" t="inlineStr"/>
      <c r="R46" s="31" t="inlineStr"/>
      <c r="S46" s="19" t="inlineStr"/>
      <c r="T46" s="19" t="inlineStr">
        <is>
          <t>No</t>
        </is>
      </c>
      <c r="U46" s="19" t="inlineStr">
        <is>
          <t>No</t>
        </is>
      </c>
      <c r="V46" s="19" t="inlineStr">
        <is>
          <t>No</t>
        </is>
      </c>
      <c r="W46" s="19" t="inlineStr">
        <is>
          <t>Yes</t>
        </is>
      </c>
    </row>
    <row r="47">
      <c r="A47" s="19" t="n">
        <v>711733</v>
      </c>
      <c r="B47" s="31" t="n">
        <v>46052</v>
      </c>
      <c r="C47" s="19" t="inlineStr">
        <is>
          <t>OFFICE OF CITY CLERK</t>
        </is>
      </c>
      <c r="D47" s="19" t="inlineStr">
        <is>
          <t>SEBIS DIRECT</t>
        </is>
      </c>
      <c r="E47" s="20" t="inlineStr">
        <is>
          <t>Office of the City Clerk - Chicago Vehicle Stickers</t>
        </is>
      </c>
      <c r="F47" s="21" t="n">
        <v>32830.95</v>
      </c>
      <c r="G47" s="19" t="inlineStr">
        <is>
          <t>1. Pending New Contract - Original Contract Expired. New Contract in Process</t>
        </is>
      </c>
      <c r="H47" s="19" t="inlineStr">
        <is>
          <t>A. Specification Development Phase</t>
        </is>
      </c>
      <c r="I47" s="19" t="inlineStr"/>
      <c r="J47" s="19" t="inlineStr">
        <is>
          <t>No</t>
        </is>
      </c>
      <c r="K47" s="19" t="inlineStr">
        <is>
          <t>No</t>
        </is>
      </c>
      <c r="L47" s="19" t="inlineStr"/>
      <c r="M47" s="19" t="inlineStr">
        <is>
          <t>VDSEBIS DIRECT</t>
        </is>
      </c>
      <c r="N47" s="19" t="inlineStr">
        <is>
          <t>E</t>
        </is>
      </c>
      <c r="O47" s="20" t="inlineStr">
        <is>
          <t>No linkage found in awarded contract file</t>
        </is>
      </c>
      <c r="P47" s="19" t="inlineStr"/>
      <c r="Q47" s="19" t="inlineStr"/>
      <c r="R47" s="31" t="inlineStr"/>
      <c r="S47" s="19" t="inlineStr"/>
      <c r="T47" s="19" t="inlineStr">
        <is>
          <t>No</t>
        </is>
      </c>
      <c r="U47" s="19" t="inlineStr">
        <is>
          <t>No</t>
        </is>
      </c>
      <c r="V47" s="19" t="inlineStr">
        <is>
          <t>No</t>
        </is>
      </c>
      <c r="W47" s="19" t="inlineStr">
        <is>
          <t>No</t>
        </is>
      </c>
    </row>
    <row r="48">
      <c r="A48" s="19" t="n">
        <v>708186</v>
      </c>
      <c r="B48" s="31" t="n">
        <v>46035</v>
      </c>
      <c r="C48" s="19" t="inlineStr">
        <is>
          <t>OFFICE OF CITY CLERK</t>
        </is>
      </c>
      <c r="D48" s="19" t="inlineStr">
        <is>
          <t>OMICRON TECHNOLOGY SOLUTIONS LLC</t>
        </is>
      </c>
      <c r="E48" s="20" t="inlineStr">
        <is>
          <t>Omicron CityKey Annual Licensing</t>
        </is>
      </c>
      <c r="F48" s="21" t="n">
        <v>158000</v>
      </c>
      <c r="G48" s="19" t="inlineStr">
        <is>
          <t>1. Pending New Contract - Original Contract Expired. New Contract in Process</t>
        </is>
      </c>
      <c r="H48" s="19" t="inlineStr">
        <is>
          <t>B. City Law Review</t>
        </is>
      </c>
      <c r="I48" s="19" t="inlineStr"/>
      <c r="J48" s="19" t="inlineStr">
        <is>
          <t>Yes</t>
        </is>
      </c>
      <c r="K48" s="19" t="inlineStr">
        <is>
          <t>No</t>
        </is>
      </c>
      <c r="L48" s="19" t="inlineStr"/>
      <c r="M48" s="19" t="inlineStr">
        <is>
          <t>RX608757</t>
        </is>
      </c>
      <c r="N48" s="19" t="inlineStr">
        <is>
          <t>E</t>
        </is>
      </c>
      <c r="O48" s="20" t="inlineStr">
        <is>
          <t>No linkage found in awarded contract file</t>
        </is>
      </c>
      <c r="P48" s="19" t="inlineStr"/>
      <c r="Q48" s="19" t="inlineStr"/>
      <c r="R48" s="31" t="inlineStr"/>
      <c r="S48" s="19" t="inlineStr"/>
      <c r="T48" s="19" t="inlineStr">
        <is>
          <t>No</t>
        </is>
      </c>
      <c r="U48" s="19" t="inlineStr">
        <is>
          <t>No</t>
        </is>
      </c>
      <c r="V48" s="19" t="inlineStr">
        <is>
          <t>No</t>
        </is>
      </c>
      <c r="W48" s="19" t="inlineStr">
        <is>
          <t>Yes</t>
        </is>
      </c>
    </row>
    <row r="49">
      <c r="A49" s="19" t="n">
        <v>720847</v>
      </c>
      <c r="B49" s="31" t="n">
        <v>46107</v>
      </c>
      <c r="C49" s="19" t="inlineStr">
        <is>
          <t>OFFICE OF CITY CLERK</t>
        </is>
      </c>
      <c r="D49" s="19" t="inlineStr">
        <is>
          <t>TAYLOR COMMUNICATIONS INC</t>
        </is>
      </c>
      <c r="E49" s="20" t="inlineStr">
        <is>
          <t>City Sticker Design Services</t>
        </is>
      </c>
      <c r="F49" s="21" t="n">
        <v>54</v>
      </c>
      <c r="G49" s="19" t="inlineStr">
        <is>
          <t>1. Pending New Contract - Original Contract Expired. New Contract in Process</t>
        </is>
      </c>
      <c r="H49" s="19" t="inlineStr">
        <is>
          <t>A. Specification Development Phase</t>
        </is>
      </c>
      <c r="I49" s="19" t="inlineStr">
        <is>
          <t>APPROVED</t>
        </is>
      </c>
      <c r="J49" s="19" t="inlineStr">
        <is>
          <t>Yes</t>
        </is>
      </c>
      <c r="K49" s="19" t="inlineStr">
        <is>
          <t>No</t>
        </is>
      </c>
      <c r="L49" s="19" t="inlineStr"/>
      <c r="M49" s="19" t="inlineStr">
        <is>
          <t>RX712876</t>
        </is>
      </c>
      <c r="N49" s="19" t="inlineStr">
        <is>
          <t>E</t>
        </is>
      </c>
      <c r="O49" s="20" t="inlineStr">
        <is>
          <t>No linkage found in awarded contract file</t>
        </is>
      </c>
      <c r="P49" s="19" t="inlineStr"/>
      <c r="Q49" s="19" t="inlineStr"/>
      <c r="R49" s="31" t="inlineStr"/>
      <c r="S49" s="19" t="inlineStr"/>
      <c r="T49" s="19" t="inlineStr">
        <is>
          <t>No</t>
        </is>
      </c>
      <c r="U49" s="19" t="inlineStr">
        <is>
          <t>No</t>
        </is>
      </c>
      <c r="V49" s="19" t="inlineStr">
        <is>
          <t>No</t>
        </is>
      </c>
      <c r="W49" s="19" t="inlineStr">
        <is>
          <t>Yes</t>
        </is>
      </c>
    </row>
    <row r="50">
      <c r="A50" s="19" t="n">
        <v>740306</v>
      </c>
      <c r="B50" s="31" t="n">
        <v>46217</v>
      </c>
      <c r="C50" s="19" t="inlineStr">
        <is>
          <t>OFFICE OF CITY CLERK</t>
        </is>
      </c>
      <c r="D50" s="19" t="inlineStr">
        <is>
          <t>BAN-KOE SYSTEMS, INC</t>
        </is>
      </c>
      <c r="E50" s="20" t="inlineStr">
        <is>
          <t>Technical support for software upgrade related to business license issuance</t>
        </is>
      </c>
      <c r="F50" s="21" t="n">
        <v>145</v>
      </c>
      <c r="G50" s="19" t="inlineStr">
        <is>
          <t>3. One Time Purchase</t>
        </is>
      </c>
      <c r="H50" s="19" t="inlineStr">
        <is>
          <t>H. One Time Purchase</t>
        </is>
      </c>
      <c r="I50" s="19" t="inlineStr">
        <is>
          <t>APPROVED</t>
        </is>
      </c>
      <c r="J50" s="19" t="inlineStr">
        <is>
          <t>No</t>
        </is>
      </c>
      <c r="K50" s="19" t="inlineStr">
        <is>
          <t>No</t>
        </is>
      </c>
      <c r="L50" s="19" t="inlineStr"/>
      <c r="M50" s="19" t="inlineStr">
        <is>
          <t>VDBAN KOE SYSTEMS</t>
        </is>
      </c>
      <c r="N50" s="19" t="inlineStr">
        <is>
          <t>E</t>
        </is>
      </c>
      <c r="O50" s="20" t="inlineStr">
        <is>
          <t>No linkage found in awarded contract file</t>
        </is>
      </c>
      <c r="P50" s="19" t="inlineStr"/>
      <c r="Q50" s="19" t="inlineStr"/>
      <c r="R50" s="31" t="inlineStr"/>
      <c r="S50" s="19" t="inlineStr"/>
      <c r="T50" s="19" t="inlineStr">
        <is>
          <t>No</t>
        </is>
      </c>
      <c r="U50" s="19" t="inlineStr">
        <is>
          <t>No</t>
        </is>
      </c>
      <c r="V50" s="19" t="inlineStr">
        <is>
          <t>No</t>
        </is>
      </c>
      <c r="W50" s="19" t="inlineStr">
        <is>
          <t>No</t>
        </is>
      </c>
    </row>
    <row r="51">
      <c r="A51" s="19" t="n">
        <v>712884</v>
      </c>
      <c r="B51" s="31" t="n">
        <v>46084</v>
      </c>
      <c r="C51" s="19" t="inlineStr">
        <is>
          <t>OFFICE OF CITY CLERK</t>
        </is>
      </c>
      <c r="D51" s="19" t="inlineStr">
        <is>
          <t>SEBIS DIRECT</t>
        </is>
      </c>
      <c r="E51" s="20" t="inlineStr">
        <is>
          <t>Vehicle Stickers</t>
        </is>
      </c>
      <c r="F51" s="21" t="n">
        <v>0</v>
      </c>
      <c r="G51" s="19" t="inlineStr">
        <is>
          <t>1. Pending New Contract - Original Contract Expired. New Contract in Process</t>
        </is>
      </c>
      <c r="H51" s="19" t="inlineStr">
        <is>
          <t>B. City Law Review</t>
        </is>
      </c>
      <c r="I51" s="19" t="inlineStr"/>
      <c r="J51" s="19" t="inlineStr">
        <is>
          <t>No</t>
        </is>
      </c>
      <c r="K51" s="19" t="inlineStr">
        <is>
          <t>No</t>
        </is>
      </c>
      <c r="L51" s="19" t="inlineStr"/>
      <c r="M51" s="19" t="inlineStr">
        <is>
          <t>VDSEBIS DIRECT</t>
        </is>
      </c>
      <c r="N51" s="19" t="inlineStr">
        <is>
          <t>E</t>
        </is>
      </c>
      <c r="O51" s="20" t="inlineStr">
        <is>
          <t>No linkage found in awarded contract file</t>
        </is>
      </c>
      <c r="P51" s="19" t="inlineStr"/>
      <c r="Q51" s="19" t="inlineStr"/>
      <c r="R51" s="31" t="inlineStr"/>
      <c r="S51" s="19" t="inlineStr"/>
      <c r="T51" s="19" t="inlineStr">
        <is>
          <t>No</t>
        </is>
      </c>
      <c r="U51" s="19" t="inlineStr">
        <is>
          <t>No</t>
        </is>
      </c>
      <c r="V51" s="19" t="inlineStr">
        <is>
          <t>No</t>
        </is>
      </c>
      <c r="W51" s="19" t="inlineStr">
        <is>
          <t>No</t>
        </is>
      </c>
    </row>
    <row r="52">
      <c r="A52" s="19" t="n">
        <v>712883</v>
      </c>
      <c r="B52" s="31" t="n">
        <v>46084</v>
      </c>
      <c r="C52" s="19" t="inlineStr">
        <is>
          <t>OFFICE OF CITY CLERK</t>
        </is>
      </c>
      <c r="D52" s="19" t="inlineStr">
        <is>
          <t>SEBIS DIRECT</t>
        </is>
      </c>
      <c r="E52" s="20" t="inlineStr">
        <is>
          <t>City Sticker Envelopes</t>
        </is>
      </c>
      <c r="F52" s="21" t="n">
        <v>0</v>
      </c>
      <c r="G52" s="19" t="inlineStr">
        <is>
          <t>1. Pending New Contract - Original Contract Expired. New Contract in Process</t>
        </is>
      </c>
      <c r="H52" s="19" t="inlineStr">
        <is>
          <t>B. City Law Review</t>
        </is>
      </c>
      <c r="I52" s="19" t="inlineStr"/>
      <c r="J52" s="19" t="inlineStr">
        <is>
          <t>No</t>
        </is>
      </c>
      <c r="K52" s="19" t="inlineStr">
        <is>
          <t>No</t>
        </is>
      </c>
      <c r="L52" s="19" t="inlineStr"/>
      <c r="M52" s="19" t="inlineStr">
        <is>
          <t>VDSEBIS DIRECT</t>
        </is>
      </c>
      <c r="N52" s="19" t="inlineStr">
        <is>
          <t>E</t>
        </is>
      </c>
      <c r="O52" s="20" t="inlineStr">
        <is>
          <t>No linkage found in awarded contract file</t>
        </is>
      </c>
      <c r="P52" s="19" t="inlineStr"/>
      <c r="Q52" s="19" t="inlineStr"/>
      <c r="R52" s="31" t="inlineStr"/>
      <c r="S52" s="19" t="inlineStr"/>
      <c r="T52" s="19" t="inlineStr">
        <is>
          <t>No</t>
        </is>
      </c>
      <c r="U52" s="19" t="inlineStr">
        <is>
          <t>No</t>
        </is>
      </c>
      <c r="V52" s="19" t="inlineStr">
        <is>
          <t>No</t>
        </is>
      </c>
      <c r="W52" s="19" t="inlineStr">
        <is>
          <t>No</t>
        </is>
      </c>
    </row>
    <row r="53">
      <c r="A53" s="19" t="n">
        <v>746615</v>
      </c>
      <c r="B53" s="31" t="n">
        <v>46253</v>
      </c>
      <c r="C53" s="19" t="inlineStr">
        <is>
          <t>DEPARTMENT OF STREETS AND SANITATION</t>
        </is>
      </c>
      <c r="D53" s="19" t="inlineStr">
        <is>
          <t>CHICAGO UNITED INDUSTRIES, LTD</t>
        </is>
      </c>
      <c r="E53" s="20" t="inlineStr">
        <is>
          <t>TARP - SALT TARPING</t>
        </is>
      </c>
      <c r="F53" s="21" t="n">
        <v>327473.06</v>
      </c>
      <c r="G53" s="19" t="inlineStr">
        <is>
          <t>1. Pending New Contract - Original Contract Expired. New Contract in Process</t>
        </is>
      </c>
      <c r="H53" s="19" t="inlineStr">
        <is>
          <t>A. Specification Development Phase</t>
        </is>
      </c>
      <c r="I53" s="19" t="inlineStr">
        <is>
          <t>APPROVED</t>
        </is>
      </c>
      <c r="J53" s="19" t="inlineStr">
        <is>
          <t>Yes</t>
        </is>
      </c>
      <c r="K53" s="19" t="inlineStr">
        <is>
          <t>No</t>
        </is>
      </c>
      <c r="L53" s="19" t="inlineStr"/>
      <c r="M53" s="19" t="inlineStr">
        <is>
          <t>RX746444</t>
        </is>
      </c>
      <c r="N53" s="19" t="inlineStr">
        <is>
          <t>E</t>
        </is>
      </c>
      <c r="O53" s="20" t="inlineStr">
        <is>
          <t>No linkage found in awarded contract file</t>
        </is>
      </c>
      <c r="P53" s="19" t="inlineStr"/>
      <c r="Q53" s="19" t="inlineStr"/>
      <c r="R53" s="31" t="inlineStr"/>
      <c r="S53" s="19" t="inlineStr"/>
      <c r="T53" s="19" t="inlineStr">
        <is>
          <t>No</t>
        </is>
      </c>
      <c r="U53" s="19" t="inlineStr">
        <is>
          <t>No</t>
        </is>
      </c>
      <c r="V53" s="19" t="inlineStr">
        <is>
          <t>No</t>
        </is>
      </c>
      <c r="W53" s="19" t="inlineStr">
        <is>
          <t>Yes</t>
        </is>
      </c>
    </row>
    <row r="54">
      <c r="A54" s="19" t="n">
        <v>746182</v>
      </c>
      <c r="B54" s="31" t="n">
        <v>46251</v>
      </c>
      <c r="C54" s="19" t="inlineStr">
        <is>
          <t>DEPARTMENT OF STREETS AND SANITATION</t>
        </is>
      </c>
      <c r="D54" s="19" t="inlineStr">
        <is>
          <t>BLUETRITON BRANDS INC</t>
        </is>
      </c>
      <c r="E54" s="20" t="inlineStr">
        <is>
          <t>WATER - DRINKING</t>
        </is>
      </c>
      <c r="F54" s="21" t="n">
        <v>1054.4</v>
      </c>
      <c r="G54" s="19" t="inlineStr">
        <is>
          <t>1. Pending New Contract - Original Contract Expired. New Contract in Process</t>
        </is>
      </c>
      <c r="H54" s="19" t="inlineStr">
        <is>
          <t>A. Specification Development Phase</t>
        </is>
      </c>
      <c r="I54" s="19" t="inlineStr">
        <is>
          <t>APPROVED</t>
        </is>
      </c>
      <c r="J54" s="19" t="inlineStr">
        <is>
          <t>Yes</t>
        </is>
      </c>
      <c r="K54" s="19" t="inlineStr">
        <is>
          <t>No</t>
        </is>
      </c>
      <c r="L54" s="19" t="inlineStr"/>
      <c r="M54" s="19" t="inlineStr">
        <is>
          <t>RX511569</t>
        </is>
      </c>
      <c r="N54" s="19" t="inlineStr">
        <is>
          <t>E</t>
        </is>
      </c>
      <c r="O54" s="20" t="inlineStr">
        <is>
          <t>No linkage found in awarded contract file</t>
        </is>
      </c>
      <c r="P54" s="19" t="inlineStr"/>
      <c r="Q54" s="19" t="inlineStr"/>
      <c r="R54" s="31" t="inlineStr"/>
      <c r="S54" s="19" t="inlineStr"/>
      <c r="T54" s="19" t="inlineStr">
        <is>
          <t>No</t>
        </is>
      </c>
      <c r="U54" s="19" t="inlineStr">
        <is>
          <t>No</t>
        </is>
      </c>
      <c r="V54" s="19" t="inlineStr">
        <is>
          <t>No</t>
        </is>
      </c>
      <c r="W54" s="19" t="inlineStr">
        <is>
          <t>Yes</t>
        </is>
      </c>
    </row>
    <row r="55">
      <c r="A55" s="19" t="n">
        <v>715546</v>
      </c>
      <c r="B55" s="31" t="n">
        <v>46077</v>
      </c>
      <c r="C55" s="19" t="inlineStr">
        <is>
          <t>DEPARTMENT OF FLEET AND FACILITY MANAGEMENT</t>
        </is>
      </c>
      <c r="D55" s="19" t="inlineStr">
        <is>
          <t>CHRISTY WEBBER LANDSCAPES</t>
        </is>
      </c>
      <c r="E55" s="20" t="inlineStr">
        <is>
          <t>TB/AH/10 INVOICES/$85,350.30</t>
        </is>
      </c>
      <c r="F55" s="21" t="n">
        <v>85350.3</v>
      </c>
      <c r="G55" s="19" t="inlineStr">
        <is>
          <t>1. Pending New Contract - Original Contract Expired. New Contract in Process</t>
        </is>
      </c>
      <c r="H55" s="19" t="inlineStr">
        <is>
          <t>B. City Law Review</t>
        </is>
      </c>
      <c r="I55" s="19" t="inlineStr">
        <is>
          <t>APPROVED</t>
        </is>
      </c>
      <c r="J55" s="19" t="inlineStr">
        <is>
          <t>Yes</t>
        </is>
      </c>
      <c r="K55" s="19" t="inlineStr">
        <is>
          <t>No</t>
        </is>
      </c>
      <c r="L55" s="19" t="inlineStr"/>
      <c r="M55" s="19" t="inlineStr">
        <is>
          <t>RX652655</t>
        </is>
      </c>
      <c r="N55" s="19" t="inlineStr">
        <is>
          <t>E</t>
        </is>
      </c>
      <c r="O55" s="20" t="inlineStr">
        <is>
          <t>No linkage found in awarded contract file</t>
        </is>
      </c>
      <c r="P55" s="19" t="inlineStr"/>
      <c r="Q55" s="19" t="inlineStr"/>
      <c r="R55" s="31" t="inlineStr"/>
      <c r="S55" s="19" t="inlineStr"/>
      <c r="T55" s="19" t="inlineStr">
        <is>
          <t>No</t>
        </is>
      </c>
      <c r="U55" s="19" t="inlineStr">
        <is>
          <t>No</t>
        </is>
      </c>
      <c r="V55" s="19" t="inlineStr">
        <is>
          <t>No</t>
        </is>
      </c>
      <c r="W55" s="19" t="inlineStr">
        <is>
          <t>Yes</t>
        </is>
      </c>
    </row>
    <row r="56">
      <c r="A56" s="19" t="n">
        <v>709909</v>
      </c>
      <c r="B56" s="31" t="n">
        <v>46048</v>
      </c>
      <c r="C56" s="19" t="inlineStr">
        <is>
          <t>DEPARTMENT OF FLEET AND FACILITY MANAGEMENT</t>
        </is>
      </c>
      <c r="D56" s="19" t="inlineStr">
        <is>
          <t>A.M. BUS COMPANY, INC.</t>
        </is>
      </c>
      <c r="E56" s="20" t="inlineStr">
        <is>
          <t>TB/GC/INV #189156/$45,500.00</t>
        </is>
      </c>
      <c r="F56" s="21" t="n">
        <v>45500</v>
      </c>
      <c r="G56" s="19" t="inlineStr">
        <is>
          <t>3. One Time Purchase</t>
        </is>
      </c>
      <c r="H56" s="19" t="inlineStr">
        <is>
          <t>H. One Time Purchase</t>
        </is>
      </c>
      <c r="I56" s="19" t="inlineStr"/>
      <c r="J56" s="19" t="inlineStr">
        <is>
          <t>No</t>
        </is>
      </c>
      <c r="K56" s="19" t="inlineStr">
        <is>
          <t>No</t>
        </is>
      </c>
      <c r="L56" s="19" t="n">
        <v>253967</v>
      </c>
      <c r="M56" s="19" t="inlineStr">
        <is>
          <t>RX624517</t>
        </is>
      </c>
      <c r="N56" s="19" t="inlineStr">
        <is>
          <t>E</t>
        </is>
      </c>
      <c r="O56" s="20" t="inlineStr">
        <is>
          <t>No linkage found in awarded contract file</t>
        </is>
      </c>
      <c r="P56" s="19" t="inlineStr"/>
      <c r="Q56" s="19" t="inlineStr"/>
      <c r="R56" s="31" t="inlineStr"/>
      <c r="S56" s="19" t="inlineStr"/>
      <c r="T56" s="19" t="inlineStr">
        <is>
          <t>No</t>
        </is>
      </c>
      <c r="U56" s="19" t="inlineStr">
        <is>
          <t>No</t>
        </is>
      </c>
      <c r="V56" s="19" t="inlineStr">
        <is>
          <t>No</t>
        </is>
      </c>
      <c r="W56" s="19" t="inlineStr">
        <is>
          <t>No</t>
        </is>
      </c>
    </row>
    <row r="57">
      <c r="A57" s="19" t="n">
        <v>745048</v>
      </c>
      <c r="B57" s="31" t="n">
        <v>46245</v>
      </c>
      <c r="C57" s="19" t="inlineStr">
        <is>
          <t>DEPARTMENT OF FLEET AND FACILITY MANAGEMENT</t>
        </is>
      </c>
      <c r="D57" s="19" t="inlineStr">
        <is>
          <t>CHRISTY WEBBER LANDSCAPES</t>
        </is>
      </c>
      <c r="E57" s="20" t="inlineStr">
        <is>
          <t>TB/VJ/8 INVOICES/$14,513.78</t>
        </is>
      </c>
      <c r="F57" s="21" t="n">
        <v>14513.78</v>
      </c>
      <c r="G57" s="19" t="inlineStr">
        <is>
          <t>1. Pending New Contract - Original Contract Expired. New Contract in Process</t>
        </is>
      </c>
      <c r="H57" s="19" t="inlineStr">
        <is>
          <t>B. City Law Review</t>
        </is>
      </c>
      <c r="I57" s="19" t="inlineStr">
        <is>
          <t>APPROVED</t>
        </is>
      </c>
      <c r="J57" s="19" t="inlineStr">
        <is>
          <t>Yes</t>
        </is>
      </c>
      <c r="K57" s="19" t="inlineStr">
        <is>
          <t>No</t>
        </is>
      </c>
      <c r="L57" s="19" t="inlineStr"/>
      <c r="M57" s="19" t="inlineStr">
        <is>
          <t>RX679137</t>
        </is>
      </c>
      <c r="N57" s="19" t="inlineStr">
        <is>
          <t>E</t>
        </is>
      </c>
      <c r="O57" s="20" t="inlineStr">
        <is>
          <t>No linkage found in awarded contract file</t>
        </is>
      </c>
      <c r="P57" s="19" t="inlineStr"/>
      <c r="Q57" s="19" t="inlineStr"/>
      <c r="R57" s="31" t="inlineStr"/>
      <c r="S57" s="19" t="inlineStr"/>
      <c r="T57" s="19" t="inlineStr">
        <is>
          <t>No</t>
        </is>
      </c>
      <c r="U57" s="19" t="inlineStr">
        <is>
          <t>No</t>
        </is>
      </c>
      <c r="V57" s="19" t="inlineStr">
        <is>
          <t>No</t>
        </is>
      </c>
      <c r="W57" s="19" t="inlineStr">
        <is>
          <t>Yes</t>
        </is>
      </c>
    </row>
    <row r="58">
      <c r="A58" s="19" t="n">
        <v>727939</v>
      </c>
      <c r="B58" s="31" t="n">
        <v>46141</v>
      </c>
      <c r="C58" s="19" t="inlineStr">
        <is>
          <t>DEPARTMENT OF FLEET AND FACILITY MANAGEMENT</t>
        </is>
      </c>
      <c r="D58" s="19" t="inlineStr">
        <is>
          <t>C &amp; C COMMUNICATIONS IL</t>
        </is>
      </c>
      <c r="E58" s="20" t="inlineStr">
        <is>
          <t>TB/CC/INVOICE #3371/$4495.20</t>
        </is>
      </c>
      <c r="F58" s="21" t="n">
        <v>4495.2</v>
      </c>
      <c r="G58" s="19" t="inlineStr">
        <is>
          <t>2. Pending Amendment/Modification - Line Item Addition / Vendor Limit Increase / Scope Change</t>
        </is>
      </c>
      <c r="H58" s="19" t="inlineStr">
        <is>
          <t>A. Specification Development Phase</t>
        </is>
      </c>
      <c r="I58" s="19" t="inlineStr">
        <is>
          <t>APPROVED</t>
        </is>
      </c>
      <c r="J58" s="19" t="inlineStr">
        <is>
          <t>No</t>
        </is>
      </c>
      <c r="K58" s="19" t="inlineStr">
        <is>
          <t>No</t>
        </is>
      </c>
      <c r="L58" s="19" t="inlineStr"/>
      <c r="M58" s="19" t="inlineStr">
        <is>
          <t>RX710994</t>
        </is>
      </c>
      <c r="N58" s="19" t="inlineStr">
        <is>
          <t>E</t>
        </is>
      </c>
      <c r="O58" s="20" t="inlineStr">
        <is>
          <t>No linkage found in awarded contract file</t>
        </is>
      </c>
      <c r="P58" s="19" t="inlineStr"/>
      <c r="Q58" s="19" t="inlineStr"/>
      <c r="R58" s="31" t="inlineStr"/>
      <c r="S58" s="19" t="inlineStr"/>
      <c r="T58" s="19" t="inlineStr">
        <is>
          <t>No</t>
        </is>
      </c>
      <c r="U58" s="19" t="inlineStr">
        <is>
          <t>No</t>
        </is>
      </c>
      <c r="V58" s="19" t="inlineStr">
        <is>
          <t>No</t>
        </is>
      </c>
      <c r="W58" s="19" t="inlineStr">
        <is>
          <t>No</t>
        </is>
      </c>
    </row>
    <row r="59">
      <c r="A59" s="19" t="n">
        <v>735722</v>
      </c>
      <c r="B59" s="31" t="n">
        <v>46189</v>
      </c>
      <c r="C59" s="19" t="inlineStr">
        <is>
          <t>DEPARTMENT OF FLEET AND FACILITY MANAGEMENT</t>
        </is>
      </c>
      <c r="D59" s="19" t="inlineStr">
        <is>
          <t>C &amp; C COMMUNICATIONS IL</t>
        </is>
      </c>
      <c r="E59" s="20" t="inlineStr">
        <is>
          <t>TB/CC/INVOICE #3432/$17,103.61</t>
        </is>
      </c>
      <c r="F59" s="21" t="n">
        <v>17103.61</v>
      </c>
      <c r="G59" s="19" t="inlineStr">
        <is>
          <t>2. Pending Amendment/Modification - Line Item Addition / Vendor Limit Increase / Scope Change</t>
        </is>
      </c>
      <c r="H59" s="19" t="inlineStr">
        <is>
          <t>A. Specification Development Phase</t>
        </is>
      </c>
      <c r="I59" s="19" t="inlineStr">
        <is>
          <t>APPROVED</t>
        </is>
      </c>
      <c r="J59" s="19" t="inlineStr">
        <is>
          <t>No</t>
        </is>
      </c>
      <c r="K59" s="19" t="inlineStr">
        <is>
          <t>No</t>
        </is>
      </c>
      <c r="L59" s="19" t="inlineStr"/>
      <c r="M59" s="19" t="inlineStr">
        <is>
          <t>RX710994</t>
        </is>
      </c>
      <c r="N59" s="19" t="inlineStr">
        <is>
          <t>E</t>
        </is>
      </c>
      <c r="O59" s="20" t="inlineStr">
        <is>
          <t>No linkage found in awarded contract file</t>
        </is>
      </c>
      <c r="P59" s="19" t="inlineStr"/>
      <c r="Q59" s="19" t="inlineStr"/>
      <c r="R59" s="31" t="inlineStr"/>
      <c r="S59" s="19" t="inlineStr"/>
      <c r="T59" s="19" t="inlineStr">
        <is>
          <t>No</t>
        </is>
      </c>
      <c r="U59" s="19" t="inlineStr">
        <is>
          <t>No</t>
        </is>
      </c>
      <c r="V59" s="19" t="inlineStr">
        <is>
          <t>No</t>
        </is>
      </c>
      <c r="W59" s="19" t="inlineStr">
        <is>
          <t>No</t>
        </is>
      </c>
    </row>
    <row r="60">
      <c r="A60" s="19" t="n">
        <v>740007</v>
      </c>
      <c r="B60" s="31" t="n">
        <v>46216</v>
      </c>
      <c r="C60" s="19" t="inlineStr">
        <is>
          <t>DEPARTMENT OF FLEET AND FACILITY MANAGEMENT</t>
        </is>
      </c>
      <c r="D60" s="19" t="inlineStr">
        <is>
          <t>AGAE CONTRACTORS, INC.</t>
        </is>
      </c>
      <c r="E60" s="20" t="inlineStr">
        <is>
          <t>TB/AO/INVOICE #S3388-1/$418.50</t>
        </is>
      </c>
      <c r="F60" s="21" t="n">
        <v>418.5</v>
      </c>
      <c r="G60" s="19" t="inlineStr">
        <is>
          <t>1. Pending New Contract - Original Contract Expired. New Contract in Process</t>
        </is>
      </c>
      <c r="H60" s="19" t="inlineStr">
        <is>
          <t>C. Solicitation or Bidding Phase</t>
        </is>
      </c>
      <c r="I60" s="19" t="inlineStr">
        <is>
          <t>APPROVED</t>
        </is>
      </c>
      <c r="J60" s="19" t="inlineStr">
        <is>
          <t>Yes</t>
        </is>
      </c>
      <c r="K60" s="19" t="inlineStr">
        <is>
          <t>No</t>
        </is>
      </c>
      <c r="L60" s="19" t="inlineStr"/>
      <c r="M60" s="19" t="inlineStr">
        <is>
          <t>RX607736</t>
        </is>
      </c>
      <c r="N60" s="19" t="inlineStr">
        <is>
          <t>E</t>
        </is>
      </c>
      <c r="O60" s="20" t="inlineStr">
        <is>
          <t>No linkage found in awarded contract file</t>
        </is>
      </c>
      <c r="P60" s="19" t="inlineStr"/>
      <c r="Q60" s="19" t="inlineStr"/>
      <c r="R60" s="31" t="inlineStr"/>
      <c r="S60" s="19" t="inlineStr"/>
      <c r="T60" s="19" t="inlineStr">
        <is>
          <t>No</t>
        </is>
      </c>
      <c r="U60" s="19" t="inlineStr">
        <is>
          <t>No</t>
        </is>
      </c>
      <c r="V60" s="19" t="inlineStr">
        <is>
          <t>No</t>
        </is>
      </c>
      <c r="W60" s="19" t="inlineStr">
        <is>
          <t>Yes</t>
        </is>
      </c>
    </row>
    <row r="61">
      <c r="A61" s="19" t="n">
        <v>723320</v>
      </c>
      <c r="B61" s="31" t="n">
        <v>46119</v>
      </c>
      <c r="C61" s="19" t="inlineStr">
        <is>
          <t>DEPARTMENT OF FLEET AND FACILITY MANAGEMENT</t>
        </is>
      </c>
      <c r="D61" s="19" t="inlineStr">
        <is>
          <t>DIVERSE FACILITY SOLUTION INC.</t>
        </is>
      </c>
      <c r="E61" s="20" t="inlineStr">
        <is>
          <t>TB/AK/5 INVOICES/$684,994.42</t>
        </is>
      </c>
      <c r="F61" s="21" t="n">
        <v>684994.42</v>
      </c>
      <c r="G61" s="19" t="inlineStr">
        <is>
          <t>1. Pending New Contract - Original Contract Expired. New Contract in Process</t>
        </is>
      </c>
      <c r="H61" s="19" t="inlineStr">
        <is>
          <t>A. Specification Development Phase</t>
        </is>
      </c>
      <c r="I61" s="19" t="inlineStr">
        <is>
          <t>APPROVED</t>
        </is>
      </c>
      <c r="J61" s="19" t="inlineStr">
        <is>
          <t>Yes</t>
        </is>
      </c>
      <c r="K61" s="19" t="inlineStr">
        <is>
          <t>No</t>
        </is>
      </c>
      <c r="L61" s="19" t="inlineStr"/>
      <c r="M61" s="19" t="inlineStr">
        <is>
          <t>RX624331</t>
        </is>
      </c>
      <c r="N61" s="19" t="inlineStr">
        <is>
          <t>E</t>
        </is>
      </c>
      <c r="O61" s="20" t="inlineStr">
        <is>
          <t>No linkage found in awarded contract file</t>
        </is>
      </c>
      <c r="P61" s="19" t="inlineStr"/>
      <c r="Q61" s="19" t="inlineStr"/>
      <c r="R61" s="31" t="inlineStr"/>
      <c r="S61" s="19" t="inlineStr"/>
      <c r="T61" s="19" t="inlineStr">
        <is>
          <t>No</t>
        </is>
      </c>
      <c r="U61" s="19" t="inlineStr">
        <is>
          <t>No</t>
        </is>
      </c>
      <c r="V61" s="19" t="inlineStr">
        <is>
          <t>No</t>
        </is>
      </c>
      <c r="W61" s="19" t="inlineStr">
        <is>
          <t>Yes</t>
        </is>
      </c>
    </row>
    <row r="62">
      <c r="A62" s="19" t="n">
        <v>746487</v>
      </c>
      <c r="B62" s="31" t="n">
        <v>46253</v>
      </c>
      <c r="C62" s="19" t="inlineStr">
        <is>
          <t>DEPARTMENT OF FLEET AND FACILITY MANAGEMENT</t>
        </is>
      </c>
      <c r="D62" s="19" t="inlineStr">
        <is>
          <t>INDUSTRIAL FENCE INC.</t>
        </is>
      </c>
      <c r="E62" s="20" t="inlineStr">
        <is>
          <t>TB/AH/INVOICE #25453/$1903.10</t>
        </is>
      </c>
      <c r="F62" s="21" t="n">
        <v>1903.1</v>
      </c>
      <c r="G62" s="19" t="inlineStr">
        <is>
          <t>1. Pending New Contract - Original Contract Expired. New Contract in Process</t>
        </is>
      </c>
      <c r="H62" s="19" t="inlineStr">
        <is>
          <t>A. Specification Development Phase</t>
        </is>
      </c>
      <c r="I62" s="19" t="inlineStr">
        <is>
          <t>APPROVED</t>
        </is>
      </c>
      <c r="J62" s="19" t="inlineStr">
        <is>
          <t>No</t>
        </is>
      </c>
      <c r="K62" s="19" t="inlineStr">
        <is>
          <t>No</t>
        </is>
      </c>
      <c r="L62" s="19" t="inlineStr">
        <is>
          <t>TBD</t>
        </is>
      </c>
      <c r="M62" s="19" t="inlineStr">
        <is>
          <t>RX596048</t>
        </is>
      </c>
      <c r="N62" s="19" t="inlineStr">
        <is>
          <t>E</t>
        </is>
      </c>
      <c r="O62" s="20" t="inlineStr">
        <is>
          <t>No linkage found in awarded contract file</t>
        </is>
      </c>
      <c r="P62" s="19" t="inlineStr"/>
      <c r="Q62" s="19" t="inlineStr"/>
      <c r="R62" s="31" t="inlineStr"/>
      <c r="S62" s="19" t="inlineStr"/>
      <c r="T62" s="19" t="inlineStr">
        <is>
          <t>No</t>
        </is>
      </c>
      <c r="U62" s="19" t="inlineStr">
        <is>
          <t>No</t>
        </is>
      </c>
      <c r="V62" s="19" t="inlineStr">
        <is>
          <t>No</t>
        </is>
      </c>
      <c r="W62" s="19" t="inlineStr">
        <is>
          <t>No</t>
        </is>
      </c>
    </row>
    <row r="63">
      <c r="A63" s="19" t="n">
        <v>721875</v>
      </c>
      <c r="B63" s="31" t="n">
        <v>46107</v>
      </c>
      <c r="C63" s="19" t="inlineStr">
        <is>
          <t>DEPARTMENT OF FLEET AND FACILITY MANAGEMENT</t>
        </is>
      </c>
      <c r="D63" s="19" t="inlineStr">
        <is>
          <t>INDUSTRIAL FENCE INC.</t>
        </is>
      </c>
      <c r="E63" s="20" t="inlineStr">
        <is>
          <t>TB/AH/INV #25467/$636.32</t>
        </is>
      </c>
      <c r="F63" s="21" t="n">
        <v>636.3200000000001</v>
      </c>
      <c r="G63" s="19" t="inlineStr">
        <is>
          <t>1. Pending New Contract - Original Contract Expired. New Contract in Process</t>
        </is>
      </c>
      <c r="H63" s="19" t="inlineStr">
        <is>
          <t>A. Specification Development Phase</t>
        </is>
      </c>
      <c r="I63" s="19" t="inlineStr">
        <is>
          <t>APPROVED</t>
        </is>
      </c>
      <c r="J63" s="19" t="inlineStr">
        <is>
          <t>No</t>
        </is>
      </c>
      <c r="K63" s="19" t="inlineStr">
        <is>
          <t>No</t>
        </is>
      </c>
      <c r="L63" s="19" t="inlineStr">
        <is>
          <t>TBD</t>
        </is>
      </c>
      <c r="M63" s="19" t="inlineStr">
        <is>
          <t>VDINDUSTRIAL FENCE</t>
        </is>
      </c>
      <c r="N63" s="19" t="inlineStr">
        <is>
          <t>E</t>
        </is>
      </c>
      <c r="O63" s="20" t="inlineStr">
        <is>
          <t>No linkage found in awarded contract file</t>
        </is>
      </c>
      <c r="P63" s="19" t="inlineStr"/>
      <c r="Q63" s="19" t="inlineStr"/>
      <c r="R63" s="31" t="inlineStr"/>
      <c r="S63" s="19" t="inlineStr"/>
      <c r="T63" s="19" t="inlineStr">
        <is>
          <t>No</t>
        </is>
      </c>
      <c r="U63" s="19" t="inlineStr">
        <is>
          <t>No</t>
        </is>
      </c>
      <c r="V63" s="19" t="inlineStr">
        <is>
          <t>No</t>
        </is>
      </c>
      <c r="W63" s="19" t="inlineStr">
        <is>
          <t>No</t>
        </is>
      </c>
    </row>
    <row r="64">
      <c r="A64" s="19" t="n">
        <v>711028</v>
      </c>
      <c r="B64" s="31" t="n">
        <v>46052</v>
      </c>
      <c r="C64" s="19" t="inlineStr">
        <is>
          <t>DEPARTMENT OF FLEET AND FACILITY MANAGEMENT</t>
        </is>
      </c>
      <c r="D64" s="19" t="inlineStr">
        <is>
          <t>CHARLES EQUIPMENT ENERGY SYSTEMS LLC</t>
        </is>
      </c>
      <c r="E64" s="20" t="inlineStr">
        <is>
          <t>TB/AH/INV#19054/$10,059.40</t>
        </is>
      </c>
      <c r="F64" s="21" t="n">
        <v>10059.4</v>
      </c>
      <c r="G64" s="19" t="inlineStr">
        <is>
          <t>1. Pending New Contract - Original Contract Expired. New Contract in Process</t>
        </is>
      </c>
      <c r="H64" s="19" t="inlineStr">
        <is>
          <t>A. Specification Development Phase</t>
        </is>
      </c>
      <c r="I64" s="19" t="inlineStr">
        <is>
          <t>APPROVED</t>
        </is>
      </c>
      <c r="J64" s="19" t="inlineStr">
        <is>
          <t>Yes</t>
        </is>
      </c>
      <c r="K64" s="19" t="inlineStr">
        <is>
          <t>No</t>
        </is>
      </c>
      <c r="L64" s="19" t="inlineStr"/>
      <c r="M64" s="19" t="inlineStr">
        <is>
          <t>RX622326</t>
        </is>
      </c>
      <c r="N64" s="19" t="inlineStr">
        <is>
          <t>E</t>
        </is>
      </c>
      <c r="O64" s="20" t="inlineStr">
        <is>
          <t>No linkage found in awarded contract file</t>
        </is>
      </c>
      <c r="P64" s="19" t="inlineStr"/>
      <c r="Q64" s="19" t="inlineStr"/>
      <c r="R64" s="31" t="inlineStr"/>
      <c r="S64" s="19" t="inlineStr"/>
      <c r="T64" s="19" t="inlineStr">
        <is>
          <t>No</t>
        </is>
      </c>
      <c r="U64" s="19" t="inlineStr">
        <is>
          <t>No</t>
        </is>
      </c>
      <c r="V64" s="19" t="inlineStr">
        <is>
          <t>No</t>
        </is>
      </c>
      <c r="W64" s="19" t="inlineStr">
        <is>
          <t>Yes</t>
        </is>
      </c>
    </row>
    <row r="65">
      <c r="A65" s="19" t="n">
        <v>735288</v>
      </c>
      <c r="B65" s="31" t="n">
        <v>46183</v>
      </c>
      <c r="C65" s="19" t="inlineStr">
        <is>
          <t>DEPARTMENT OF FLEET AND FACILITY MANAGEMENT</t>
        </is>
      </c>
      <c r="D65" s="19" t="inlineStr">
        <is>
          <t>WAREHOUSE DIRECT, INC.</t>
        </is>
      </c>
      <c r="E65" s="20" t="inlineStr">
        <is>
          <t>TB/GR/INV #6101269-0/$6272.00</t>
        </is>
      </c>
      <c r="F65" s="21" t="n">
        <v>6272</v>
      </c>
      <c r="G65" s="19" t="inlineStr">
        <is>
          <t>1. Pending New Contract - Original Contract Expired. New Contract in Process</t>
        </is>
      </c>
      <c r="H65" s="19" t="inlineStr">
        <is>
          <t>A. Specification Development Phase</t>
        </is>
      </c>
      <c r="I65" s="19" t="inlineStr">
        <is>
          <t>APPROVED</t>
        </is>
      </c>
      <c r="J65" s="19" t="inlineStr">
        <is>
          <t>Yes</t>
        </is>
      </c>
      <c r="K65" s="19" t="inlineStr">
        <is>
          <t>No</t>
        </is>
      </c>
      <c r="L65" s="19" t="inlineStr"/>
      <c r="M65" s="19" t="inlineStr">
        <is>
          <t>RX677490</t>
        </is>
      </c>
      <c r="N65" s="19" t="inlineStr">
        <is>
          <t>E</t>
        </is>
      </c>
      <c r="O65" s="20" t="inlineStr">
        <is>
          <t>No linkage found in awarded contract file</t>
        </is>
      </c>
      <c r="P65" s="19" t="inlineStr"/>
      <c r="Q65" s="19" t="inlineStr"/>
      <c r="R65" s="31" t="inlineStr"/>
      <c r="S65" s="19" t="inlineStr"/>
      <c r="T65" s="19" t="inlineStr">
        <is>
          <t>No</t>
        </is>
      </c>
      <c r="U65" s="19" t="inlineStr">
        <is>
          <t>No</t>
        </is>
      </c>
      <c r="V65" s="19" t="inlineStr">
        <is>
          <t>No</t>
        </is>
      </c>
      <c r="W65" s="19" t="inlineStr">
        <is>
          <t>Yes</t>
        </is>
      </c>
    </row>
    <row r="66">
      <c r="A66" s="19" t="n">
        <v>727971</v>
      </c>
      <c r="B66" s="31" t="n">
        <v>46141</v>
      </c>
      <c r="C66" s="19" t="inlineStr">
        <is>
          <t>DEPARTMENT OF FLEET AND FACILITY MANAGEMENT</t>
        </is>
      </c>
      <c r="D66" s="19" t="inlineStr">
        <is>
          <t>ARLINGTON GLASS &amp; MIRROR</t>
        </is>
      </c>
      <c r="E66" s="20" t="inlineStr">
        <is>
          <t>TB/AO/INVOICE #75278/$4986.00</t>
        </is>
      </c>
      <c r="F66" s="21" t="n">
        <v>4986</v>
      </c>
      <c r="G66" s="19" t="inlineStr">
        <is>
          <t>1. Pending New Contract - Original Contract Expired. New Contract in Process</t>
        </is>
      </c>
      <c r="H66" s="19" t="inlineStr">
        <is>
          <t>A. Specification Development Phase</t>
        </is>
      </c>
      <c r="I66" s="19" t="inlineStr">
        <is>
          <t>APPROVED</t>
        </is>
      </c>
      <c r="J66" s="19" t="inlineStr">
        <is>
          <t>Yes</t>
        </is>
      </c>
      <c r="K66" s="19" t="inlineStr">
        <is>
          <t>No</t>
        </is>
      </c>
      <c r="L66" s="19" t="inlineStr"/>
      <c r="M66" s="19" t="inlineStr">
        <is>
          <t>RX647383</t>
        </is>
      </c>
      <c r="N66" s="19" t="inlineStr">
        <is>
          <t>E</t>
        </is>
      </c>
      <c r="O66" s="20" t="inlineStr">
        <is>
          <t>No linkage found in awarded contract file</t>
        </is>
      </c>
      <c r="P66" s="19" t="inlineStr"/>
      <c r="Q66" s="19" t="inlineStr"/>
      <c r="R66" s="31" t="inlineStr"/>
      <c r="S66" s="19" t="inlineStr"/>
      <c r="T66" s="19" t="inlineStr">
        <is>
          <t>No</t>
        </is>
      </c>
      <c r="U66" s="19" t="inlineStr">
        <is>
          <t>No</t>
        </is>
      </c>
      <c r="V66" s="19" t="inlineStr">
        <is>
          <t>No</t>
        </is>
      </c>
      <c r="W66" s="19" t="inlineStr">
        <is>
          <t>Yes</t>
        </is>
      </c>
    </row>
    <row r="67">
      <c r="A67" s="19" t="n">
        <v>737649</v>
      </c>
      <c r="B67" s="31" t="n">
        <v>46197</v>
      </c>
      <c r="C67" s="19" t="inlineStr">
        <is>
          <t>DEPARTMENT OF FLEET AND FACILITY MANAGEMENT</t>
        </is>
      </c>
      <c r="D67" s="19" t="inlineStr">
        <is>
          <t>PRESSURE WASHING SYSTEMS</t>
        </is>
      </c>
      <c r="E67" s="20" t="inlineStr">
        <is>
          <t>TB/MM/4 INVOICES/$4019.00</t>
        </is>
      </c>
      <c r="F67" s="21" t="n">
        <v>4019</v>
      </c>
      <c r="G67" s="19" t="inlineStr">
        <is>
          <t>1. Pending New Contract - Original Contract Expired. New Contract in Process</t>
        </is>
      </c>
      <c r="H67" s="19" t="inlineStr">
        <is>
          <t>B. City Law Review</t>
        </is>
      </c>
      <c r="I67" s="19" t="inlineStr">
        <is>
          <t>APPROVED</t>
        </is>
      </c>
      <c r="J67" s="19" t="inlineStr">
        <is>
          <t>Yes</t>
        </is>
      </c>
      <c r="K67" s="19" t="inlineStr">
        <is>
          <t>No</t>
        </is>
      </c>
      <c r="L67" s="19" t="inlineStr"/>
      <c r="M67" s="19" t="inlineStr">
        <is>
          <t>RX717990</t>
        </is>
      </c>
      <c r="N67" s="19" t="inlineStr">
        <is>
          <t>E</t>
        </is>
      </c>
      <c r="O67" s="20" t="inlineStr">
        <is>
          <t>No linkage found in awarded contract file</t>
        </is>
      </c>
      <c r="P67" s="19" t="inlineStr"/>
      <c r="Q67" s="19" t="inlineStr"/>
      <c r="R67" s="31" t="inlineStr"/>
      <c r="S67" s="19" t="inlineStr"/>
      <c r="T67" s="19" t="inlineStr">
        <is>
          <t>No</t>
        </is>
      </c>
      <c r="U67" s="19" t="inlineStr">
        <is>
          <t>No</t>
        </is>
      </c>
      <c r="V67" s="19" t="inlineStr">
        <is>
          <t>No</t>
        </is>
      </c>
      <c r="W67" s="19" t="inlineStr">
        <is>
          <t>Yes</t>
        </is>
      </c>
    </row>
    <row r="68">
      <c r="A68" s="19" t="n">
        <v>717839</v>
      </c>
      <c r="B68" s="31" t="n">
        <v>46087</v>
      </c>
      <c r="C68" s="19" t="inlineStr">
        <is>
          <t>DEPARTMENT OF FLEET AND FACILITY MANAGEMENT</t>
        </is>
      </c>
      <c r="D68" s="19" t="inlineStr">
        <is>
          <t>PRESSURE WASHING SYSTEMS</t>
        </is>
      </c>
      <c r="E68" s="20" t="inlineStr">
        <is>
          <t>TB/MM/2 INVOICES/$1353.00</t>
        </is>
      </c>
      <c r="F68" s="21" t="n">
        <v>1353</v>
      </c>
      <c r="G68" s="19" t="inlineStr">
        <is>
          <t>1. Pending New Contract - Original Contract Expired. New Contract in Process</t>
        </is>
      </c>
      <c r="H68" s="19" t="inlineStr">
        <is>
          <t>A. Specification Development Phase</t>
        </is>
      </c>
      <c r="I68" s="19" t="inlineStr">
        <is>
          <t>APPROVED</t>
        </is>
      </c>
      <c r="J68" s="19" t="inlineStr">
        <is>
          <t>Yes</t>
        </is>
      </c>
      <c r="K68" s="19" t="inlineStr">
        <is>
          <t>No</t>
        </is>
      </c>
      <c r="L68" s="19" t="inlineStr"/>
      <c r="M68" s="19" t="inlineStr">
        <is>
          <t>RX708700</t>
        </is>
      </c>
      <c r="N68" s="19" t="inlineStr">
        <is>
          <t>E</t>
        </is>
      </c>
      <c r="O68" s="20" t="inlineStr">
        <is>
          <t>No linkage found in awarded contract file</t>
        </is>
      </c>
      <c r="P68" s="19" t="inlineStr"/>
      <c r="Q68" s="19" t="inlineStr"/>
      <c r="R68" s="31" t="inlineStr"/>
      <c r="S68" s="19" t="inlineStr"/>
      <c r="T68" s="19" t="inlineStr">
        <is>
          <t>No</t>
        </is>
      </c>
      <c r="U68" s="19" t="inlineStr">
        <is>
          <t>No</t>
        </is>
      </c>
      <c r="V68" s="19" t="inlineStr">
        <is>
          <t>No</t>
        </is>
      </c>
      <c r="W68" s="19" t="inlineStr">
        <is>
          <t>Yes</t>
        </is>
      </c>
    </row>
    <row r="69">
      <c r="A69" s="19" t="n">
        <v>735025</v>
      </c>
      <c r="B69" s="31" t="n">
        <v>46182</v>
      </c>
      <c r="C69" s="19" t="inlineStr">
        <is>
          <t>DEPARTMENT OF FLEET AND FACILITY MANAGEMENT</t>
        </is>
      </c>
      <c r="D69" s="19" t="inlineStr">
        <is>
          <t>HEIDELBERG USA INC.</t>
        </is>
      </c>
      <c r="E69" s="20" t="inlineStr">
        <is>
          <t>TB/GR/2 INVOICES/$2999.00</t>
        </is>
      </c>
      <c r="F69" s="21" t="n">
        <v>2999</v>
      </c>
      <c r="G69" s="19" t="inlineStr">
        <is>
          <t>1. Pending New Contract - Original Contract Expired. New Contract in Process</t>
        </is>
      </c>
      <c r="H69" s="19" t="inlineStr">
        <is>
          <t>B. City Law Review</t>
        </is>
      </c>
      <c r="I69" s="19" t="inlineStr">
        <is>
          <t>APPROVED</t>
        </is>
      </c>
      <c r="J69" s="19" t="inlineStr">
        <is>
          <t>Yes</t>
        </is>
      </c>
      <c r="K69" s="19" t="inlineStr">
        <is>
          <t>No</t>
        </is>
      </c>
      <c r="L69" s="19" t="inlineStr">
        <is>
          <t>TBD</t>
        </is>
      </c>
      <c r="M69" s="19" t="inlineStr">
        <is>
          <t>RX617991</t>
        </is>
      </c>
      <c r="N69" s="19" t="inlineStr">
        <is>
          <t>E</t>
        </is>
      </c>
      <c r="O69" s="20" t="inlineStr">
        <is>
          <t>No linkage found in awarded contract file</t>
        </is>
      </c>
      <c r="P69" s="19" t="inlineStr"/>
      <c r="Q69" s="19" t="inlineStr"/>
      <c r="R69" s="31" t="inlineStr"/>
      <c r="S69" s="19" t="inlineStr"/>
      <c r="T69" s="19" t="inlineStr">
        <is>
          <t>No</t>
        </is>
      </c>
      <c r="U69" s="19" t="inlineStr">
        <is>
          <t>No</t>
        </is>
      </c>
      <c r="V69" s="19" t="inlineStr">
        <is>
          <t>No</t>
        </is>
      </c>
      <c r="W69" s="19" t="inlineStr">
        <is>
          <t>Yes</t>
        </is>
      </c>
    </row>
    <row r="70">
      <c r="A70" s="19" t="n">
        <v>735635</v>
      </c>
      <c r="B70" s="31" t="n">
        <v>46189</v>
      </c>
      <c r="C70" s="19" t="inlineStr">
        <is>
          <t>DEPARTMENT OF FLEET AND FACILITY MANAGEMENT</t>
        </is>
      </c>
      <c r="D70" s="19" t="inlineStr">
        <is>
          <t>RUSH TRUCK CENTERS OF ILLINOIS INC</t>
        </is>
      </c>
      <c r="E70" s="20" t="inlineStr">
        <is>
          <t>TB/MM/INV #3045218396/$12,112.39</t>
        </is>
      </c>
      <c r="F70" s="21" t="n">
        <v>12112.39</v>
      </c>
      <c r="G70" s="19" t="inlineStr">
        <is>
          <t>1. Pending New Contract - Original Contract Expired. New Contract in Process</t>
        </is>
      </c>
      <c r="H70" s="19" t="inlineStr">
        <is>
          <t>B. City Law Review</t>
        </is>
      </c>
      <c r="I70" s="19" t="inlineStr">
        <is>
          <t>APPROVED</t>
        </is>
      </c>
      <c r="J70" s="19" t="inlineStr">
        <is>
          <t>Yes</t>
        </is>
      </c>
      <c r="K70" s="19" t="inlineStr">
        <is>
          <t>No</t>
        </is>
      </c>
      <c r="L70" s="19" t="inlineStr"/>
      <c r="M70" s="19" t="inlineStr">
        <is>
          <t>RX590958</t>
        </is>
      </c>
      <c r="N70" s="19" t="inlineStr">
        <is>
          <t>E</t>
        </is>
      </c>
      <c r="O70" s="20" t="inlineStr">
        <is>
          <t>No linkage found in awarded contract file</t>
        </is>
      </c>
      <c r="P70" s="19" t="inlineStr"/>
      <c r="Q70" s="19" t="inlineStr"/>
      <c r="R70" s="31" t="inlineStr"/>
      <c r="S70" s="19" t="inlineStr"/>
      <c r="T70" s="19" t="inlineStr">
        <is>
          <t>No</t>
        </is>
      </c>
      <c r="U70" s="19" t="inlineStr">
        <is>
          <t>No</t>
        </is>
      </c>
      <c r="V70" s="19" t="inlineStr">
        <is>
          <t>No</t>
        </is>
      </c>
      <c r="W70" s="19" t="inlineStr">
        <is>
          <t>Yes</t>
        </is>
      </c>
    </row>
    <row r="71">
      <c r="A71" s="19" t="n">
        <v>737617</v>
      </c>
      <c r="B71" s="31" t="n">
        <v>46197</v>
      </c>
      <c r="C71" s="19" t="inlineStr">
        <is>
          <t>DEPARTMENT OF FLEET AND FACILITY MANAGEMENT</t>
        </is>
      </c>
      <c r="D71" s="19" t="inlineStr">
        <is>
          <t>LIZZETTE MEDINA &amp; COMPANY</t>
        </is>
      </c>
      <c r="E71" s="20" t="inlineStr">
        <is>
          <t>TB/VJ/4 INVOICES/$42,902.01</t>
        </is>
      </c>
      <c r="F71" s="21" t="n">
        <v>42902.01</v>
      </c>
      <c r="G71" s="19" t="inlineStr">
        <is>
          <t>1. Pending New Contract - Original Contract Expired. New Contract in Process</t>
        </is>
      </c>
      <c r="H71" s="19" t="inlineStr">
        <is>
          <t>B. City Law Review</t>
        </is>
      </c>
      <c r="I71" s="19" t="inlineStr">
        <is>
          <t>APPROVED</t>
        </is>
      </c>
      <c r="J71" s="19" t="inlineStr">
        <is>
          <t>Yes</t>
        </is>
      </c>
      <c r="K71" s="19" t="inlineStr">
        <is>
          <t>No</t>
        </is>
      </c>
      <c r="L71" s="19" t="inlineStr"/>
      <c r="M71" s="19" t="inlineStr">
        <is>
          <t>RX652655</t>
        </is>
      </c>
      <c r="N71" s="19" t="inlineStr">
        <is>
          <t>E</t>
        </is>
      </c>
      <c r="O71" s="20" t="inlineStr">
        <is>
          <t>No linkage found in awarded contract file</t>
        </is>
      </c>
      <c r="P71" s="19" t="inlineStr"/>
      <c r="Q71" s="19" t="inlineStr"/>
      <c r="R71" s="31" t="inlineStr"/>
      <c r="S71" s="19" t="inlineStr"/>
      <c r="T71" s="19" t="inlineStr">
        <is>
          <t>No</t>
        </is>
      </c>
      <c r="U71" s="19" t="inlineStr">
        <is>
          <t>No</t>
        </is>
      </c>
      <c r="V71" s="19" t="inlineStr">
        <is>
          <t>No</t>
        </is>
      </c>
      <c r="W71" s="19" t="inlineStr">
        <is>
          <t>Yes</t>
        </is>
      </c>
    </row>
    <row r="72">
      <c r="A72" s="19" t="n">
        <v>744428</v>
      </c>
      <c r="B72" s="31" t="n">
        <v>46241</v>
      </c>
      <c r="C72" s="19" t="inlineStr">
        <is>
          <t>DEPARTMENT OF FLEET AND FACILITY MANAGEMENT</t>
        </is>
      </c>
      <c r="D72" s="19" t="inlineStr">
        <is>
          <t>Eusebio Molina</t>
        </is>
      </c>
      <c r="E72" s="20" t="inlineStr">
        <is>
          <t>TB/JM/INVOICE #3931/$4000.00</t>
        </is>
      </c>
      <c r="F72" s="21" t="n">
        <v>4000</v>
      </c>
      <c r="G72" s="19" t="inlineStr">
        <is>
          <t>1. Pending New Contract - Original Contract Expired. New Contract in Process</t>
        </is>
      </c>
      <c r="H72" s="19" t="inlineStr">
        <is>
          <t>A. Specification Development Phase</t>
        </is>
      </c>
      <c r="I72" s="19" t="inlineStr">
        <is>
          <t>APPROVED</t>
        </is>
      </c>
      <c r="J72" s="19" t="inlineStr">
        <is>
          <t>No</t>
        </is>
      </c>
      <c r="K72" s="19" t="inlineStr">
        <is>
          <t>No</t>
        </is>
      </c>
      <c r="L72" s="19" t="inlineStr"/>
      <c r="M72" s="19" t="inlineStr">
        <is>
          <t>RX742376</t>
        </is>
      </c>
      <c r="N72" s="19" t="inlineStr">
        <is>
          <t>E</t>
        </is>
      </c>
      <c r="O72" s="20" t="inlineStr">
        <is>
          <t>No linkage found in awarded contract file</t>
        </is>
      </c>
      <c r="P72" s="19" t="inlineStr"/>
      <c r="Q72" s="19" t="inlineStr"/>
      <c r="R72" s="31" t="inlineStr"/>
      <c r="S72" s="19" t="inlineStr"/>
      <c r="T72" s="19" t="inlineStr">
        <is>
          <t>No</t>
        </is>
      </c>
      <c r="U72" s="19" t="inlineStr">
        <is>
          <t>No</t>
        </is>
      </c>
      <c r="V72" s="19" t="inlineStr">
        <is>
          <t>No</t>
        </is>
      </c>
      <c r="W72" s="19" t="inlineStr">
        <is>
          <t>No</t>
        </is>
      </c>
    </row>
    <row r="73">
      <c r="A73" s="19" t="n">
        <v>726255</v>
      </c>
      <c r="B73" s="31" t="n">
        <v>46136</v>
      </c>
      <c r="C73" s="19" t="inlineStr">
        <is>
          <t>DEPARTMENT OF FLEET AND FACILITY MANAGEMENT</t>
        </is>
      </c>
      <c r="D73" s="19" t="inlineStr">
        <is>
          <t>RUNNION EQUIPMENT CO</t>
        </is>
      </c>
      <c r="E73" s="20" t="inlineStr">
        <is>
          <t>TB/MM/8 INVOICES/$8427.63</t>
        </is>
      </c>
      <c r="F73" s="21" t="n">
        <v>8427.629999999999</v>
      </c>
      <c r="G73" s="19" t="inlineStr">
        <is>
          <t>1. Pending New Contract - Original Contract Expired. New Contract in Process</t>
        </is>
      </c>
      <c r="H73" s="19" t="inlineStr">
        <is>
          <t>B. City Law Review</t>
        </is>
      </c>
      <c r="I73" s="19" t="inlineStr">
        <is>
          <t>APPROVED</t>
        </is>
      </c>
      <c r="J73" s="19" t="inlineStr">
        <is>
          <t>Yes</t>
        </is>
      </c>
      <c r="K73" s="19" t="inlineStr">
        <is>
          <t>No</t>
        </is>
      </c>
      <c r="L73" s="19" t="inlineStr"/>
      <c r="M73" s="19" t="inlineStr">
        <is>
          <t>RX590958</t>
        </is>
      </c>
      <c r="N73" s="19" t="inlineStr">
        <is>
          <t>E</t>
        </is>
      </c>
      <c r="O73" s="20" t="inlineStr">
        <is>
          <t>No linkage found in awarded contract file</t>
        </is>
      </c>
      <c r="P73" s="19" t="inlineStr"/>
      <c r="Q73" s="19" t="inlineStr"/>
      <c r="R73" s="31" t="inlineStr"/>
      <c r="S73" s="19" t="inlineStr"/>
      <c r="T73" s="19" t="inlineStr">
        <is>
          <t>No</t>
        </is>
      </c>
      <c r="U73" s="19" t="inlineStr">
        <is>
          <t>No</t>
        </is>
      </c>
      <c r="V73" s="19" t="inlineStr">
        <is>
          <t>No</t>
        </is>
      </c>
      <c r="W73" s="19" t="inlineStr">
        <is>
          <t>Yes</t>
        </is>
      </c>
    </row>
    <row r="74">
      <c r="A74" s="19" t="n">
        <v>725176</v>
      </c>
      <c r="B74" s="31" t="n">
        <v>46139</v>
      </c>
      <c r="C74" s="19" t="inlineStr">
        <is>
          <t>DEPARTMENT OF FLEET AND FACILITY MANAGEMENT</t>
        </is>
      </c>
      <c r="D74" s="19" t="inlineStr">
        <is>
          <t>CAR WASH PARTNERS INC</t>
        </is>
      </c>
      <c r="E74" s="20" t="inlineStr">
        <is>
          <t>TB/INV#9008/$13,057.00</t>
        </is>
      </c>
      <c r="F74" s="21" t="n">
        <v>13057</v>
      </c>
      <c r="G74" s="19" t="inlineStr">
        <is>
          <t>1. Pending New Contract - Original Contract Expired. New Contract in Process</t>
        </is>
      </c>
      <c r="H74" s="19" t="inlineStr">
        <is>
          <t>A. Specification Development Phase</t>
        </is>
      </c>
      <c r="I74" s="19" t="inlineStr">
        <is>
          <t>APPROVED</t>
        </is>
      </c>
      <c r="J74" s="19" t="inlineStr">
        <is>
          <t>Yes</t>
        </is>
      </c>
      <c r="K74" s="19" t="inlineStr">
        <is>
          <t>No</t>
        </is>
      </c>
      <c r="L74" s="19" t="inlineStr"/>
      <c r="M74" s="19" t="inlineStr">
        <is>
          <t>RX710856</t>
        </is>
      </c>
      <c r="N74" s="19" t="inlineStr">
        <is>
          <t>E</t>
        </is>
      </c>
      <c r="O74" s="20" t="inlineStr">
        <is>
          <t>No linkage found in awarded contract file</t>
        </is>
      </c>
      <c r="P74" s="19" t="inlineStr"/>
      <c r="Q74" s="19" t="inlineStr"/>
      <c r="R74" s="31" t="inlineStr"/>
      <c r="S74" s="19" t="inlineStr"/>
      <c r="T74" s="19" t="inlineStr">
        <is>
          <t>No</t>
        </is>
      </c>
      <c r="U74" s="19" t="inlineStr">
        <is>
          <t>No</t>
        </is>
      </c>
      <c r="V74" s="19" t="inlineStr">
        <is>
          <t>No</t>
        </is>
      </c>
      <c r="W74" s="19" t="inlineStr">
        <is>
          <t>Yes</t>
        </is>
      </c>
    </row>
    <row r="75">
      <c r="A75" s="19" t="n">
        <v>726239</v>
      </c>
      <c r="B75" s="31" t="n">
        <v>46136</v>
      </c>
      <c r="C75" s="19" t="inlineStr">
        <is>
          <t>DEPARTMENT OF FLEET AND FACILITY MANAGEMENT</t>
        </is>
      </c>
      <c r="D75" s="19" t="inlineStr">
        <is>
          <t>AGAE CONTRACTORS, INC.</t>
        </is>
      </c>
      <c r="E75" s="20" t="inlineStr">
        <is>
          <t>TB/AO/INV #S3384-1/$204.78</t>
        </is>
      </c>
      <c r="F75" s="21" t="n">
        <v>204.78</v>
      </c>
      <c r="G75" s="19" t="inlineStr">
        <is>
          <t>1. Pending New Contract - Original Contract Expired. New Contract in Process</t>
        </is>
      </c>
      <c r="H75" s="19" t="inlineStr">
        <is>
          <t>C. Solicitation or Bidding Phase</t>
        </is>
      </c>
      <c r="I75" s="19" t="inlineStr">
        <is>
          <t>APPROVED</t>
        </is>
      </c>
      <c r="J75" s="19" t="inlineStr">
        <is>
          <t>Yes</t>
        </is>
      </c>
      <c r="K75" s="19" t="inlineStr">
        <is>
          <t>No</t>
        </is>
      </c>
      <c r="L75" s="19" t="inlineStr"/>
      <c r="M75" s="19" t="inlineStr">
        <is>
          <t>RX607736</t>
        </is>
      </c>
      <c r="N75" s="19" t="inlineStr">
        <is>
          <t>E</t>
        </is>
      </c>
      <c r="O75" s="20" t="inlineStr">
        <is>
          <t>No linkage found in awarded contract file</t>
        </is>
      </c>
      <c r="P75" s="19" t="inlineStr"/>
      <c r="Q75" s="19" t="inlineStr"/>
      <c r="R75" s="31" t="inlineStr"/>
      <c r="S75" s="19" t="inlineStr"/>
      <c r="T75" s="19" t="inlineStr">
        <is>
          <t>No</t>
        </is>
      </c>
      <c r="U75" s="19" t="inlineStr">
        <is>
          <t>No</t>
        </is>
      </c>
      <c r="V75" s="19" t="inlineStr">
        <is>
          <t>No</t>
        </is>
      </c>
      <c r="W75" s="19" t="inlineStr">
        <is>
          <t>Yes</t>
        </is>
      </c>
    </row>
    <row r="76">
      <c r="A76" s="19" t="n">
        <v>725684</v>
      </c>
      <c r="B76" s="31" t="n">
        <v>46135</v>
      </c>
      <c r="C76" s="19" t="inlineStr">
        <is>
          <t>DEPARTMENT OF FLEET AND FACILITY MANAGEMENT</t>
        </is>
      </c>
      <c r="D76" s="19" t="inlineStr">
        <is>
          <t>ABC Humane Wildlife Control &amp; Prevention, Inc.</t>
        </is>
      </c>
      <c r="E76" s="20" t="inlineStr">
        <is>
          <t>TB/AH/4 INVOICES/ $58,103.47</t>
        </is>
      </c>
      <c r="F76" s="21" t="n">
        <v>58103.47</v>
      </c>
      <c r="G76" s="19" t="inlineStr">
        <is>
          <t>1. Pending New Contract - Original Contract Expired. New Contract in Process</t>
        </is>
      </c>
      <c r="H76" s="19" t="inlineStr">
        <is>
          <t>A. Specification Development Phase</t>
        </is>
      </c>
      <c r="I76" s="19" t="inlineStr">
        <is>
          <t>APPROVED</t>
        </is>
      </c>
      <c r="J76" s="19" t="inlineStr">
        <is>
          <t>No</t>
        </is>
      </c>
      <c r="K76" s="19" t="inlineStr">
        <is>
          <t>No</t>
        </is>
      </c>
      <c r="L76" s="19" t="inlineStr"/>
      <c r="M76" s="19" t="inlineStr">
        <is>
          <t>RX682957</t>
        </is>
      </c>
      <c r="N76" s="19" t="inlineStr">
        <is>
          <t>E</t>
        </is>
      </c>
      <c r="O76" s="20" t="inlineStr">
        <is>
          <t>No linkage found in awarded contract file</t>
        </is>
      </c>
      <c r="P76" s="19" t="inlineStr"/>
      <c r="Q76" s="19" t="inlineStr"/>
      <c r="R76" s="31" t="inlineStr"/>
      <c r="S76" s="19" t="inlineStr"/>
      <c r="T76" s="19" t="inlineStr">
        <is>
          <t>No</t>
        </is>
      </c>
      <c r="U76" s="19" t="inlineStr">
        <is>
          <t>No</t>
        </is>
      </c>
      <c r="V76" s="19" t="inlineStr">
        <is>
          <t>No</t>
        </is>
      </c>
      <c r="W76" s="19" t="inlineStr">
        <is>
          <t>No</t>
        </is>
      </c>
    </row>
    <row r="77">
      <c r="A77" s="19" t="n">
        <v>729988</v>
      </c>
      <c r="B77" s="31" t="n">
        <v>46153</v>
      </c>
      <c r="C77" s="19" t="inlineStr">
        <is>
          <t>DEPARTMENT OF FLEET AND FACILITY MANAGEMENT</t>
        </is>
      </c>
      <c r="D77" s="19" t="inlineStr">
        <is>
          <t>5410 Car Wash LLC</t>
        </is>
      </c>
      <c r="E77" s="20" t="inlineStr">
        <is>
          <t>TB/2 INVOICES/$2670.00</t>
        </is>
      </c>
      <c r="F77" s="21" t="n">
        <v>2670</v>
      </c>
      <c r="G77" s="19" t="inlineStr">
        <is>
          <t>1. Pending New Contract - Original Contract Expired. New Contract in Process</t>
        </is>
      </c>
      <c r="H77" s="19" t="inlineStr">
        <is>
          <t>A. Specification Development Phase</t>
        </is>
      </c>
      <c r="I77" s="19" t="inlineStr">
        <is>
          <t>APPROVED</t>
        </is>
      </c>
      <c r="J77" s="19" t="inlineStr">
        <is>
          <t>Yes</t>
        </is>
      </c>
      <c r="K77" s="19" t="inlineStr">
        <is>
          <t>No</t>
        </is>
      </c>
      <c r="L77" s="19" t="inlineStr"/>
      <c r="M77" s="19" t="inlineStr">
        <is>
          <t>RX710856</t>
        </is>
      </c>
      <c r="N77" s="19" t="inlineStr">
        <is>
          <t>E</t>
        </is>
      </c>
      <c r="O77" s="20" t="inlineStr">
        <is>
          <t>No linkage found in awarded contract file</t>
        </is>
      </c>
      <c r="P77" s="19" t="inlineStr"/>
      <c r="Q77" s="19" t="inlineStr"/>
      <c r="R77" s="31" t="inlineStr"/>
      <c r="S77" s="19" t="inlineStr"/>
      <c r="T77" s="19" t="inlineStr">
        <is>
          <t>No</t>
        </is>
      </c>
      <c r="U77" s="19" t="inlineStr">
        <is>
          <t>No</t>
        </is>
      </c>
      <c r="V77" s="19" t="inlineStr">
        <is>
          <t>No</t>
        </is>
      </c>
      <c r="W77" s="19" t="inlineStr">
        <is>
          <t>Yes</t>
        </is>
      </c>
    </row>
    <row r="78">
      <c r="A78" s="19" t="n">
        <v>746334</v>
      </c>
      <c r="B78" s="31" t="n">
        <v>46252</v>
      </c>
      <c r="C78" s="19" t="inlineStr">
        <is>
          <t>DEPARTMENT OF PROCUREMENT SERVICES</t>
        </is>
      </c>
      <c r="D78" s="19" t="inlineStr">
        <is>
          <t>BLUETRITON BRANDS INC</t>
        </is>
      </c>
      <c r="E78" s="20" t="inlineStr">
        <is>
          <t>Monthly Drinking Water Services at City of Chicago Salvage Operations August 2026</t>
        </is>
      </c>
      <c r="F78" s="21" t="n">
        <v>29.97</v>
      </c>
      <c r="G78" s="19" t="inlineStr">
        <is>
          <t>1. Pending New Contract - Original Contract Expired. New Contract in Process</t>
        </is>
      </c>
      <c r="H78" s="19" t="inlineStr">
        <is>
          <t>A. Specification Development Phase</t>
        </is>
      </c>
      <c r="I78" s="19" t="inlineStr">
        <is>
          <t>APPROVED</t>
        </is>
      </c>
      <c r="J78" s="19" t="inlineStr">
        <is>
          <t>Yes</t>
        </is>
      </c>
      <c r="K78" s="19" t="inlineStr">
        <is>
          <t>Yes</t>
        </is>
      </c>
      <c r="L78" s="19" t="n">
        <v>30043</v>
      </c>
      <c r="M78" s="19" t="inlineStr">
        <is>
          <t>RX511569</t>
        </is>
      </c>
      <c r="N78" s="19" t="inlineStr">
        <is>
          <t>E</t>
        </is>
      </c>
      <c r="O78" s="20" t="inlineStr">
        <is>
          <t>No linkage found in awarded contract file</t>
        </is>
      </c>
      <c r="P78" s="19" t="inlineStr"/>
      <c r="Q78" s="19" t="inlineStr"/>
      <c r="R78" s="31" t="inlineStr"/>
      <c r="S78" s="19" t="inlineStr"/>
      <c r="T78" s="19" t="inlineStr">
        <is>
          <t>No</t>
        </is>
      </c>
      <c r="U78" s="19" t="inlineStr">
        <is>
          <t>No</t>
        </is>
      </c>
      <c r="V78" s="19" t="inlineStr">
        <is>
          <t>No</t>
        </is>
      </c>
      <c r="W78" s="19" t="inlineStr">
        <is>
          <t>Yes</t>
        </is>
      </c>
    </row>
    <row r="79">
      <c r="A79" s="19" t="n">
        <v>709701</v>
      </c>
      <c r="B79" s="31" t="n">
        <v>46045</v>
      </c>
      <c r="C79" s="19" t="inlineStr">
        <is>
          <t>DEPARTMENT OF STREETS AND SANITATION</t>
        </is>
      </c>
      <c r="D79" s="19" t="inlineStr">
        <is>
          <t>BLUETRITON BRANDS INC</t>
        </is>
      </c>
      <c r="E79" s="20" t="inlineStr">
        <is>
          <t>water</t>
        </is>
      </c>
      <c r="F79" s="21" t="n">
        <v>119.45</v>
      </c>
      <c r="G79" s="19" t="inlineStr">
        <is>
          <t>6. Bid Protest - Contract Award under Review</t>
        </is>
      </c>
      <c r="H79" s="19" t="inlineStr">
        <is>
          <t>D. Solicitation Response Under Evaluation</t>
        </is>
      </c>
      <c r="I79" s="19" t="inlineStr">
        <is>
          <t>APPROVED</t>
        </is>
      </c>
      <c r="J79" s="19" t="inlineStr">
        <is>
          <t>Yes</t>
        </is>
      </c>
      <c r="K79" s="19" t="inlineStr">
        <is>
          <t>No</t>
        </is>
      </c>
      <c r="L79" s="19" t="n">
        <v>0</v>
      </c>
      <c r="M79" s="19" t="inlineStr">
        <is>
          <t>VDBLUETRITON BRANDS</t>
        </is>
      </c>
      <c r="N79" s="19" t="inlineStr">
        <is>
          <t>E</t>
        </is>
      </c>
      <c r="O79" s="20" t="inlineStr">
        <is>
          <t>No linkage found in awarded contract file</t>
        </is>
      </c>
      <c r="P79" s="19" t="inlineStr"/>
      <c r="Q79" s="19" t="inlineStr"/>
      <c r="R79" s="31" t="inlineStr"/>
      <c r="S79" s="19" t="inlineStr"/>
      <c r="T79" s="19" t="inlineStr">
        <is>
          <t>No</t>
        </is>
      </c>
      <c r="U79" s="19" t="inlineStr">
        <is>
          <t>No</t>
        </is>
      </c>
      <c r="V79" s="19" t="inlineStr">
        <is>
          <t>No</t>
        </is>
      </c>
      <c r="W79" s="19" t="inlineStr">
        <is>
          <t>No</t>
        </is>
      </c>
    </row>
    <row r="80">
      <c r="A80" s="19" t="n">
        <v>714990</v>
      </c>
      <c r="B80" s="31" t="n">
        <v>46072</v>
      </c>
      <c r="C80" s="19" t="inlineStr">
        <is>
          <t>DEPARTMENT OF STREETS AND SANITATION</t>
        </is>
      </c>
      <c r="D80" s="19" t="inlineStr">
        <is>
          <t>BLUETRITON BRANDS INC</t>
        </is>
      </c>
      <c r="E80" s="20" t="inlineStr">
        <is>
          <t>water</t>
        </is>
      </c>
      <c r="F80" s="21" t="n">
        <v>62.86</v>
      </c>
      <c r="G80" s="19" t="inlineStr">
        <is>
          <t>6. Bid Protest - Contract Award under Review</t>
        </is>
      </c>
      <c r="H80" s="19" t="inlineStr">
        <is>
          <t>D. Solicitation Response Under Evaluation</t>
        </is>
      </c>
      <c r="I80" s="19" t="inlineStr">
        <is>
          <t>APPROVED</t>
        </is>
      </c>
      <c r="J80" s="19" t="inlineStr">
        <is>
          <t>Yes</t>
        </is>
      </c>
      <c r="K80" s="19" t="inlineStr">
        <is>
          <t>No</t>
        </is>
      </c>
      <c r="L80" s="19" t="n">
        <v>0</v>
      </c>
      <c r="M80" s="19" t="inlineStr">
        <is>
          <t>VDBLUETRITON BRANDS</t>
        </is>
      </c>
      <c r="N80" s="19" t="inlineStr">
        <is>
          <t>E</t>
        </is>
      </c>
      <c r="O80" s="20" t="inlineStr">
        <is>
          <t>No linkage found in awarded contract file</t>
        </is>
      </c>
      <c r="P80" s="19" t="inlineStr"/>
      <c r="Q80" s="19" t="inlineStr"/>
      <c r="R80" s="31" t="inlineStr"/>
      <c r="S80" s="19" t="inlineStr"/>
      <c r="T80" s="19" t="inlineStr">
        <is>
          <t>No</t>
        </is>
      </c>
      <c r="U80" s="19" t="inlineStr">
        <is>
          <t>No</t>
        </is>
      </c>
      <c r="V80" s="19" t="inlineStr">
        <is>
          <t>No</t>
        </is>
      </c>
      <c r="W80" s="19" t="inlineStr">
        <is>
          <t>No</t>
        </is>
      </c>
    </row>
    <row r="81">
      <c r="A81" s="19" t="n">
        <v>726038</v>
      </c>
      <c r="B81" s="31" t="n">
        <v>46136</v>
      </c>
      <c r="C81" s="19" t="inlineStr">
        <is>
          <t>DEPARTMENT OF STREETS AND SANITATION</t>
        </is>
      </c>
      <c r="D81" s="19" t="inlineStr">
        <is>
          <t>BLUETRITON BRANDS INC</t>
        </is>
      </c>
      <c r="E81" s="20" t="inlineStr">
        <is>
          <t>water</t>
        </is>
      </c>
      <c r="F81" s="21" t="n">
        <v>131.75</v>
      </c>
      <c r="G81" s="19" t="inlineStr">
        <is>
          <t>6. Bid Protest - Contract Award under Review</t>
        </is>
      </c>
      <c r="H81" s="19" t="inlineStr">
        <is>
          <t>D. Solicitation Response Under Evaluation</t>
        </is>
      </c>
      <c r="I81" s="19" t="inlineStr">
        <is>
          <t>APPROVED</t>
        </is>
      </c>
      <c r="J81" s="19" t="inlineStr">
        <is>
          <t>Yes</t>
        </is>
      </c>
      <c r="K81" s="19" t="inlineStr">
        <is>
          <t>No</t>
        </is>
      </c>
      <c r="L81" s="19" t="n">
        <v>0</v>
      </c>
      <c r="M81" s="19" t="inlineStr">
        <is>
          <t>VDBLUETRITON BRANDS</t>
        </is>
      </c>
      <c r="N81" s="19" t="inlineStr">
        <is>
          <t>E</t>
        </is>
      </c>
      <c r="O81" s="20" t="inlineStr">
        <is>
          <t>No linkage found in awarded contract file</t>
        </is>
      </c>
      <c r="P81" s="19" t="inlineStr"/>
      <c r="Q81" s="19" t="inlineStr"/>
      <c r="R81" s="31" t="inlineStr"/>
      <c r="S81" s="19" t="inlineStr"/>
      <c r="T81" s="19" t="inlineStr">
        <is>
          <t>No</t>
        </is>
      </c>
      <c r="U81" s="19" t="inlineStr">
        <is>
          <t>No</t>
        </is>
      </c>
      <c r="V81" s="19" t="inlineStr">
        <is>
          <t>No</t>
        </is>
      </c>
      <c r="W81" s="19" t="inlineStr">
        <is>
          <t>No</t>
        </is>
      </c>
    </row>
    <row r="82">
      <c r="A82" s="19" t="n">
        <v>712306</v>
      </c>
      <c r="B82" s="31" t="n">
        <v>46058</v>
      </c>
      <c r="C82" s="19" t="inlineStr">
        <is>
          <t>CHICAGO DEPARTMENT OF PUBLIC HEALTH</t>
        </is>
      </c>
      <c r="D82" s="19" t="inlineStr">
        <is>
          <t>AVOQ LLC</t>
        </is>
      </c>
      <c r="E82" s="20" t="inlineStr">
        <is>
          <t>January 2025 Consulting Services CDPH MPV/HIVFebruary 2025 Consulting Services CDPH MPV/HIV</t>
        </is>
      </c>
      <c r="F82" s="21" t="n">
        <v>40000</v>
      </c>
      <c r="G82" s="19" t="inlineStr">
        <is>
          <t>3. One Time Purchase</t>
        </is>
      </c>
      <c r="H82" s="19" t="inlineStr">
        <is>
          <t>H. One Time Purchase</t>
        </is>
      </c>
      <c r="I82" s="19" t="inlineStr">
        <is>
          <t>APPROVED</t>
        </is>
      </c>
      <c r="J82" s="19" t="inlineStr">
        <is>
          <t>Yes</t>
        </is>
      </c>
      <c r="K82" s="19" t="inlineStr">
        <is>
          <t>No</t>
        </is>
      </c>
      <c r="L82" s="19" t="inlineStr"/>
      <c r="M82" s="19" t="inlineStr">
        <is>
          <t>VDAVOQ</t>
        </is>
      </c>
      <c r="N82" s="19" t="inlineStr">
        <is>
          <t>E</t>
        </is>
      </c>
      <c r="O82" s="20" t="inlineStr">
        <is>
          <t>No linkage found in awarded contract file</t>
        </is>
      </c>
      <c r="P82" s="19" t="inlineStr"/>
      <c r="Q82" s="19" t="inlineStr"/>
      <c r="R82" s="31" t="inlineStr"/>
      <c r="S82" s="19" t="inlineStr"/>
      <c r="T82" s="19" t="inlineStr">
        <is>
          <t>No</t>
        </is>
      </c>
      <c r="U82" s="19" t="inlineStr">
        <is>
          <t>No</t>
        </is>
      </c>
      <c r="V82" s="19" t="inlineStr">
        <is>
          <t>No</t>
        </is>
      </c>
      <c r="W82" s="19" t="inlineStr">
        <is>
          <t>No</t>
        </is>
      </c>
    </row>
    <row r="83">
      <c r="A83" s="19" t="n">
        <v>714588</v>
      </c>
      <c r="B83" s="31" t="n">
        <v>46077</v>
      </c>
      <c r="C83" s="19" t="inlineStr">
        <is>
          <t>CHICAGO DEPARTMENT OF AVIATION</t>
        </is>
      </c>
      <c r="D83" s="19" t="inlineStr">
        <is>
          <t>DTN, LLC</t>
        </is>
      </c>
      <c r="E83" s="20" t="inlineStr">
        <is>
          <t>Invoice# 210-00216719   SEPTEMBER 2025 Invoice Â¿ Used for visual representation of approaching weather to augment forecasting services. Also includes a pavement forecast, lightning monitoring and an approaching weather forecast.</t>
        </is>
      </c>
      <c r="F83" s="21" t="n">
        <v>3105</v>
      </c>
      <c r="G83" s="19" t="inlineStr">
        <is>
          <t>5. User Dept. Decision - Elects to Purchase Smaller Goods or Services not Covered by Existing Contract</t>
        </is>
      </c>
      <c r="H83" s="19" t="inlineStr">
        <is>
          <t>A. Specification Development Phase</t>
        </is>
      </c>
      <c r="I83" s="19" t="inlineStr">
        <is>
          <t>APPROVED</t>
        </is>
      </c>
      <c r="J83" s="19" t="inlineStr">
        <is>
          <t>Yes</t>
        </is>
      </c>
      <c r="K83" s="19" t="inlineStr">
        <is>
          <t>No</t>
        </is>
      </c>
      <c r="L83" s="19" t="inlineStr"/>
      <c r="M83" s="19" t="inlineStr">
        <is>
          <t>RX656425</t>
        </is>
      </c>
      <c r="N83" s="19" t="inlineStr">
        <is>
          <t>E</t>
        </is>
      </c>
      <c r="O83" s="20" t="inlineStr">
        <is>
          <t>No linkage found in awarded contract file</t>
        </is>
      </c>
      <c r="P83" s="19" t="inlineStr"/>
      <c r="Q83" s="19" t="inlineStr"/>
      <c r="R83" s="31" t="inlineStr"/>
      <c r="S83" s="19" t="inlineStr"/>
      <c r="T83" s="19" t="inlineStr">
        <is>
          <t>No</t>
        </is>
      </c>
      <c r="U83" s="19" t="inlineStr">
        <is>
          <t>No</t>
        </is>
      </c>
      <c r="V83" s="19" t="inlineStr">
        <is>
          <t>No</t>
        </is>
      </c>
      <c r="W83" s="19" t="inlineStr">
        <is>
          <t>Yes</t>
        </is>
      </c>
    </row>
    <row r="84">
      <c r="A84" s="19" t="n">
        <v>736858</v>
      </c>
      <c r="B84" s="31" t="n">
        <v>46195</v>
      </c>
      <c r="C84" s="19" t="inlineStr">
        <is>
          <t>CHICAGO DEPARTMENT OF AVIATION</t>
        </is>
      </c>
      <c r="D84" s="19" t="inlineStr">
        <is>
          <t>R4 SERVICES, LLC.</t>
        </is>
      </c>
      <c r="E84" s="20" t="inlineStr">
        <is>
          <t>#3 Invoices  $7,434.75NEED TO PAY RECURRING INVOICES FOR RECORDS RETENTIONSERVICES 3/26, 4/26, 5/26</t>
        </is>
      </c>
      <c r="F84" s="21" t="n">
        <v>7434.75</v>
      </c>
      <c r="G84" s="19" t="inlineStr">
        <is>
          <t>2. Pending Amendment/Modification - Line Item Addition / Vendor Limit Increase / Scope Change</t>
        </is>
      </c>
      <c r="H84" s="19" t="inlineStr">
        <is>
          <t>A. Specification Development Phase</t>
        </is>
      </c>
      <c r="I84" s="19" t="inlineStr">
        <is>
          <t>APPROVED</t>
        </is>
      </c>
      <c r="J84" s="19" t="inlineStr">
        <is>
          <t>No</t>
        </is>
      </c>
      <c r="K84" s="19" t="inlineStr">
        <is>
          <t>No</t>
        </is>
      </c>
      <c r="L84" s="19" t="inlineStr"/>
      <c r="M84" s="19" t="inlineStr">
        <is>
          <t>VDR4</t>
        </is>
      </c>
      <c r="N84" s="19" t="inlineStr">
        <is>
          <t>E</t>
        </is>
      </c>
      <c r="O84" s="20" t="inlineStr">
        <is>
          <t>No linkage found in awarded contract file</t>
        </is>
      </c>
      <c r="P84" s="19" t="inlineStr"/>
      <c r="Q84" s="19" t="inlineStr"/>
      <c r="R84" s="31" t="inlineStr"/>
      <c r="S84" s="19" t="inlineStr"/>
      <c r="T84" s="19" t="inlineStr">
        <is>
          <t>No</t>
        </is>
      </c>
      <c r="U84" s="19" t="inlineStr">
        <is>
          <t>No</t>
        </is>
      </c>
      <c r="V84" s="19" t="inlineStr">
        <is>
          <t>No</t>
        </is>
      </c>
      <c r="W84" s="19" t="inlineStr">
        <is>
          <t>No</t>
        </is>
      </c>
    </row>
    <row r="85">
      <c r="A85" s="19" t="n">
        <v>729536</v>
      </c>
      <c r="B85" s="31" t="n">
        <v>46163</v>
      </c>
      <c r="C85" s="19" t="inlineStr">
        <is>
          <t>CHICAGO DEPARTMENT OF AVIATION</t>
        </is>
      </c>
      <c r="D85" s="19" t="inlineStr">
        <is>
          <t>VALDES LLC</t>
        </is>
      </c>
      <c r="E85" s="20" t="inlineStr">
        <is>
          <t>Invoice#  112505  2026 Midway Deicing Materials - Magnesium Chloride 50lb bag. To pay invoice # 112505</t>
        </is>
      </c>
      <c r="F85" s="21" t="n">
        <v>27965</v>
      </c>
      <c r="G85" s="19" t="inlineStr">
        <is>
          <t>1. Pending New Contract - Original Contract Expired. New Contract in Process</t>
        </is>
      </c>
      <c r="H85" s="19" t="inlineStr">
        <is>
          <t>A. Specification Development Phase</t>
        </is>
      </c>
      <c r="I85" s="19" t="inlineStr">
        <is>
          <t>APPROVED</t>
        </is>
      </c>
      <c r="J85" s="19" t="inlineStr">
        <is>
          <t>No</t>
        </is>
      </c>
      <c r="K85" s="19" t="inlineStr">
        <is>
          <t>No</t>
        </is>
      </c>
      <c r="L85" s="19" t="inlineStr"/>
      <c r="M85" s="19" t="inlineStr">
        <is>
          <t>RX687026</t>
        </is>
      </c>
      <c r="N85" s="19" t="inlineStr">
        <is>
          <t>E</t>
        </is>
      </c>
      <c r="O85" s="20" t="inlineStr">
        <is>
          <t>No linkage found in awarded contract file</t>
        </is>
      </c>
      <c r="P85" s="19" t="inlineStr"/>
      <c r="Q85" s="19" t="inlineStr"/>
      <c r="R85" s="31" t="inlineStr"/>
      <c r="S85" s="19" t="inlineStr"/>
      <c r="T85" s="19" t="inlineStr">
        <is>
          <t>No</t>
        </is>
      </c>
      <c r="U85" s="19" t="inlineStr">
        <is>
          <t>No</t>
        </is>
      </c>
      <c r="V85" s="19" t="inlineStr">
        <is>
          <t>No</t>
        </is>
      </c>
      <c r="W85" s="19" t="inlineStr">
        <is>
          <t>No</t>
        </is>
      </c>
    </row>
    <row r="86">
      <c r="A86" s="19" t="n">
        <v>737893</v>
      </c>
      <c r="B86" s="31" t="n">
        <v>46203</v>
      </c>
      <c r="C86" s="19" t="inlineStr">
        <is>
          <t>DEPARTMENT OF FLEET AND FACILITY MANAGEMENT</t>
        </is>
      </c>
      <c r="D86" s="19" t="inlineStr">
        <is>
          <t>RUNNION EQUIPMENT CO</t>
        </is>
      </c>
      <c r="E86" s="20" t="inlineStr">
        <is>
          <t>Runnion Equipment  743464 B  JS/ MM/ Invoice # INV68694/ $3,056.12/ AVCB01/ WO 2619174/ Aerial Inspection &amp; Certification</t>
        </is>
      </c>
      <c r="F86" s="21" t="n">
        <v>3056.12</v>
      </c>
      <c r="G86" s="19" t="inlineStr">
        <is>
          <t>1. Pending New Contract - Original Contract Expired. New Contract in Process</t>
        </is>
      </c>
      <c r="H86" s="19" t="inlineStr">
        <is>
          <t>B. City Law Review</t>
        </is>
      </c>
      <c r="I86" s="19" t="inlineStr">
        <is>
          <t>APPROVED</t>
        </is>
      </c>
      <c r="J86" s="19" t="inlineStr">
        <is>
          <t>Yes</t>
        </is>
      </c>
      <c r="K86" s="19" t="inlineStr">
        <is>
          <t>No</t>
        </is>
      </c>
      <c r="L86" s="19" t="inlineStr"/>
      <c r="M86" s="19" t="inlineStr">
        <is>
          <t>RX590958</t>
        </is>
      </c>
      <c r="N86" s="19" t="inlineStr">
        <is>
          <t>E</t>
        </is>
      </c>
      <c r="O86" s="20" t="inlineStr">
        <is>
          <t>No linkage found in awarded contract file</t>
        </is>
      </c>
      <c r="P86" s="19" t="inlineStr"/>
      <c r="Q86" s="19" t="inlineStr"/>
      <c r="R86" s="31" t="inlineStr"/>
      <c r="S86" s="19" t="inlineStr"/>
      <c r="T86" s="19" t="inlineStr">
        <is>
          <t>No</t>
        </is>
      </c>
      <c r="U86" s="19" t="inlineStr">
        <is>
          <t>No</t>
        </is>
      </c>
      <c r="V86" s="19" t="inlineStr">
        <is>
          <t>No</t>
        </is>
      </c>
      <c r="W86" s="19" t="inlineStr">
        <is>
          <t>Yes</t>
        </is>
      </c>
    </row>
    <row r="87">
      <c r="A87" s="19" t="n">
        <v>741044</v>
      </c>
      <c r="B87" s="31" t="n">
        <v>46238</v>
      </c>
      <c r="C87" s="19" t="inlineStr">
        <is>
          <t>DEPARTMENT OF FLEET AND FACILITY MANAGEMENT</t>
        </is>
      </c>
      <c r="D87" s="19" t="inlineStr">
        <is>
          <t>EQUIPMENT DEPOT OF ILLINOIS INC</t>
        </is>
      </c>
      <c r="E87" s="20" t="inlineStr">
        <is>
          <t>Equipment Depot of Illinois, Inc. 50081462 G   JS/ WW/ Invoice # 1300174268/ $136,232.00/2 DUA FUEL FORKLIFTS 900 E. 10RD</t>
        </is>
      </c>
      <c r="F87" s="21" t="n">
        <v>136232</v>
      </c>
      <c r="G87" s="19" t="inlineStr">
        <is>
          <t>1. Pending New Contract - Original Contract Expired. New Contract in Process</t>
        </is>
      </c>
      <c r="H87" s="19" t="inlineStr">
        <is>
          <t>A. Specification Development Phase</t>
        </is>
      </c>
      <c r="I87" s="19" t="inlineStr">
        <is>
          <t>APPROVED</t>
        </is>
      </c>
      <c r="J87" s="19" t="inlineStr">
        <is>
          <t>No</t>
        </is>
      </c>
      <c r="K87" s="19" t="inlineStr">
        <is>
          <t>No</t>
        </is>
      </c>
      <c r="L87" s="19" t="inlineStr"/>
      <c r="M87" s="19" t="inlineStr">
        <is>
          <t>RX738666</t>
        </is>
      </c>
      <c r="N87" s="19" t="inlineStr">
        <is>
          <t>E</t>
        </is>
      </c>
      <c r="O87" s="20" t="inlineStr">
        <is>
          <t>No linkage found in awarded contract file</t>
        </is>
      </c>
      <c r="P87" s="19" t="inlineStr"/>
      <c r="Q87" s="19" t="inlineStr"/>
      <c r="R87" s="31" t="inlineStr"/>
      <c r="S87" s="19" t="inlineStr"/>
      <c r="T87" s="19" t="inlineStr">
        <is>
          <t>No</t>
        </is>
      </c>
      <c r="U87" s="19" t="inlineStr">
        <is>
          <t>No</t>
        </is>
      </c>
      <c r="V87" s="19" t="inlineStr">
        <is>
          <t>No</t>
        </is>
      </c>
      <c r="W87" s="19" t="inlineStr">
        <is>
          <t>No</t>
        </is>
      </c>
    </row>
    <row r="88">
      <c r="A88" s="19" t="n">
        <v>722200</v>
      </c>
      <c r="B88" s="31" t="n">
        <v>46142</v>
      </c>
      <c r="C88" s="19" t="inlineStr">
        <is>
          <t>DEPARTMENT OF FLEET AND FACILITY MANAGEMENT</t>
        </is>
      </c>
      <c r="D88" s="19" t="inlineStr">
        <is>
          <t>HASTINGS AIR ENERGY CONTROL</t>
        </is>
      </c>
      <c r="E88" s="20" t="inlineStr">
        <is>
          <t>Hastings 1033282 B   JS/ JG/ Invoice Number: O38604D102-B/ $3,451.50/ January / Exhaust System Maint Pt. 2</t>
        </is>
      </c>
      <c r="F88" s="21" t="n">
        <v>3451.5</v>
      </c>
      <c r="G88" s="19" t="inlineStr">
        <is>
          <t>2. Pending Amendment/Modification - Line Item Addition / Vendor Limit Increase / Scope Change</t>
        </is>
      </c>
      <c r="H88" s="19" t="inlineStr">
        <is>
          <t>A. Specification Development Phase</t>
        </is>
      </c>
      <c r="I88" s="19" t="inlineStr">
        <is>
          <t>APPROVED</t>
        </is>
      </c>
      <c r="J88" s="19" t="inlineStr">
        <is>
          <t>No</t>
        </is>
      </c>
      <c r="K88" s="19" t="inlineStr">
        <is>
          <t>Yes</t>
        </is>
      </c>
      <c r="L88" s="19" t="n">
        <v>112351</v>
      </c>
      <c r="M88" s="19" t="inlineStr">
        <is>
          <t>RX721077</t>
        </is>
      </c>
      <c r="N88" s="19" t="inlineStr">
        <is>
          <t>E</t>
        </is>
      </c>
      <c r="O88" s="20" t="inlineStr">
        <is>
          <t>No linkage found in awarded contract file</t>
        </is>
      </c>
      <c r="P88" s="19" t="inlineStr"/>
      <c r="Q88" s="19" t="inlineStr"/>
      <c r="R88" s="31" t="inlineStr"/>
      <c r="S88" s="19" t="inlineStr"/>
      <c r="T88" s="19" t="inlineStr">
        <is>
          <t>No</t>
        </is>
      </c>
      <c r="U88" s="19" t="inlineStr">
        <is>
          <t>No</t>
        </is>
      </c>
      <c r="V88" s="19" t="inlineStr">
        <is>
          <t>No</t>
        </is>
      </c>
      <c r="W88" s="19" t="inlineStr">
        <is>
          <t>No</t>
        </is>
      </c>
    </row>
    <row r="89">
      <c r="A89" s="19" t="n">
        <v>733531</v>
      </c>
      <c r="B89" s="31" t="n">
        <v>46189</v>
      </c>
      <c r="C89" s="19" t="inlineStr">
        <is>
          <t>DEPARTMENT OF FLEET AND FACILITY MANAGEMENT</t>
        </is>
      </c>
      <c r="D89" s="19" t="inlineStr">
        <is>
          <t>HASTINGS AIR ENERGY CONTROL</t>
        </is>
      </c>
      <c r="E89" s="20" t="inlineStr">
        <is>
          <t>Hastings Air-Energy 1033282 B  JS/ JG/ Invoice No. O38604D105/ $56,691.64/ April / Exhaust System Maint</t>
        </is>
      </c>
      <c r="F89" s="21" t="n">
        <v>56691.64</v>
      </c>
      <c r="G89" s="19" t="inlineStr">
        <is>
          <t>2. Pending Amendment/Modification - Line Item Addition / Vendor Limit Increase / Scope Change</t>
        </is>
      </c>
      <c r="H89" s="19" t="inlineStr">
        <is>
          <t>A. Specification Development Phase</t>
        </is>
      </c>
      <c r="I89" s="19" t="inlineStr">
        <is>
          <t>APPROVED</t>
        </is>
      </c>
      <c r="J89" s="19" t="inlineStr">
        <is>
          <t>No</t>
        </is>
      </c>
      <c r="K89" s="19" t="inlineStr">
        <is>
          <t>Yes</t>
        </is>
      </c>
      <c r="L89" s="19" t="n">
        <v>112351</v>
      </c>
      <c r="M89" s="19" t="inlineStr">
        <is>
          <t>RX724184</t>
        </is>
      </c>
      <c r="N89" s="19" t="inlineStr">
        <is>
          <t>E</t>
        </is>
      </c>
      <c r="O89" s="20" t="inlineStr">
        <is>
          <t>No linkage found in awarded contract file</t>
        </is>
      </c>
      <c r="P89" s="19" t="inlineStr"/>
      <c r="Q89" s="19" t="inlineStr"/>
      <c r="R89" s="31" t="inlineStr"/>
      <c r="S89" s="19" t="inlineStr"/>
      <c r="T89" s="19" t="inlineStr">
        <is>
          <t>No</t>
        </is>
      </c>
      <c r="U89" s="19" t="inlineStr">
        <is>
          <t>No</t>
        </is>
      </c>
      <c r="V89" s="19" t="inlineStr">
        <is>
          <t>No</t>
        </is>
      </c>
      <c r="W89" s="19" t="inlineStr">
        <is>
          <t>No</t>
        </is>
      </c>
    </row>
    <row r="90">
      <c r="A90" s="19" t="n">
        <v>707746</v>
      </c>
      <c r="B90" s="31" t="n">
        <v>46031</v>
      </c>
      <c r="C90" s="19" t="inlineStr">
        <is>
          <t>DEPARTMENT OF FLEET AND FACILITY MANAGEMENT</t>
        </is>
      </c>
      <c r="D90" s="19" t="inlineStr">
        <is>
          <t>A SAFE HAVEN FOUNDATION</t>
        </is>
      </c>
      <c r="E90" s="20" t="inlineStr">
        <is>
          <t>A Safe Haven 50074290 A  JS/ AH/ 4 INVOICES/ $67,254.39/ Past Due Invoices</t>
        </is>
      </c>
      <c r="F90" s="21" t="n">
        <v>67254.39</v>
      </c>
      <c r="G90" s="19" t="inlineStr">
        <is>
          <t>1. Pending New Contract - Original Contract Expired. New Contract in Process</t>
        </is>
      </c>
      <c r="H90" s="19" t="inlineStr">
        <is>
          <t>B. City Law Review</t>
        </is>
      </c>
      <c r="I90" s="19" t="inlineStr">
        <is>
          <t>APPROVED</t>
        </is>
      </c>
      <c r="J90" s="19" t="inlineStr">
        <is>
          <t>Yes</t>
        </is>
      </c>
      <c r="K90" s="19" t="inlineStr">
        <is>
          <t>No</t>
        </is>
      </c>
      <c r="L90" s="19" t="inlineStr"/>
      <c r="M90" s="19" t="inlineStr">
        <is>
          <t>RX596443</t>
        </is>
      </c>
      <c r="N90" s="19" t="inlineStr">
        <is>
          <t>E</t>
        </is>
      </c>
      <c r="O90" s="20" t="inlineStr">
        <is>
          <t>No linkage found in awarded contract file</t>
        </is>
      </c>
      <c r="P90" s="19" t="inlineStr"/>
      <c r="Q90" s="19" t="inlineStr"/>
      <c r="R90" s="31" t="inlineStr"/>
      <c r="S90" s="19" t="inlineStr"/>
      <c r="T90" s="19" t="inlineStr">
        <is>
          <t>No</t>
        </is>
      </c>
      <c r="U90" s="19" t="inlineStr">
        <is>
          <t>No</t>
        </is>
      </c>
      <c r="V90" s="19" t="inlineStr">
        <is>
          <t>No</t>
        </is>
      </c>
      <c r="W90" s="19" t="inlineStr">
        <is>
          <t>Yes</t>
        </is>
      </c>
    </row>
    <row r="91">
      <c r="A91" s="19" t="n">
        <v>721575</v>
      </c>
      <c r="B91" s="31" t="n">
        <v>46107</v>
      </c>
      <c r="C91" s="19" t="inlineStr">
        <is>
          <t>DEPARTMENT OF FLEET AND FACILITY MANAGEMENT</t>
        </is>
      </c>
      <c r="D91" s="19" t="inlineStr">
        <is>
          <t>AGAE CONTRACTORS, INC.</t>
        </is>
      </c>
      <c r="E91" s="20" t="inlineStr">
        <is>
          <t>AGAE Contractors 50570038 A   JS/ WA/ Invoice Number 3344-1/ $2,577.59/ WO 5234585/ Signs needed for parking lot</t>
        </is>
      </c>
      <c r="F91" s="21" t="n">
        <v>2577.59</v>
      </c>
      <c r="G91" s="19" t="inlineStr">
        <is>
          <t>1. Pending New Contract - Original Contract Expired. New Contract in Process</t>
        </is>
      </c>
      <c r="H91" s="19" t="inlineStr">
        <is>
          <t>C. Solicitation or Bidding Phase</t>
        </is>
      </c>
      <c r="I91" s="19" t="inlineStr">
        <is>
          <t>APPROVED</t>
        </is>
      </c>
      <c r="J91" s="19" t="inlineStr">
        <is>
          <t>Yes</t>
        </is>
      </c>
      <c r="K91" s="19" t="inlineStr">
        <is>
          <t>No</t>
        </is>
      </c>
      <c r="L91" s="19" t="inlineStr"/>
      <c r="M91" s="19" t="inlineStr">
        <is>
          <t>RX607736</t>
        </is>
      </c>
      <c r="N91" s="19" t="inlineStr">
        <is>
          <t>E</t>
        </is>
      </c>
      <c r="O91" s="20" t="inlineStr">
        <is>
          <t>No linkage found in awarded contract file</t>
        </is>
      </c>
      <c r="P91" s="19" t="inlineStr"/>
      <c r="Q91" s="19" t="inlineStr"/>
      <c r="R91" s="31" t="inlineStr"/>
      <c r="S91" s="19" t="inlineStr"/>
      <c r="T91" s="19" t="inlineStr">
        <is>
          <t>No</t>
        </is>
      </c>
      <c r="U91" s="19" t="inlineStr">
        <is>
          <t>No</t>
        </is>
      </c>
      <c r="V91" s="19" t="inlineStr">
        <is>
          <t>No</t>
        </is>
      </c>
      <c r="W91" s="19" t="inlineStr">
        <is>
          <t>Yes</t>
        </is>
      </c>
    </row>
    <row r="92">
      <c r="A92" s="19" t="n">
        <v>718160</v>
      </c>
      <c r="B92" s="31" t="n">
        <v>46087</v>
      </c>
      <c r="C92" s="19" t="inlineStr">
        <is>
          <t>DEPARTMENT OF FLEET AND FACILITY MANAGEMENT</t>
        </is>
      </c>
      <c r="D92" s="19" t="inlineStr">
        <is>
          <t>ZIPCAR  INC</t>
        </is>
      </c>
      <c r="E92" s="20" t="inlineStr">
        <is>
          <t>ZIPCAR  54117025 - C   JS/ WW/ 10-INVS/ $1,943.08/ DECEMBER 2025 CHARGES</t>
        </is>
      </c>
      <c r="F92" s="21" t="n">
        <v>1943.08</v>
      </c>
      <c r="G92" s="19" t="inlineStr">
        <is>
          <t>1. Pending New Contract - Original Contract Expired. New Contract in Process</t>
        </is>
      </c>
      <c r="H92" s="19" t="inlineStr">
        <is>
          <t>B. City Law Review</t>
        </is>
      </c>
      <c r="I92" s="19" t="inlineStr">
        <is>
          <t>APPROVED</t>
        </is>
      </c>
      <c r="J92" s="19" t="inlineStr">
        <is>
          <t>No</t>
        </is>
      </c>
      <c r="K92" s="19" t="inlineStr">
        <is>
          <t>No</t>
        </is>
      </c>
      <c r="L92" s="19" t="inlineStr"/>
      <c r="M92" s="19" t="inlineStr">
        <is>
          <t>RX529316</t>
        </is>
      </c>
      <c r="N92" s="19" t="inlineStr">
        <is>
          <t>E</t>
        </is>
      </c>
      <c r="O92" s="20" t="inlineStr">
        <is>
          <t>No linkage found in awarded contract file</t>
        </is>
      </c>
      <c r="P92" s="19" t="inlineStr"/>
      <c r="Q92" s="19" t="inlineStr"/>
      <c r="R92" s="31" t="inlineStr"/>
      <c r="S92" s="19" t="inlineStr"/>
      <c r="T92" s="19" t="inlineStr">
        <is>
          <t>No</t>
        </is>
      </c>
      <c r="U92" s="19" t="inlineStr">
        <is>
          <t>No</t>
        </is>
      </c>
      <c r="V92" s="19" t="inlineStr">
        <is>
          <t>No</t>
        </is>
      </c>
      <c r="W92" s="19" t="inlineStr">
        <is>
          <t>No</t>
        </is>
      </c>
    </row>
    <row r="93">
      <c r="A93" s="19" t="n">
        <v>734256</v>
      </c>
      <c r="B93" s="31" t="n">
        <v>46181</v>
      </c>
      <c r="C93" s="19" t="inlineStr">
        <is>
          <t>DEPARTMENT OF FLEET AND FACILITY MANAGEMENT</t>
        </is>
      </c>
      <c r="D93" s="19" t="inlineStr">
        <is>
          <t>ZIPCAR  INC</t>
        </is>
      </c>
      <c r="E93" s="20" t="inlineStr">
        <is>
          <t>ZIPCZR 54117025 - CJS/ WW/ 9-INVOICES/ $4,040.56/ APRIL 2026 CHARGES</t>
        </is>
      </c>
      <c r="F93" s="21" t="n">
        <v>4040.56</v>
      </c>
      <c r="G93" s="19" t="inlineStr">
        <is>
          <t>1. Pending New Contract - Original Contract Expired. New Contract in Process</t>
        </is>
      </c>
      <c r="H93" s="19" t="inlineStr">
        <is>
          <t>B. City Law Review</t>
        </is>
      </c>
      <c r="I93" s="19" t="inlineStr">
        <is>
          <t>APPROVED</t>
        </is>
      </c>
      <c r="J93" s="19" t="inlineStr">
        <is>
          <t>No</t>
        </is>
      </c>
      <c r="K93" s="19" t="inlineStr">
        <is>
          <t>No</t>
        </is>
      </c>
      <c r="L93" s="19" t="inlineStr"/>
      <c r="M93" s="19" t="inlineStr">
        <is>
          <t>RX529316</t>
        </is>
      </c>
      <c r="N93" s="19" t="inlineStr">
        <is>
          <t>E</t>
        </is>
      </c>
      <c r="O93" s="20" t="inlineStr">
        <is>
          <t>No linkage found in awarded contract file</t>
        </is>
      </c>
      <c r="P93" s="19" t="inlineStr"/>
      <c r="Q93" s="19" t="inlineStr"/>
      <c r="R93" s="31" t="inlineStr"/>
      <c r="S93" s="19" t="inlineStr"/>
      <c r="T93" s="19" t="inlineStr">
        <is>
          <t>No</t>
        </is>
      </c>
      <c r="U93" s="19" t="inlineStr">
        <is>
          <t>No</t>
        </is>
      </c>
      <c r="V93" s="19" t="inlineStr">
        <is>
          <t>No</t>
        </is>
      </c>
      <c r="W93" s="19" t="inlineStr">
        <is>
          <t>No</t>
        </is>
      </c>
    </row>
    <row r="94">
      <c r="A94" s="19" t="n">
        <v>720685</v>
      </c>
      <c r="B94" s="31" t="n">
        <v>46107</v>
      </c>
      <c r="C94" s="19" t="inlineStr">
        <is>
          <t>DEPARTMENT OF FLEET AND FACILITY MANAGEMENT</t>
        </is>
      </c>
      <c r="D94" s="19" t="inlineStr">
        <is>
          <t>DAYSPRING PROFESSIONAL JANITOR</t>
        </is>
      </c>
      <c r="E94" s="20" t="inlineStr">
        <is>
          <t>DAYSPRING 51588021	A  JS/ AH/ 8-INV/ $449,111.74/ JAN 2FM</t>
        </is>
      </c>
      <c r="F94" s="21" t="n">
        <v>449111.74</v>
      </c>
      <c r="G94" s="19" t="inlineStr">
        <is>
          <t>1. Pending New Contract - Original Contract Expired. New Contract in Process</t>
        </is>
      </c>
      <c r="H94" s="19" t="inlineStr">
        <is>
          <t>A. Specification Development Phase</t>
        </is>
      </c>
      <c r="I94" s="19" t="inlineStr">
        <is>
          <t>APPROVED</t>
        </is>
      </c>
      <c r="J94" s="19" t="inlineStr">
        <is>
          <t>Yes</t>
        </is>
      </c>
      <c r="K94" s="19" t="inlineStr">
        <is>
          <t>No</t>
        </is>
      </c>
      <c r="L94" s="19" t="inlineStr"/>
      <c r="M94" s="19" t="inlineStr">
        <is>
          <t>RX624331</t>
        </is>
      </c>
      <c r="N94" s="19" t="inlineStr">
        <is>
          <t>E</t>
        </is>
      </c>
      <c r="O94" s="20" t="inlineStr">
        <is>
          <t>No linkage found in awarded contract file</t>
        </is>
      </c>
      <c r="P94" s="19" t="inlineStr"/>
      <c r="Q94" s="19" t="inlineStr"/>
      <c r="R94" s="31" t="inlineStr"/>
      <c r="S94" s="19" t="inlineStr"/>
      <c r="T94" s="19" t="inlineStr">
        <is>
          <t>No</t>
        </is>
      </c>
      <c r="U94" s="19" t="inlineStr">
        <is>
          <t>No</t>
        </is>
      </c>
      <c r="V94" s="19" t="inlineStr">
        <is>
          <t>No</t>
        </is>
      </c>
      <c r="W94" s="19" t="inlineStr">
        <is>
          <t>Yes</t>
        </is>
      </c>
    </row>
    <row r="95">
      <c r="A95" s="19" t="n">
        <v>717940</v>
      </c>
      <c r="B95" s="31" t="n">
        <v>46086</v>
      </c>
      <c r="C95" s="19" t="inlineStr">
        <is>
          <t>DEPARTMENT OF FLEET AND FACILITY MANAGEMENT</t>
        </is>
      </c>
      <c r="D95" s="19" t="inlineStr">
        <is>
          <t>P. R. STREICH &amp; SONS</t>
        </is>
      </c>
      <c r="E95" s="20" t="inlineStr">
        <is>
          <t>PR Streich 835755 A  JS/ MM/ Invoice # 57112/ $11,627.38/ WO 2554702</t>
        </is>
      </c>
      <c r="F95" s="21" t="n">
        <v>11627.38</v>
      </c>
      <c r="G95" s="19" t="inlineStr">
        <is>
          <t>1. Pending New Contract - Original Contract Expired. New Contract in Process</t>
        </is>
      </c>
      <c r="H95" s="19" t="inlineStr">
        <is>
          <t>B. City Law Review</t>
        </is>
      </c>
      <c r="I95" s="19" t="inlineStr">
        <is>
          <t>APPROVED</t>
        </is>
      </c>
      <c r="J95" s="19" t="inlineStr">
        <is>
          <t>Yes</t>
        </is>
      </c>
      <c r="K95" s="19" t="inlineStr">
        <is>
          <t>No</t>
        </is>
      </c>
      <c r="L95" s="19" t="inlineStr">
        <is>
          <t>TBD</t>
        </is>
      </c>
      <c r="M95" s="19" t="inlineStr">
        <is>
          <t>RX679901</t>
        </is>
      </c>
      <c r="N95" s="19" t="inlineStr">
        <is>
          <t>E</t>
        </is>
      </c>
      <c r="O95" s="20" t="inlineStr">
        <is>
          <t>No linkage found in awarded contract file</t>
        </is>
      </c>
      <c r="P95" s="19" t="inlineStr"/>
      <c r="Q95" s="19" t="inlineStr"/>
      <c r="R95" s="31" t="inlineStr"/>
      <c r="S95" s="19" t="inlineStr"/>
      <c r="T95" s="19" t="inlineStr">
        <is>
          <t>No</t>
        </is>
      </c>
      <c r="U95" s="19" t="inlineStr">
        <is>
          <t>No</t>
        </is>
      </c>
      <c r="V95" s="19" t="inlineStr">
        <is>
          <t>No</t>
        </is>
      </c>
      <c r="W95" s="19" t="inlineStr">
        <is>
          <t>Yes</t>
        </is>
      </c>
    </row>
    <row r="96">
      <c r="A96" s="19" t="n">
        <v>743734</v>
      </c>
      <c r="B96" s="31" t="n">
        <v>46238</v>
      </c>
      <c r="C96" s="19" t="inlineStr">
        <is>
          <t>DEPARTMENT OF FLEET AND FACILITY MANAGEMENT</t>
        </is>
      </c>
      <c r="D96" s="19" t="inlineStr">
        <is>
          <t>CHARLES EQUIPMENT ENERGY SYSTEMS LLC</t>
        </is>
      </c>
      <c r="E96" s="20" t="inlineStr">
        <is>
          <t>Charles Equipment 157247 A  JS/ CE/ Invoice 19473/ $826.00/ June 2026/ Repair and Maintenance</t>
        </is>
      </c>
      <c r="F96" s="21" t="n">
        <v>826</v>
      </c>
      <c r="G96" s="19" t="inlineStr">
        <is>
          <t>1. Pending New Contract - Original Contract Expired. New Contract in Process</t>
        </is>
      </c>
      <c r="H96" s="19" t="inlineStr">
        <is>
          <t>A. Specification Development Phase</t>
        </is>
      </c>
      <c r="I96" s="19" t="inlineStr">
        <is>
          <t>APPROVED</t>
        </is>
      </c>
      <c r="J96" s="19" t="inlineStr">
        <is>
          <t>Yes</t>
        </is>
      </c>
      <c r="K96" s="19" t="inlineStr">
        <is>
          <t>No</t>
        </is>
      </c>
      <c r="L96" s="19" t="inlineStr"/>
      <c r="M96" s="19" t="inlineStr">
        <is>
          <t>RX622326</t>
        </is>
      </c>
      <c r="N96" s="19" t="inlineStr">
        <is>
          <t>E</t>
        </is>
      </c>
      <c r="O96" s="20" t="inlineStr">
        <is>
          <t>No linkage found in awarded contract file</t>
        </is>
      </c>
      <c r="P96" s="19" t="inlineStr"/>
      <c r="Q96" s="19" t="inlineStr"/>
      <c r="R96" s="31" t="inlineStr"/>
      <c r="S96" s="19" t="inlineStr"/>
      <c r="T96" s="19" t="inlineStr">
        <is>
          <t>No</t>
        </is>
      </c>
      <c r="U96" s="19" t="inlineStr">
        <is>
          <t>No</t>
        </is>
      </c>
      <c r="V96" s="19" t="inlineStr">
        <is>
          <t>No</t>
        </is>
      </c>
      <c r="W96" s="19" t="inlineStr">
        <is>
          <t>Yes</t>
        </is>
      </c>
    </row>
    <row r="97">
      <c r="A97" s="19" t="n">
        <v>738152</v>
      </c>
      <c r="B97" s="31" t="n">
        <v>46203</v>
      </c>
      <c r="C97" s="19" t="inlineStr">
        <is>
          <t>DEPARTMENT OF FLEET AND FACILITY MANAGEMENT</t>
        </is>
      </c>
      <c r="D97" s="19" t="inlineStr">
        <is>
          <t>ABC Humane Wildlife Control &amp; Prevention, Inc.</t>
        </is>
      </c>
      <c r="E97" s="20" t="inlineStr">
        <is>
          <t>ABC Humane  57046423 A  JS/ VJ/ 10-Invoices/ $79,812.79/ May 2026/ 2FM</t>
        </is>
      </c>
      <c r="F97" s="21" t="n">
        <v>79812.78999999999</v>
      </c>
      <c r="G97" s="19" t="inlineStr">
        <is>
          <t>1. Pending New Contract - Original Contract Expired. New Contract in Process</t>
        </is>
      </c>
      <c r="H97" s="19" t="inlineStr">
        <is>
          <t>A. Specification Development Phase</t>
        </is>
      </c>
      <c r="I97" s="19" t="inlineStr">
        <is>
          <t>APPROVED</t>
        </is>
      </c>
      <c r="J97" s="19" t="inlineStr">
        <is>
          <t>No</t>
        </is>
      </c>
      <c r="K97" s="19" t="inlineStr">
        <is>
          <t>No</t>
        </is>
      </c>
      <c r="L97" s="19" t="inlineStr"/>
      <c r="M97" s="19" t="inlineStr">
        <is>
          <t>RX682957</t>
        </is>
      </c>
      <c r="N97" s="19" t="inlineStr">
        <is>
          <t>E</t>
        </is>
      </c>
      <c r="O97" s="20" t="inlineStr">
        <is>
          <t>No linkage found in awarded contract file</t>
        </is>
      </c>
      <c r="P97" s="19" t="inlineStr"/>
      <c r="Q97" s="19" t="inlineStr"/>
      <c r="R97" s="31" t="inlineStr"/>
      <c r="S97" s="19" t="inlineStr"/>
      <c r="T97" s="19" t="inlineStr">
        <is>
          <t>No</t>
        </is>
      </c>
      <c r="U97" s="19" t="inlineStr">
        <is>
          <t>No</t>
        </is>
      </c>
      <c r="V97" s="19" t="inlineStr">
        <is>
          <t>No</t>
        </is>
      </c>
      <c r="W97" s="19" t="inlineStr">
        <is>
          <t>No</t>
        </is>
      </c>
    </row>
    <row r="98">
      <c r="A98" s="19" t="n">
        <v>737833</v>
      </c>
      <c r="B98" s="31" t="n">
        <v>46203</v>
      </c>
      <c r="C98" s="19" t="inlineStr">
        <is>
          <t>DEPARTMENT OF FLEET AND FACILITY MANAGEMENT</t>
        </is>
      </c>
      <c r="D98" s="19" t="inlineStr">
        <is>
          <t>Helicopters, Inc.</t>
        </is>
      </c>
      <c r="E98" s="20" t="inlineStr">
        <is>
          <t>Helicopter Inc. 10633647 A  JS/ BJ/ 2-Invoices/ $18,497.54/ PD911Q/ WO 2626555/ ASR/50 HR inspection due and 150 hr engine inspection due</t>
        </is>
      </c>
      <c r="F98" s="21" t="n">
        <v>18497.54</v>
      </c>
      <c r="G98" s="19" t="inlineStr">
        <is>
          <t>1. Pending New Contract - Original Contract Expired. New Contract in Process</t>
        </is>
      </c>
      <c r="H98" s="19" t="inlineStr">
        <is>
          <t>B. City Law Review</t>
        </is>
      </c>
      <c r="I98" s="19" t="inlineStr">
        <is>
          <t>APPROVED</t>
        </is>
      </c>
      <c r="J98" s="19" t="inlineStr">
        <is>
          <t>Yes</t>
        </is>
      </c>
      <c r="K98" s="19" t="inlineStr">
        <is>
          <t>No</t>
        </is>
      </c>
      <c r="L98" s="19" t="inlineStr">
        <is>
          <t>TBD</t>
        </is>
      </c>
      <c r="M98" s="19" t="inlineStr">
        <is>
          <t>RX690671</t>
        </is>
      </c>
      <c r="N98" s="19" t="inlineStr">
        <is>
          <t>A</t>
        </is>
      </c>
      <c r="O98" s="20" t="inlineStr">
        <is>
          <t>Requisition ID link: Exhibit B new-contract RX = awarded REQ</t>
        </is>
      </c>
      <c r="P98" s="19" t="inlineStr">
        <is>
          <t>386844</t>
        </is>
      </c>
      <c r="Q98" s="19" t="inlineStr">
        <is>
          <t>Helicopters, Inc.</t>
        </is>
      </c>
      <c r="R98" s="31" t="n">
        <v>46203</v>
      </c>
      <c r="S98" s="19" t="inlineStr">
        <is>
          <t>EMERGENCY</t>
        </is>
      </c>
      <c r="T98" s="19" t="inlineStr">
        <is>
          <t>No</t>
        </is>
      </c>
      <c r="U98" s="19" t="inlineStr">
        <is>
          <t>No</t>
        </is>
      </c>
      <c r="V98" s="19" t="inlineStr">
        <is>
          <t>Yes</t>
        </is>
      </c>
      <c r="W98" s="19" t="inlineStr">
        <is>
          <t>Yes</t>
        </is>
      </c>
    </row>
    <row r="99">
      <c r="A99" s="19" t="n">
        <v>711725</v>
      </c>
      <c r="B99" s="31" t="n">
        <v>46052</v>
      </c>
      <c r="C99" s="19" t="inlineStr">
        <is>
          <t>CHICAGO POLICE DEPARTMENT</t>
        </is>
      </c>
      <c r="D99" s="19" t="inlineStr">
        <is>
          <t>Service Sanitation Inc.</t>
        </is>
      </c>
      <c r="E99" s="20" t="inlineStr">
        <is>
          <t>Service Sanitation Inv 9090265 $1,250</t>
        </is>
      </c>
      <c r="F99" s="21" t="n">
        <v>1250</v>
      </c>
      <c r="G99" s="19" t="inlineStr">
        <is>
          <t>1. Pending New Contract - Original Contract Expired. New Contract in Process</t>
        </is>
      </c>
      <c r="H99" s="19" t="inlineStr">
        <is>
          <t>A. Specification Development Phase</t>
        </is>
      </c>
      <c r="I99" s="19" t="inlineStr">
        <is>
          <t>APPROVED</t>
        </is>
      </c>
      <c r="J99" s="19" t="inlineStr">
        <is>
          <t>No</t>
        </is>
      </c>
      <c r="K99" s="19" t="inlineStr">
        <is>
          <t>No</t>
        </is>
      </c>
      <c r="L99" s="19" t="inlineStr"/>
      <c r="M99" s="19" t="inlineStr">
        <is>
          <t>RX613315</t>
        </is>
      </c>
      <c r="N99" s="19" t="inlineStr">
        <is>
          <t>A</t>
        </is>
      </c>
      <c r="O99" s="20" t="inlineStr">
        <is>
          <t>Requisition ID link: Exhibit B new-contract RX = awarded REQ</t>
        </is>
      </c>
      <c r="P99" s="19" t="inlineStr">
        <is>
          <t>381051</t>
        </is>
      </c>
      <c r="Q99" s="19" t="inlineStr">
        <is>
          <t>Service Sanitation Inc.</t>
        </is>
      </c>
      <c r="R99" s="31" t="n">
        <v>46203</v>
      </c>
      <c r="S99" s="19" t="inlineStr">
        <is>
          <t>BID</t>
        </is>
      </c>
      <c r="T99" s="19" t="inlineStr">
        <is>
          <t>Yes</t>
        </is>
      </c>
      <c r="U99" s="19" t="inlineStr">
        <is>
          <t>Yes</t>
        </is>
      </c>
      <c r="V99" s="19" t="inlineStr">
        <is>
          <t>No</t>
        </is>
      </c>
      <c r="W99" s="19" t="inlineStr">
        <is>
          <t>No</t>
        </is>
      </c>
    </row>
    <row r="100">
      <c r="A100" s="19" t="n">
        <v>746762</v>
      </c>
      <c r="B100" s="31" t="n">
        <v>46253.66743055556</v>
      </c>
      <c r="C100" s="19" t="inlineStr">
        <is>
          <t>DEPARTMENT OF PLANNING AND DEVELOPMENT</t>
        </is>
      </c>
      <c r="D100" s="19" t="inlineStr">
        <is>
          <t>COSTAR REALTY INFORMATION, INC</t>
        </is>
      </c>
      <c r="E100" s="20" t="inlineStr">
        <is>
          <t>CoStar Aug 2026 Invoice</t>
        </is>
      </c>
      <c r="F100" s="21" t="n">
        <v>7906.6</v>
      </c>
      <c r="G100" s="19" t="inlineStr"/>
      <c r="H100" s="19" t="inlineStr"/>
      <c r="I100" s="19" t="inlineStr"/>
      <c r="J100" s="19" t="inlineStr"/>
      <c r="K100" s="19" t="inlineStr">
        <is>
          <t>No</t>
        </is>
      </c>
      <c r="L100" s="19" t="inlineStr"/>
      <c r="M100" s="19" t="inlineStr">
        <is>
          <t>VDCOSTAR REALTY INFORMATION</t>
        </is>
      </c>
      <c r="N100" s="19" t="inlineStr">
        <is>
          <t>E</t>
        </is>
      </c>
      <c r="O100" s="20" t="inlineStr">
        <is>
          <t>No linkage found in awarded contract file</t>
        </is>
      </c>
      <c r="P100" s="19" t="inlineStr"/>
      <c r="Q100" s="19" t="inlineStr"/>
      <c r="R100" s="31" t="inlineStr"/>
      <c r="S100" s="19" t="inlineStr"/>
      <c r="T100" s="19" t="inlineStr">
        <is>
          <t>No</t>
        </is>
      </c>
      <c r="U100" s="19" t="inlineStr">
        <is>
          <t>No</t>
        </is>
      </c>
      <c r="V100" s="19" t="inlineStr">
        <is>
          <t>No</t>
        </is>
      </c>
      <c r="W100" s="19" t="inlineStr">
        <is>
          <t>No</t>
        </is>
      </c>
    </row>
    <row r="101">
      <c r="A101" s="19" t="n">
        <v>737235</v>
      </c>
      <c r="B101" s="31" t="n">
        <v>46197</v>
      </c>
      <c r="C101" s="19" t="inlineStr">
        <is>
          <t>DEPARTMENT OF FLEET AND FACILITY MANAGEMENT</t>
        </is>
      </c>
      <c r="D101" s="19" t="inlineStr">
        <is>
          <t>C &amp; C COMMUNICATIONS IL</t>
        </is>
      </c>
      <c r="E101" s="20" t="inlineStr">
        <is>
          <t>CC COMMUNICATION 1032554 A  JK/ INV# 3450/ $1858.75</t>
        </is>
      </c>
      <c r="F101" s="21" t="n">
        <v>1858.75</v>
      </c>
      <c r="G101" s="19" t="inlineStr">
        <is>
          <t>2. Pending Amendment/Modification - Line Item Addition / Vendor Limit Increase / Scope Change</t>
        </is>
      </c>
      <c r="H101" s="19" t="inlineStr">
        <is>
          <t>A. Specification Development Phase</t>
        </is>
      </c>
      <c r="I101" s="19" t="inlineStr">
        <is>
          <t>APPROVED</t>
        </is>
      </c>
      <c r="J101" s="19" t="inlineStr">
        <is>
          <t>No</t>
        </is>
      </c>
      <c r="K101" s="19" t="inlineStr">
        <is>
          <t>No</t>
        </is>
      </c>
      <c r="L101" s="19" t="inlineStr"/>
      <c r="M101" s="19" t="inlineStr">
        <is>
          <t>RX710994</t>
        </is>
      </c>
      <c r="N101" s="19" t="inlineStr">
        <is>
          <t>E</t>
        </is>
      </c>
      <c r="O101" s="20" t="inlineStr">
        <is>
          <t>No linkage found in awarded contract file</t>
        </is>
      </c>
      <c r="P101" s="19" t="inlineStr"/>
      <c r="Q101" s="19" t="inlineStr"/>
      <c r="R101" s="31" t="inlineStr"/>
      <c r="S101" s="19" t="inlineStr"/>
      <c r="T101" s="19" t="inlineStr">
        <is>
          <t>No</t>
        </is>
      </c>
      <c r="U101" s="19" t="inlineStr">
        <is>
          <t>No</t>
        </is>
      </c>
      <c r="V101" s="19" t="inlineStr">
        <is>
          <t>No</t>
        </is>
      </c>
      <c r="W101" s="19" t="inlineStr">
        <is>
          <t>No</t>
        </is>
      </c>
    </row>
    <row r="102">
      <c r="A102" s="19" t="n">
        <v>742608</v>
      </c>
      <c r="B102" s="31" t="n">
        <v>46231</v>
      </c>
      <c r="C102" s="19" t="inlineStr">
        <is>
          <t>DEPARTMENT OF FLEET AND FACILITY MANAGEMENT</t>
        </is>
      </c>
      <c r="D102" s="19" t="inlineStr">
        <is>
          <t>R4 SERVICES, LLC.</t>
        </is>
      </c>
      <c r="E102" s="20" t="inlineStr">
        <is>
          <t>R4 Services / JK / EJ / INV # A410397 / $42,446.68 / June 2026</t>
        </is>
      </c>
      <c r="F102" s="21" t="n">
        <v>42446.68</v>
      </c>
      <c r="G102" s="19" t="inlineStr">
        <is>
          <t>1. Pending New Contract - Original Contract Expired. New Contract in Process</t>
        </is>
      </c>
      <c r="H102" s="19" t="inlineStr">
        <is>
          <t>E. ROA - (Recommendation of Award)</t>
        </is>
      </c>
      <c r="I102" s="19" t="inlineStr">
        <is>
          <t>APPROVED</t>
        </is>
      </c>
      <c r="J102" s="19" t="inlineStr">
        <is>
          <t>Yes</t>
        </is>
      </c>
      <c r="K102" s="19" t="inlineStr">
        <is>
          <t>No</t>
        </is>
      </c>
      <c r="L102" s="19" t="inlineStr">
        <is>
          <t>NO</t>
        </is>
      </c>
      <c r="M102" s="19" t="inlineStr">
        <is>
          <t>RX425669</t>
        </is>
      </c>
      <c r="N102" s="19" t="inlineStr">
        <is>
          <t>E</t>
        </is>
      </c>
      <c r="O102" s="20" t="inlineStr">
        <is>
          <t>No linkage found in awarded contract file</t>
        </is>
      </c>
      <c r="P102" s="19" t="inlineStr"/>
      <c r="Q102" s="19" t="inlineStr"/>
      <c r="R102" s="31" t="inlineStr"/>
      <c r="S102" s="19" t="inlineStr"/>
      <c r="T102" s="19" t="inlineStr">
        <is>
          <t>No</t>
        </is>
      </c>
      <c r="U102" s="19" t="inlineStr">
        <is>
          <t>No</t>
        </is>
      </c>
      <c r="V102" s="19" t="inlineStr">
        <is>
          <t>No</t>
        </is>
      </c>
      <c r="W102" s="19" t="inlineStr">
        <is>
          <t>Yes</t>
        </is>
      </c>
    </row>
    <row r="103">
      <c r="A103" s="19" t="n">
        <v>746580</v>
      </c>
      <c r="B103" s="31" t="n">
        <v>46253</v>
      </c>
      <c r="C103" s="19" t="inlineStr">
        <is>
          <t>DEPARTMENT OF FLEET AND FACILITY MANAGEMENT</t>
        </is>
      </c>
      <c r="D103" s="19" t="inlineStr">
        <is>
          <t>Boschung America, LLC</t>
        </is>
      </c>
      <c r="E103" s="20" t="inlineStr">
        <is>
          <t>JK / CA / INV#6660-3816-1 / WO#2626297</t>
        </is>
      </c>
      <c r="F103" s="21" t="n">
        <v>36815.66</v>
      </c>
      <c r="G103" s="19" t="inlineStr">
        <is>
          <t>1. Pending New Contract - Original Contract Expired. New Contract in Process</t>
        </is>
      </c>
      <c r="H103" s="19" t="inlineStr">
        <is>
          <t>B. City Law Review</t>
        </is>
      </c>
      <c r="I103" s="19" t="inlineStr">
        <is>
          <t>APPROVED</t>
        </is>
      </c>
      <c r="J103" s="19" t="inlineStr">
        <is>
          <t>Yes</t>
        </is>
      </c>
      <c r="K103" s="19" t="inlineStr">
        <is>
          <t>Yes</t>
        </is>
      </c>
      <c r="L103" s="19" t="inlineStr"/>
      <c r="M103" s="19" t="inlineStr">
        <is>
          <t>RX663987</t>
        </is>
      </c>
      <c r="N103" s="19" t="inlineStr">
        <is>
          <t>C</t>
        </is>
      </c>
      <c r="O103" s="20" t="inlineStr">
        <is>
          <t>Vendor name match only (similarity 0.00)</t>
        </is>
      </c>
      <c r="P103" s="19" t="inlineStr">
        <is>
          <t>388473</t>
        </is>
      </c>
      <c r="Q103" s="19" t="inlineStr">
        <is>
          <t>Boschung America, LLC</t>
        </is>
      </c>
      <c r="R103" s="31" t="n">
        <v>46118</v>
      </c>
      <c r="S103" s="19" t="inlineStr">
        <is>
          <t>REFERENCE CONTRACT</t>
        </is>
      </c>
      <c r="T103" s="19" t="inlineStr">
        <is>
          <t>No</t>
        </is>
      </c>
      <c r="U103" s="19" t="inlineStr">
        <is>
          <t>No</t>
        </is>
      </c>
      <c r="V103" s="19" t="inlineStr">
        <is>
          <t>No</t>
        </is>
      </c>
      <c r="W103" s="19" t="inlineStr">
        <is>
          <t>Yes</t>
        </is>
      </c>
    </row>
    <row r="104">
      <c r="A104" s="19" t="n">
        <v>727688</v>
      </c>
      <c r="B104" s="31" t="n">
        <v>46139</v>
      </c>
      <c r="C104" s="19" t="inlineStr">
        <is>
          <t>CHICAGO FIRE DEPARTMENT</t>
        </is>
      </c>
      <c r="D104" s="19" t="inlineStr">
        <is>
          <t>ACORN GARAGE INC</t>
        </is>
      </c>
      <c r="E104" s="20" t="inlineStr">
        <is>
          <t>State Required Safety Lane Inspections for Public Safety Vehicles</t>
        </is>
      </c>
      <c r="F104" s="21" t="n">
        <v>312</v>
      </c>
      <c r="G104" s="19" t="inlineStr">
        <is>
          <t>1. Pending New Contract - Original Contract Expired. New Contract in Process</t>
        </is>
      </c>
      <c r="H104" s="19" t="inlineStr">
        <is>
          <t>A. Specification Development Phase</t>
        </is>
      </c>
      <c r="I104" s="19" t="inlineStr">
        <is>
          <t>APPROVED</t>
        </is>
      </c>
      <c r="J104" s="19" t="inlineStr">
        <is>
          <t>Yes</t>
        </is>
      </c>
      <c r="K104" s="19" t="inlineStr">
        <is>
          <t>No</t>
        </is>
      </c>
      <c r="L104" s="19" t="inlineStr"/>
      <c r="M104" s="19" t="inlineStr">
        <is>
          <t>RX636139</t>
        </is>
      </c>
      <c r="N104" s="19" t="inlineStr">
        <is>
          <t>E</t>
        </is>
      </c>
      <c r="O104" s="20" t="inlineStr">
        <is>
          <t>No linkage found in awarded contract file</t>
        </is>
      </c>
      <c r="P104" s="19" t="inlineStr"/>
      <c r="Q104" s="19" t="inlineStr"/>
      <c r="R104" s="31" t="inlineStr"/>
      <c r="S104" s="19" t="inlineStr"/>
      <c r="T104" s="19" t="inlineStr">
        <is>
          <t>No</t>
        </is>
      </c>
      <c r="U104" s="19" t="inlineStr">
        <is>
          <t>No</t>
        </is>
      </c>
      <c r="V104" s="19" t="inlineStr">
        <is>
          <t>No</t>
        </is>
      </c>
      <c r="W104" s="19" t="inlineStr">
        <is>
          <t>Yes</t>
        </is>
      </c>
    </row>
    <row r="105">
      <c r="A105" s="19" t="n">
        <v>734572</v>
      </c>
      <c r="B105" s="31" t="n">
        <v>46181</v>
      </c>
      <c r="C105" s="19" t="inlineStr">
        <is>
          <t>CHICAGO FIRE DEPARTMENT</t>
        </is>
      </c>
      <c r="D105" s="19" t="inlineStr">
        <is>
          <t>AGAE CONTRACTORS, INC.</t>
        </is>
      </c>
      <c r="E105" s="20" t="inlineStr">
        <is>
          <t>Nameplates, Inserts and Holders for CFD Ranking Staff</t>
        </is>
      </c>
      <c r="F105" s="21" t="n">
        <v>0</v>
      </c>
      <c r="G105" s="19" t="inlineStr">
        <is>
          <t>1. Pending New Contract - Original Contract Expired. New Contract in Process</t>
        </is>
      </c>
      <c r="H105" s="19" t="inlineStr">
        <is>
          <t>B. City Law Review</t>
        </is>
      </c>
      <c r="I105" s="19" t="inlineStr"/>
      <c r="J105" s="19" t="inlineStr">
        <is>
          <t>Yes</t>
        </is>
      </c>
      <c r="K105" s="19" t="inlineStr">
        <is>
          <t>No</t>
        </is>
      </c>
      <c r="L105" s="19" t="inlineStr"/>
      <c r="M105" s="19" t="inlineStr">
        <is>
          <t>RX607736</t>
        </is>
      </c>
      <c r="N105" s="19" t="inlineStr">
        <is>
          <t>E</t>
        </is>
      </c>
      <c r="O105" s="20" t="inlineStr">
        <is>
          <t>No linkage found in awarded contract file</t>
        </is>
      </c>
      <c r="P105" s="19" t="inlineStr"/>
      <c r="Q105" s="19" t="inlineStr"/>
      <c r="R105" s="31" t="inlineStr"/>
      <c r="S105" s="19" t="inlineStr"/>
      <c r="T105" s="19" t="inlineStr">
        <is>
          <t>No</t>
        </is>
      </c>
      <c r="U105" s="19" t="inlineStr">
        <is>
          <t>No</t>
        </is>
      </c>
      <c r="V105" s="19" t="inlineStr">
        <is>
          <t>No</t>
        </is>
      </c>
      <c r="W105" s="19" t="inlineStr">
        <is>
          <t>Yes</t>
        </is>
      </c>
    </row>
    <row r="106">
      <c r="A106" s="19" t="n">
        <v>721136</v>
      </c>
      <c r="B106" s="31" t="n">
        <v>46107</v>
      </c>
      <c r="C106" s="19" t="inlineStr">
        <is>
          <t>DEPARTMENT OF WATER MANAGEMENT</t>
        </is>
      </c>
      <c r="D106" s="19" t="inlineStr">
        <is>
          <t>RELIABLE CONTRACTING AND EQUIPMENT COMPANY</t>
        </is>
      </c>
      <c r="E106" s="20" t="inlineStr">
        <is>
          <t>Sewer Construction</t>
        </is>
      </c>
      <c r="F106" s="21" t="n">
        <v>363157.77</v>
      </c>
      <c r="G106" s="19" t="inlineStr">
        <is>
          <t>1. Pending New Contract - Original Contract Expired. New Contract in Process</t>
        </is>
      </c>
      <c r="H106" s="19" t="inlineStr">
        <is>
          <t>H. One Time Purchase</t>
        </is>
      </c>
      <c r="I106" s="19" t="inlineStr">
        <is>
          <t>APPROVED</t>
        </is>
      </c>
      <c r="J106" s="19" t="inlineStr">
        <is>
          <t>Yes</t>
        </is>
      </c>
      <c r="K106" s="19" t="inlineStr">
        <is>
          <t>No</t>
        </is>
      </c>
      <c r="L106" s="19" t="inlineStr"/>
      <c r="M106" s="19" t="inlineStr">
        <is>
          <t>RX493564</t>
        </is>
      </c>
      <c r="N106" s="19" t="inlineStr">
        <is>
          <t>C</t>
        </is>
      </c>
      <c r="O106" s="20" t="inlineStr">
        <is>
          <t>Vendor name match only (similarity 0.05)</t>
        </is>
      </c>
      <c r="P106" s="19" t="inlineStr">
        <is>
          <t>383808</t>
        </is>
      </c>
      <c r="Q106" s="19" t="inlineStr">
        <is>
          <t>RELIABLE CONTRACTING AND EQUIPMENT COMPANY</t>
        </is>
      </c>
      <c r="R106" s="31" t="n">
        <v>46142</v>
      </c>
      <c r="S106" s="19" t="inlineStr">
        <is>
          <t>BID</t>
        </is>
      </c>
      <c r="T106" s="19" t="inlineStr">
        <is>
          <t>Yes</t>
        </is>
      </c>
      <c r="U106" s="19" t="inlineStr">
        <is>
          <t>No</t>
        </is>
      </c>
      <c r="V106" s="19" t="inlineStr">
        <is>
          <t>No</t>
        </is>
      </c>
      <c r="W106" s="19" t="inlineStr">
        <is>
          <t>Yes</t>
        </is>
      </c>
    </row>
    <row r="107">
      <c r="A107" s="19" t="n">
        <v>738260</v>
      </c>
      <c r="B107" s="31" t="n">
        <v>46203</v>
      </c>
      <c r="C107" s="19" t="inlineStr">
        <is>
          <t>DEPARTMENT OF FLEET AND FACILITY MANAGEMENT</t>
        </is>
      </c>
      <c r="D107" s="19" t="inlineStr">
        <is>
          <t>QUALITY CAR WASH, INC.</t>
        </is>
      </c>
      <c r="E107" s="20" t="inlineStr">
        <is>
          <t>Currently, Lookin Good Car Wash (PO 124960) is the CityÂ¿s only contracted provider servicing Districts 2, 7, 8, 9, and 21; however, they do not have sufficient capacity to service the entire City fleet. A termination letter was issued on Ma</t>
        </is>
      </c>
      <c r="F107" s="21" t="n">
        <v>16306.37</v>
      </c>
      <c r="G107" s="19" t="inlineStr">
        <is>
          <t>1. Pending New Contract - Original Contract Expired. New Contract in Process</t>
        </is>
      </c>
      <c r="H107" s="19" t="inlineStr">
        <is>
          <t>A. Specification Development Phase</t>
        </is>
      </c>
      <c r="I107" s="19" t="inlineStr">
        <is>
          <t>APPROVED</t>
        </is>
      </c>
      <c r="J107" s="19" t="inlineStr">
        <is>
          <t>Yes</t>
        </is>
      </c>
      <c r="K107" s="19" t="inlineStr">
        <is>
          <t>No</t>
        </is>
      </c>
      <c r="L107" s="19" t="inlineStr"/>
      <c r="M107" s="19" t="inlineStr">
        <is>
          <t>RX710856</t>
        </is>
      </c>
      <c r="N107" s="19" t="inlineStr">
        <is>
          <t>E</t>
        </is>
      </c>
      <c r="O107" s="20" t="inlineStr">
        <is>
          <t>No linkage found in awarded contract file</t>
        </is>
      </c>
      <c r="P107" s="19" t="inlineStr"/>
      <c r="Q107" s="19" t="inlineStr"/>
      <c r="R107" s="31" t="inlineStr"/>
      <c r="S107" s="19" t="inlineStr"/>
      <c r="T107" s="19" t="inlineStr">
        <is>
          <t>No</t>
        </is>
      </c>
      <c r="U107" s="19" t="inlineStr">
        <is>
          <t>No</t>
        </is>
      </c>
      <c r="V107" s="19" t="inlineStr">
        <is>
          <t>No</t>
        </is>
      </c>
      <c r="W107" s="19" t="inlineStr">
        <is>
          <t>Yes</t>
        </is>
      </c>
    </row>
    <row r="108">
      <c r="A108" s="19" t="n">
        <v>737441</v>
      </c>
      <c r="B108" s="31" t="n">
        <v>46197</v>
      </c>
      <c r="C108" s="19" t="inlineStr">
        <is>
          <t>DEPARTMENT OF WATER MANAGEMENT</t>
        </is>
      </c>
      <c r="D108" s="19" t="inlineStr">
        <is>
          <t>USALCO</t>
        </is>
      </c>
      <c r="E108" s="20" t="inlineStr">
        <is>
          <t>LIQUID ALUMINUM SULFATE (IRON FREE)</t>
        </is>
      </c>
      <c r="F108" s="21" t="n">
        <v>776537.62</v>
      </c>
      <c r="G108" s="19" t="inlineStr">
        <is>
          <t>1. Pending New Contract - Original Contract Expired. New Contract in Process</t>
        </is>
      </c>
      <c r="H108" s="19" t="inlineStr">
        <is>
          <t>B. City Law Review</t>
        </is>
      </c>
      <c r="I108" s="19" t="inlineStr">
        <is>
          <t>APPROVED</t>
        </is>
      </c>
      <c r="J108" s="19" t="inlineStr">
        <is>
          <t>Yes</t>
        </is>
      </c>
      <c r="K108" s="19" t="inlineStr">
        <is>
          <t>No</t>
        </is>
      </c>
      <c r="L108" s="19" t="inlineStr"/>
      <c r="M108" s="19" t="inlineStr">
        <is>
          <t>RX661351</t>
        </is>
      </c>
      <c r="N108" s="19" t="inlineStr">
        <is>
          <t>E</t>
        </is>
      </c>
      <c r="O108" s="20" t="inlineStr">
        <is>
          <t>No linkage found in awarded contract file</t>
        </is>
      </c>
      <c r="P108" s="19" t="inlineStr"/>
      <c r="Q108" s="19" t="inlineStr"/>
      <c r="R108" s="31" t="inlineStr"/>
      <c r="S108" s="19" t="inlineStr"/>
      <c r="T108" s="19" t="inlineStr">
        <is>
          <t>No</t>
        </is>
      </c>
      <c r="U108" s="19" t="inlineStr">
        <is>
          <t>No</t>
        </is>
      </c>
      <c r="V108" s="19" t="inlineStr">
        <is>
          <t>No</t>
        </is>
      </c>
      <c r="W108" s="19" t="inlineStr">
        <is>
          <t>Yes</t>
        </is>
      </c>
    </row>
    <row r="109">
      <c r="A109" s="19" t="n">
        <v>708825</v>
      </c>
      <c r="B109" s="31" t="n">
        <v>46038</v>
      </c>
      <c r="C109" s="19" t="inlineStr">
        <is>
          <t>DEPARTMENT OF BUILDINGS</t>
        </is>
      </c>
      <c r="D109" s="19" t="inlineStr">
        <is>
          <t>A &amp; D PROPERTY SERVICES, INC.</t>
        </is>
      </c>
      <c r="E109" s="20" t="inlineStr">
        <is>
          <t>BOARD UP SERVICES</t>
        </is>
      </c>
      <c r="F109" s="21" t="n">
        <v>41100</v>
      </c>
      <c r="G109" s="19" t="inlineStr">
        <is>
          <t>1. Pending New Contract - Original Contract Expired. New Contract in Process</t>
        </is>
      </c>
      <c r="H109" s="19" t="inlineStr">
        <is>
          <t>B. City Law Review</t>
        </is>
      </c>
      <c r="I109" s="19" t="inlineStr">
        <is>
          <t>APPROVED</t>
        </is>
      </c>
      <c r="J109" s="19" t="inlineStr">
        <is>
          <t>Yes</t>
        </is>
      </c>
      <c r="K109" s="19" t="inlineStr">
        <is>
          <t>No</t>
        </is>
      </c>
      <c r="L109" s="19" t="n">
        <v>32040</v>
      </c>
      <c r="M109" s="19" t="inlineStr">
        <is>
          <t>RX659422</t>
        </is>
      </c>
      <c r="N109" s="19" t="inlineStr">
        <is>
          <t>E</t>
        </is>
      </c>
      <c r="O109" s="20" t="inlineStr">
        <is>
          <t>No linkage found in awarded contract file</t>
        </is>
      </c>
      <c r="P109" s="19" t="inlineStr"/>
      <c r="Q109" s="19" t="inlineStr"/>
      <c r="R109" s="31" t="inlineStr"/>
      <c r="S109" s="19" t="inlineStr"/>
      <c r="T109" s="19" t="inlineStr">
        <is>
          <t>No</t>
        </is>
      </c>
      <c r="U109" s="19" t="inlineStr">
        <is>
          <t>No</t>
        </is>
      </c>
      <c r="V109" s="19" t="inlineStr">
        <is>
          <t>No</t>
        </is>
      </c>
      <c r="W109" s="19" t="inlineStr">
        <is>
          <t>Yes</t>
        </is>
      </c>
    </row>
    <row r="110">
      <c r="A110" s="19" t="n">
        <v>743425</v>
      </c>
      <c r="B110" s="31" t="n">
        <v>46238</v>
      </c>
      <c r="C110" s="19" t="inlineStr">
        <is>
          <t>DEPARTMENT OF BUILDINGS</t>
        </is>
      </c>
      <c r="D110" s="19" t="inlineStr">
        <is>
          <t>A &amp; D PROPERTY SERVICES, INC.</t>
        </is>
      </c>
      <c r="E110" s="20" t="inlineStr">
        <is>
          <t>BOARD UP SERVICES</t>
        </is>
      </c>
      <c r="F110" s="21" t="n">
        <v>60600</v>
      </c>
      <c r="G110" s="19" t="inlineStr">
        <is>
          <t>1. Pending New Contract - Original Contract Expired. New Contract in Process</t>
        </is>
      </c>
      <c r="H110" s="19" t="inlineStr">
        <is>
          <t>C. Solicitation or Bidding Phase</t>
        </is>
      </c>
      <c r="I110" s="19" t="inlineStr">
        <is>
          <t>APPROVED</t>
        </is>
      </c>
      <c r="J110" s="19" t="inlineStr">
        <is>
          <t>Yes</t>
        </is>
      </c>
      <c r="K110" s="19" t="inlineStr">
        <is>
          <t>No</t>
        </is>
      </c>
      <c r="L110" s="19" t="n">
        <v>32040</v>
      </c>
      <c r="M110" s="19" t="inlineStr">
        <is>
          <t>RX734541</t>
        </is>
      </c>
      <c r="N110" s="19" t="inlineStr">
        <is>
          <t>E</t>
        </is>
      </c>
      <c r="O110" s="20" t="inlineStr">
        <is>
          <t>No linkage found in awarded contract file</t>
        </is>
      </c>
      <c r="P110" s="19" t="inlineStr"/>
      <c r="Q110" s="19" t="inlineStr"/>
      <c r="R110" s="31" t="inlineStr"/>
      <c r="S110" s="19" t="inlineStr"/>
      <c r="T110" s="19" t="inlineStr">
        <is>
          <t>No</t>
        </is>
      </c>
      <c r="U110" s="19" t="inlineStr">
        <is>
          <t>No</t>
        </is>
      </c>
      <c r="V110" s="19" t="inlineStr">
        <is>
          <t>No</t>
        </is>
      </c>
      <c r="W110" s="19" t="inlineStr">
        <is>
          <t>Yes</t>
        </is>
      </c>
    </row>
    <row r="111">
      <c r="A111" s="19" t="n">
        <v>719797</v>
      </c>
      <c r="B111" s="31" t="n">
        <v>46100</v>
      </c>
      <c r="C111" s="19" t="inlineStr">
        <is>
          <t>CHICAGO FIRE DEPARTMENT</t>
        </is>
      </c>
      <c r="D111" s="19" t="inlineStr">
        <is>
          <t>DS Services of America, Inc.</t>
        </is>
      </c>
      <c r="E111" s="20" t="inlineStr">
        <is>
          <t>FFIB Hinkley Springs $28,928.60</t>
        </is>
      </c>
      <c r="F111" s="21" t="n">
        <v>0</v>
      </c>
      <c r="G111" s="19" t="inlineStr">
        <is>
          <t>1. Pending New Contract - Original Contract Expired. New Contract in Process</t>
        </is>
      </c>
      <c r="H111" s="19" t="inlineStr">
        <is>
          <t>B. City Law Review</t>
        </is>
      </c>
      <c r="I111" s="19" t="inlineStr"/>
      <c r="J111" s="19" t="inlineStr">
        <is>
          <t>No</t>
        </is>
      </c>
      <c r="K111" s="19" t="inlineStr">
        <is>
          <t>No</t>
        </is>
      </c>
      <c r="L111" s="19" t="inlineStr"/>
      <c r="M111" s="19" t="inlineStr">
        <is>
          <t>RX676831</t>
        </is>
      </c>
      <c r="N111" s="19" t="inlineStr">
        <is>
          <t>E</t>
        </is>
      </c>
      <c r="O111" s="20" t="inlineStr">
        <is>
          <t>No linkage found in awarded contract file</t>
        </is>
      </c>
      <c r="P111" s="19" t="inlineStr"/>
      <c r="Q111" s="19" t="inlineStr"/>
      <c r="R111" s="31" t="inlineStr"/>
      <c r="S111" s="19" t="inlineStr"/>
      <c r="T111" s="19" t="inlineStr">
        <is>
          <t>No</t>
        </is>
      </c>
      <c r="U111" s="19" t="inlineStr">
        <is>
          <t>No</t>
        </is>
      </c>
      <c r="V111" s="19" t="inlineStr">
        <is>
          <t>No</t>
        </is>
      </c>
      <c r="W111" s="19" t="inlineStr">
        <is>
          <t>No</t>
        </is>
      </c>
    </row>
    <row r="112">
      <c r="A112" s="19" t="n">
        <v>721806</v>
      </c>
      <c r="B112" s="31" t="n">
        <v>46107</v>
      </c>
      <c r="C112" s="19" t="inlineStr">
        <is>
          <t>DEPARTMENT OF FLEET AND FACILITY MANAGEMENT</t>
        </is>
      </c>
      <c r="D112" s="19" t="inlineStr">
        <is>
          <t>AGAE CONTRACTORS, INC.</t>
        </is>
      </c>
      <c r="E112" s="20" t="inlineStr">
        <is>
          <t>CDA Lead Dept. 2FM utlized PO#58539 for Repair, Replacement and Fabrication of Signage Systems for O'Hare and Midway International Airports. The contract expired 6/30/25. CDA submitted a time extension request to DPS, RX 655225 but vendor d</t>
        </is>
      </c>
      <c r="F112" s="21" t="n">
        <v>898.95</v>
      </c>
      <c r="G112" s="19" t="inlineStr">
        <is>
          <t>1. Pending New Contract - Original Contract Expired. New Contract in Process</t>
        </is>
      </c>
      <c r="H112" s="19" t="inlineStr">
        <is>
          <t>C. Solicitation or Bidding Phase</t>
        </is>
      </c>
      <c r="I112" s="19" t="inlineStr">
        <is>
          <t>APPROVED</t>
        </is>
      </c>
      <c r="J112" s="19" t="inlineStr">
        <is>
          <t>Yes</t>
        </is>
      </c>
      <c r="K112" s="19" t="inlineStr">
        <is>
          <t>No</t>
        </is>
      </c>
      <c r="L112" s="19" t="inlineStr"/>
      <c r="M112" s="19" t="inlineStr">
        <is>
          <t>RX607736</t>
        </is>
      </c>
      <c r="N112" s="19" t="inlineStr">
        <is>
          <t>E</t>
        </is>
      </c>
      <c r="O112" s="20" t="inlineStr">
        <is>
          <t>No linkage found in awarded contract file</t>
        </is>
      </c>
      <c r="P112" s="19" t="inlineStr"/>
      <c r="Q112" s="19" t="inlineStr"/>
      <c r="R112" s="31" t="inlineStr"/>
      <c r="S112" s="19" t="inlineStr"/>
      <c r="T112" s="19" t="inlineStr">
        <is>
          <t>No</t>
        </is>
      </c>
      <c r="U112" s="19" t="inlineStr">
        <is>
          <t>No</t>
        </is>
      </c>
      <c r="V112" s="19" t="inlineStr">
        <is>
          <t>No</t>
        </is>
      </c>
      <c r="W112" s="19" t="inlineStr">
        <is>
          <t>Yes</t>
        </is>
      </c>
    </row>
    <row r="113">
      <c r="A113" s="19" t="n">
        <v>720597</v>
      </c>
      <c r="B113" s="31" t="n">
        <v>46106</v>
      </c>
      <c r="C113" s="19" t="inlineStr">
        <is>
          <t>DEPARTMENT OF FLEET AND FACILITY MANAGEMENT</t>
        </is>
      </c>
      <c r="D113" s="19" t="inlineStr">
        <is>
          <t>ZIPCAR  INC</t>
        </is>
      </c>
      <c r="E113" s="20" t="inlineStr">
        <is>
          <t>The City does not currently have a Car Sharing Services contract. DPS canceled our prior solicitation request under RX 421900 before it was advertised. 2FM submitted a re-bid solicitation under RX 529316 June 15, 2025. Until a new contract</t>
        </is>
      </c>
      <c r="F113" s="21" t="n">
        <v>2536.23</v>
      </c>
      <c r="G113" s="19" t="inlineStr">
        <is>
          <t>1. Pending New Contract - Original Contract Expired. New Contract in Process</t>
        </is>
      </c>
      <c r="H113" s="19" t="inlineStr">
        <is>
          <t>B. City Law Review</t>
        </is>
      </c>
      <c r="I113" s="19" t="inlineStr">
        <is>
          <t>APPROVED</t>
        </is>
      </c>
      <c r="J113" s="19" t="inlineStr">
        <is>
          <t>No</t>
        </is>
      </c>
      <c r="K113" s="19" t="inlineStr">
        <is>
          <t>No</t>
        </is>
      </c>
      <c r="L113" s="19" t="inlineStr"/>
      <c r="M113" s="19" t="inlineStr">
        <is>
          <t>RX529316</t>
        </is>
      </c>
      <c r="N113" s="19" t="inlineStr">
        <is>
          <t>E</t>
        </is>
      </c>
      <c r="O113" s="20" t="inlineStr">
        <is>
          <t>No linkage found in awarded contract file</t>
        </is>
      </c>
      <c r="P113" s="19" t="inlineStr"/>
      <c r="Q113" s="19" t="inlineStr"/>
      <c r="R113" s="31" t="inlineStr"/>
      <c r="S113" s="19" t="inlineStr"/>
      <c r="T113" s="19" t="inlineStr">
        <is>
          <t>No</t>
        </is>
      </c>
      <c r="U113" s="19" t="inlineStr">
        <is>
          <t>No</t>
        </is>
      </c>
      <c r="V113" s="19" t="inlineStr">
        <is>
          <t>No</t>
        </is>
      </c>
      <c r="W113" s="19" t="inlineStr">
        <is>
          <t>No</t>
        </is>
      </c>
    </row>
    <row r="114">
      <c r="A114" s="19" t="n">
        <v>728186</v>
      </c>
      <c r="B114" s="31" t="n">
        <v>46142</v>
      </c>
      <c r="C114" s="19" t="inlineStr">
        <is>
          <t>DEPARTMENT OF FLEET AND FACILITY MANAGEMENT</t>
        </is>
      </c>
      <c r="D114" s="19" t="inlineStr">
        <is>
          <t>P. R. STREICH &amp; SONS</t>
        </is>
      </c>
      <c r="E114" s="20" t="inlineStr">
        <is>
          <t>There is curently no active contract with a vendor to repair and certify the shop floor equipment. Our previous vendor, Standard Industrial (PO 24519) did not want to extend their contract. Due to this 2FM found a local vendor PR Streich to</t>
        </is>
      </c>
      <c r="F114" s="21" t="n">
        <v>4737</v>
      </c>
      <c r="G114" s="19" t="inlineStr">
        <is>
          <t>1. Pending New Contract - Original Contract Expired. New Contract in Process</t>
        </is>
      </c>
      <c r="H114" s="19" t="inlineStr">
        <is>
          <t>B. City Law Review</t>
        </is>
      </c>
      <c r="I114" s="19" t="inlineStr">
        <is>
          <t>APPROVED</t>
        </is>
      </c>
      <c r="J114" s="19" t="inlineStr">
        <is>
          <t>Yes</t>
        </is>
      </c>
      <c r="K114" s="19" t="inlineStr">
        <is>
          <t>No</t>
        </is>
      </c>
      <c r="L114" s="19" t="inlineStr">
        <is>
          <t>TBD</t>
        </is>
      </c>
      <c r="M114" s="19" t="inlineStr">
        <is>
          <t>RX679901</t>
        </is>
      </c>
      <c r="N114" s="19" t="inlineStr">
        <is>
          <t>E</t>
        </is>
      </c>
      <c r="O114" s="20" t="inlineStr">
        <is>
          <t>No linkage found in awarded contract file</t>
        </is>
      </c>
      <c r="P114" s="19" t="inlineStr"/>
      <c r="Q114" s="19" t="inlineStr"/>
      <c r="R114" s="31" t="inlineStr"/>
      <c r="S114" s="19" t="inlineStr"/>
      <c r="T114" s="19" t="inlineStr">
        <is>
          <t>No</t>
        </is>
      </c>
      <c r="U114" s="19" t="inlineStr">
        <is>
          <t>No</t>
        </is>
      </c>
      <c r="V114" s="19" t="inlineStr">
        <is>
          <t>No</t>
        </is>
      </c>
      <c r="W114" s="19" t="inlineStr">
        <is>
          <t>Yes</t>
        </is>
      </c>
    </row>
    <row r="115">
      <c r="A115" s="19" t="n">
        <v>711517</v>
      </c>
      <c r="B115" s="31" t="n">
        <v>46052</v>
      </c>
      <c r="C115" s="19" t="inlineStr">
        <is>
          <t>DEPARTMENT OF FLEET AND FACILITY MANAGEMENT</t>
        </is>
      </c>
      <c r="D115" s="19" t="inlineStr">
        <is>
          <t>Service Sanitation Inc.</t>
        </is>
      </c>
      <c r="E115" s="20" t="inlineStr">
        <is>
          <t>DCASE submitted a new contract request for RENTAL AND MAINTENANCE OF PORTABLE CHEMICAL TOILETS, SINKS, WASTE WATER BARRELS, PORTABLE WATERLESS HAND SANITIZER DISPENSERS, FRESH WATER TRAILER AND PORTABLE SHOWERS to DPS under RX 613315, Spec</t>
        </is>
      </c>
      <c r="F115" s="21" t="n">
        <v>7750</v>
      </c>
      <c r="G115" s="19" t="inlineStr">
        <is>
          <t>1. Pending New Contract - Original Contract Expired. New Contract in Process</t>
        </is>
      </c>
      <c r="H115" s="19" t="inlineStr">
        <is>
          <t>D. Solicitation Response Under Evaluation</t>
        </is>
      </c>
      <c r="I115" s="19" t="inlineStr">
        <is>
          <t>APPROVED</t>
        </is>
      </c>
      <c r="J115" s="19" t="inlineStr">
        <is>
          <t>Yes</t>
        </is>
      </c>
      <c r="K115" s="19" t="inlineStr">
        <is>
          <t>No</t>
        </is>
      </c>
      <c r="L115" s="19" t="inlineStr"/>
      <c r="M115" s="19" t="inlineStr">
        <is>
          <t>RX700212</t>
        </is>
      </c>
      <c r="N115" s="19" t="inlineStr">
        <is>
          <t>B</t>
        </is>
      </c>
      <c r="O115" s="20" t="inlineStr">
        <is>
          <t>Vendor match + commodity overlap (similarity 0.64)</t>
        </is>
      </c>
      <c r="P115" s="19" t="inlineStr">
        <is>
          <t>381051</t>
        </is>
      </c>
      <c r="Q115" s="19" t="inlineStr">
        <is>
          <t>Service Sanitation Inc.</t>
        </is>
      </c>
      <c r="R115" s="31" t="n">
        <v>46203</v>
      </c>
      <c r="S115" s="19" t="inlineStr">
        <is>
          <t>BID</t>
        </is>
      </c>
      <c r="T115" s="19" t="inlineStr">
        <is>
          <t>Yes</t>
        </is>
      </c>
      <c r="U115" s="19" t="inlineStr">
        <is>
          <t>Yes</t>
        </is>
      </c>
      <c r="V115" s="19" t="inlineStr">
        <is>
          <t>No</t>
        </is>
      </c>
      <c r="W115" s="19" t="inlineStr">
        <is>
          <t>Yes</t>
        </is>
      </c>
    </row>
    <row r="116">
      <c r="A116" s="19" t="n">
        <v>710035</v>
      </c>
      <c r="B116" s="31" t="n">
        <v>46048</v>
      </c>
      <c r="C116" s="19" t="inlineStr">
        <is>
          <t>DEPARTMENT OF FLEET AND FACILITY MANAGEMENT</t>
        </is>
      </c>
      <c r="D116" s="19" t="inlineStr">
        <is>
          <t>CHARLES EQUIPMENT ENERGY SYSTEMS LLC</t>
        </is>
      </c>
      <c r="E116" s="20" t="inlineStr">
        <is>
          <t>CDA Lead Dept. 2FM utlizes PO#66794 for Maintenance &amp; Repair of Diesel Electric Generators &amp; Fire Pumps at O'Hare &amp; Midway International Airports - Group A.  The contract expired 06/30/2024. CDOT submitted a new contract request to DPS for</t>
        </is>
      </c>
      <c r="F116" s="21" t="n">
        <v>1463.66</v>
      </c>
      <c r="G116" s="19" t="inlineStr">
        <is>
          <t>1. Pending New Contract - Original Contract Expired. New Contract in Process</t>
        </is>
      </c>
      <c r="H116" s="19" t="inlineStr">
        <is>
          <t>A. Specification Development Phase</t>
        </is>
      </c>
      <c r="I116" s="19" t="inlineStr">
        <is>
          <t>APPROVED</t>
        </is>
      </c>
      <c r="J116" s="19" t="inlineStr">
        <is>
          <t>Yes</t>
        </is>
      </c>
      <c r="K116" s="19" t="inlineStr">
        <is>
          <t>No</t>
        </is>
      </c>
      <c r="L116" s="19" t="inlineStr"/>
      <c r="M116" s="19" t="inlineStr">
        <is>
          <t>RX622326</t>
        </is>
      </c>
      <c r="N116" s="19" t="inlineStr">
        <is>
          <t>E</t>
        </is>
      </c>
      <c r="O116" s="20" t="inlineStr">
        <is>
          <t>No linkage found in awarded contract file</t>
        </is>
      </c>
      <c r="P116" s="19" t="inlineStr"/>
      <c r="Q116" s="19" t="inlineStr"/>
      <c r="R116" s="31" t="inlineStr"/>
      <c r="S116" s="19" t="inlineStr"/>
      <c r="T116" s="19" t="inlineStr">
        <is>
          <t>No</t>
        </is>
      </c>
      <c r="U116" s="19" t="inlineStr">
        <is>
          <t>No</t>
        </is>
      </c>
      <c r="V116" s="19" t="inlineStr">
        <is>
          <t>No</t>
        </is>
      </c>
      <c r="W116" s="19" t="inlineStr">
        <is>
          <t>Yes</t>
        </is>
      </c>
    </row>
    <row r="117">
      <c r="A117" s="19" t="n">
        <v>737254</v>
      </c>
      <c r="B117" s="31" t="n">
        <v>46197</v>
      </c>
      <c r="C117" s="19" t="inlineStr">
        <is>
          <t>DEPARTMENT OF FLEET AND FACILITY MANAGEMENT</t>
        </is>
      </c>
      <c r="D117" s="19" t="inlineStr">
        <is>
          <t>KING TRANSMISSION CO INC</t>
        </is>
      </c>
      <c r="E117" s="20" t="inlineStr">
        <is>
          <t>King Transmission had a contract (PO 34964) with the City that expired 4/19/24. 2FM submitted a TE Request that was rejected by DPS due to King's inability to comply with M/WBE requirements. King requested a waiver twice and was rejected bo</t>
        </is>
      </c>
      <c r="F117" s="21" t="n">
        <v>7390</v>
      </c>
      <c r="G117" s="19" t="inlineStr">
        <is>
          <t>1. Pending New Contract - Original Contract Expired. New Contract in Process</t>
        </is>
      </c>
      <c r="H117" s="19" t="inlineStr">
        <is>
          <t>B. City Law Review</t>
        </is>
      </c>
      <c r="I117" s="19" t="inlineStr">
        <is>
          <t>APPROVED</t>
        </is>
      </c>
      <c r="J117" s="19" t="inlineStr">
        <is>
          <t>Yes</t>
        </is>
      </c>
      <c r="K117" s="19" t="inlineStr">
        <is>
          <t>No</t>
        </is>
      </c>
      <c r="L117" s="19" t="inlineStr"/>
      <c r="M117" s="19" t="inlineStr">
        <is>
          <t>RX590958</t>
        </is>
      </c>
      <c r="N117" s="19" t="inlineStr">
        <is>
          <t>E</t>
        </is>
      </c>
      <c r="O117" s="20" t="inlineStr">
        <is>
          <t>No linkage found in awarded contract file</t>
        </is>
      </c>
      <c r="P117" s="19" t="inlineStr"/>
      <c r="Q117" s="19" t="inlineStr"/>
      <c r="R117" s="31" t="inlineStr"/>
      <c r="S117" s="19" t="inlineStr"/>
      <c r="T117" s="19" t="inlineStr">
        <is>
          <t>No</t>
        </is>
      </c>
      <c r="U117" s="19" t="inlineStr">
        <is>
          <t>No</t>
        </is>
      </c>
      <c r="V117" s="19" t="inlineStr">
        <is>
          <t>No</t>
        </is>
      </c>
      <c r="W117" s="19" t="inlineStr">
        <is>
          <t>Yes</t>
        </is>
      </c>
    </row>
    <row r="118">
      <c r="A118" s="19" t="n">
        <v>721912</v>
      </c>
      <c r="B118" s="31" t="n">
        <v>46107</v>
      </c>
      <c r="C118" s="19" t="inlineStr">
        <is>
          <t>DEPARTMENT OF FLEET AND FACILITY MANAGEMENT</t>
        </is>
      </c>
      <c r="D118" s="19" t="inlineStr">
        <is>
          <t>WISS, JANNEY, ELSTNER, &amp; ASSOCIATES, INC.</t>
        </is>
      </c>
      <c r="E118" s="20" t="inlineStr">
        <is>
          <t>Current Spec 127930's Scope of services for this Exhibit B is outside of the current contract. Additional language was added to the new Specification for A/E, Spec#132104 Req.#607835, to address this scope gap in the future. Spec#132104 Req</t>
        </is>
      </c>
      <c r="F118" s="21" t="n">
        <v>10470</v>
      </c>
      <c r="G118" s="19" t="inlineStr">
        <is>
          <t>1. Pending New Contract - Original Contract Expired. New Contract in Process</t>
        </is>
      </c>
      <c r="H118" s="19" t="inlineStr">
        <is>
          <t>H. One Time Purchase</t>
        </is>
      </c>
      <c r="I118" s="19" t="inlineStr">
        <is>
          <t>APPROVED</t>
        </is>
      </c>
      <c r="J118" s="19" t="inlineStr">
        <is>
          <t>Yes</t>
        </is>
      </c>
      <c r="K118" s="19" t="inlineStr">
        <is>
          <t>No</t>
        </is>
      </c>
      <c r="L118" s="19" t="n">
        <v>203199</v>
      </c>
      <c r="M118" s="19" t="inlineStr">
        <is>
          <t>RX607835</t>
        </is>
      </c>
      <c r="N118" s="19" t="inlineStr">
        <is>
          <t>E</t>
        </is>
      </c>
      <c r="O118" s="20" t="inlineStr">
        <is>
          <t>No linkage found in awarded contract file</t>
        </is>
      </c>
      <c r="P118" s="19" t="inlineStr"/>
      <c r="Q118" s="19" t="inlineStr"/>
      <c r="R118" s="31" t="inlineStr"/>
      <c r="S118" s="19" t="inlineStr"/>
      <c r="T118" s="19" t="inlineStr">
        <is>
          <t>No</t>
        </is>
      </c>
      <c r="U118" s="19" t="inlineStr">
        <is>
          <t>No</t>
        </is>
      </c>
      <c r="V118" s="19" t="inlineStr">
        <is>
          <t>No</t>
        </is>
      </c>
      <c r="W118" s="19" t="inlineStr">
        <is>
          <t>Yes</t>
        </is>
      </c>
    </row>
    <row r="119">
      <c r="A119" s="19" t="n">
        <v>736752</v>
      </c>
      <c r="B119" s="31" t="n">
        <v>46195</v>
      </c>
      <c r="C119" s="19" t="inlineStr">
        <is>
          <t>DEPARTMENT OF FLEET AND FACILITY MANAGEMENT</t>
        </is>
      </c>
      <c r="D119" s="19" t="inlineStr">
        <is>
          <t>PRESSURE WASHING SYSTEMS</t>
        </is>
      </c>
      <c r="E119" s="20" t="inlineStr">
        <is>
          <t>PO T26072 expired 5/31/2003. The vendor chose not to extend their contract. We still require these services and will need to pay through Exhibit B until a new contract is awarded. Req 717990 has been submitted to DPS for advertisement.</t>
        </is>
      </c>
      <c r="F119" s="21" t="n">
        <v>4867</v>
      </c>
      <c r="G119" s="19" t="inlineStr">
        <is>
          <t>1. Pending New Contract - Original Contract Expired. New Contract in Process</t>
        </is>
      </c>
      <c r="H119" s="19" t="inlineStr">
        <is>
          <t>B. City Law Review</t>
        </is>
      </c>
      <c r="I119" s="19" t="inlineStr">
        <is>
          <t>APPROVED</t>
        </is>
      </c>
      <c r="J119" s="19" t="inlineStr">
        <is>
          <t>Yes</t>
        </is>
      </c>
      <c r="K119" s="19" t="inlineStr">
        <is>
          <t>No</t>
        </is>
      </c>
      <c r="L119" s="19" t="inlineStr"/>
      <c r="M119" s="19" t="inlineStr">
        <is>
          <t>RX717990</t>
        </is>
      </c>
      <c r="N119" s="19" t="inlineStr">
        <is>
          <t>E</t>
        </is>
      </c>
      <c r="O119" s="20" t="inlineStr">
        <is>
          <t>No linkage found in awarded contract file</t>
        </is>
      </c>
      <c r="P119" s="19" t="inlineStr"/>
      <c r="Q119" s="19" t="inlineStr"/>
      <c r="R119" s="31" t="inlineStr"/>
      <c r="S119" s="19" t="inlineStr"/>
      <c r="T119" s="19" t="inlineStr">
        <is>
          <t>No</t>
        </is>
      </c>
      <c r="U119" s="19" t="inlineStr">
        <is>
          <t>No</t>
        </is>
      </c>
      <c r="V119" s="19" t="inlineStr">
        <is>
          <t>No</t>
        </is>
      </c>
      <c r="W119" s="19" t="inlineStr">
        <is>
          <t>Yes</t>
        </is>
      </c>
    </row>
    <row r="120">
      <c r="A120" s="19" t="n">
        <v>734813</v>
      </c>
      <c r="B120" s="31" t="n">
        <v>46182</v>
      </c>
      <c r="C120" s="19" t="inlineStr">
        <is>
          <t>DEPARTMENT OF FLEET AND FACILITY MANAGEMENT</t>
        </is>
      </c>
      <c r="D120" s="19" t="inlineStr">
        <is>
          <t>IRON MOUNTAIN RECORDS</t>
        </is>
      </c>
      <c r="E120" s="20" t="inlineStr">
        <is>
          <t>RFP Spec 1232458 Rx 425669 for Records Management completed their Evaluations. DPS updated the PSA adding the Scope of Services provided by 2FM. Continuing to work with DPS to complete award phase and provide updated PO#</t>
        </is>
      </c>
      <c r="F120" s="21" t="n">
        <v>21494.4</v>
      </c>
      <c r="G120" s="19" t="inlineStr">
        <is>
          <t>1. Pending New Contract - Original Contract Expired. New Contract in Process</t>
        </is>
      </c>
      <c r="H120" s="19" t="inlineStr">
        <is>
          <t>E. ROA - (Recommendation of Award)</t>
        </is>
      </c>
      <c r="I120" s="19" t="inlineStr">
        <is>
          <t>APPROVED</t>
        </is>
      </c>
      <c r="J120" s="19" t="inlineStr">
        <is>
          <t>Yes</t>
        </is>
      </c>
      <c r="K120" s="19" t="inlineStr">
        <is>
          <t>No</t>
        </is>
      </c>
      <c r="L120" s="19" t="inlineStr">
        <is>
          <t>No</t>
        </is>
      </c>
      <c r="M120" s="19" t="inlineStr">
        <is>
          <t>RX425669</t>
        </is>
      </c>
      <c r="N120" s="19" t="inlineStr">
        <is>
          <t>E</t>
        </is>
      </c>
      <c r="O120" s="20" t="inlineStr">
        <is>
          <t>No linkage found in awarded contract file</t>
        </is>
      </c>
      <c r="P120" s="19" t="inlineStr"/>
      <c r="Q120" s="19" t="inlineStr"/>
      <c r="R120" s="31" t="inlineStr"/>
      <c r="S120" s="19" t="inlineStr"/>
      <c r="T120" s="19" t="inlineStr">
        <is>
          <t>No</t>
        </is>
      </c>
      <c r="U120" s="19" t="inlineStr">
        <is>
          <t>No</t>
        </is>
      </c>
      <c r="V120" s="19" t="inlineStr">
        <is>
          <t>No</t>
        </is>
      </c>
      <c r="W120" s="19" t="inlineStr">
        <is>
          <t>Yes</t>
        </is>
      </c>
    </row>
    <row r="121">
      <c r="A121" s="19" t="n">
        <v>722319</v>
      </c>
      <c r="B121" s="31" t="n">
        <v>46119</v>
      </c>
      <c r="C121" s="19" t="inlineStr">
        <is>
          <t>DEPARTMENT OF FLEET AND FACILITY MANAGEMENT</t>
        </is>
      </c>
      <c r="D121" s="19" t="inlineStr">
        <is>
          <t>MURNANE PAPER COMPANY</t>
        </is>
      </c>
      <c r="E121" s="20" t="inlineStr">
        <is>
          <t>There is currently no active contract for this type of paper. The items being purchased are not part of the current Murnane contract.  The Department of Fleet and Facility Management (2FM) previously advertised Specification 1288508, RX 579</t>
        </is>
      </c>
      <c r="F121" s="21" t="n">
        <v>5570</v>
      </c>
      <c r="G121" s="19" t="inlineStr">
        <is>
          <t>1. Pending New Contract - Original Contract Expired. New Contract in Process</t>
        </is>
      </c>
      <c r="H121" s="19" t="inlineStr">
        <is>
          <t>A. Specification Development Phase</t>
        </is>
      </c>
      <c r="I121" s="19" t="inlineStr">
        <is>
          <t>APPROVED</t>
        </is>
      </c>
      <c r="J121" s="19" t="inlineStr">
        <is>
          <t>No</t>
        </is>
      </c>
      <c r="K121" s="19" t="inlineStr">
        <is>
          <t>No</t>
        </is>
      </c>
      <c r="L121" s="19" t="inlineStr"/>
      <c r="M121" s="19" t="inlineStr">
        <is>
          <t>RX600854</t>
        </is>
      </c>
      <c r="N121" s="19" t="inlineStr">
        <is>
          <t>E</t>
        </is>
      </c>
      <c r="O121" s="20" t="inlineStr">
        <is>
          <t>No linkage found in awarded contract file</t>
        </is>
      </c>
      <c r="P121" s="19" t="inlineStr"/>
      <c r="Q121" s="19" t="inlineStr"/>
      <c r="R121" s="31" t="inlineStr"/>
      <c r="S121" s="19" t="inlineStr"/>
      <c r="T121" s="19" t="inlineStr">
        <is>
          <t>No</t>
        </is>
      </c>
      <c r="U121" s="19" t="inlineStr">
        <is>
          <t>No</t>
        </is>
      </c>
      <c r="V121" s="19" t="inlineStr">
        <is>
          <t>No</t>
        </is>
      </c>
      <c r="W121" s="19" t="inlineStr">
        <is>
          <t>No</t>
        </is>
      </c>
    </row>
    <row r="122">
      <c r="A122" s="19" t="n">
        <v>718296</v>
      </c>
      <c r="B122" s="31" t="n">
        <v>46097</v>
      </c>
      <c r="C122" s="19" t="inlineStr">
        <is>
          <t>DEPARTMENT OF FLEET AND FACILITY MANAGEMENT</t>
        </is>
      </c>
      <c r="D122" s="19" t="inlineStr">
        <is>
          <t>MURNANE PAPER COMPANY</t>
        </is>
      </c>
      <c r="E122" s="20" t="inlineStr">
        <is>
          <t>There is currently no active contract for this type of paper. The items being purchased are not part of the current Murnane contract.  The Department of Fleet and Facility Management (2FM) previously advertised Specification 1288508, RX 579</t>
        </is>
      </c>
      <c r="F122" s="21" t="n">
        <v>16008</v>
      </c>
      <c r="G122" s="19" t="inlineStr">
        <is>
          <t>1. Pending New Contract - Original Contract Expired. New Contract in Process</t>
        </is>
      </c>
      <c r="H122" s="19" t="inlineStr">
        <is>
          <t>A. Specification Development Phase</t>
        </is>
      </c>
      <c r="I122" s="19" t="inlineStr">
        <is>
          <t>APPROVED</t>
        </is>
      </c>
      <c r="J122" s="19" t="inlineStr">
        <is>
          <t>No</t>
        </is>
      </c>
      <c r="K122" s="19" t="inlineStr">
        <is>
          <t>No</t>
        </is>
      </c>
      <c r="L122" s="19" t="inlineStr"/>
      <c r="M122" s="19" t="inlineStr">
        <is>
          <t>RX600854</t>
        </is>
      </c>
      <c r="N122" s="19" t="inlineStr">
        <is>
          <t>E</t>
        </is>
      </c>
      <c r="O122" s="20" t="inlineStr">
        <is>
          <t>No linkage found in awarded contract file</t>
        </is>
      </c>
      <c r="P122" s="19" t="inlineStr"/>
      <c r="Q122" s="19" t="inlineStr"/>
      <c r="R122" s="31" t="inlineStr"/>
      <c r="S122" s="19" t="inlineStr"/>
      <c r="T122" s="19" t="inlineStr">
        <is>
          <t>No</t>
        </is>
      </c>
      <c r="U122" s="19" t="inlineStr">
        <is>
          <t>No</t>
        </is>
      </c>
      <c r="V122" s="19" t="inlineStr">
        <is>
          <t>No</t>
        </is>
      </c>
      <c r="W122" s="19" t="inlineStr">
        <is>
          <t>No</t>
        </is>
      </c>
    </row>
    <row r="123">
      <c r="A123" s="19" t="n">
        <v>716862</v>
      </c>
      <c r="B123" s="31" t="n">
        <v>46080</v>
      </c>
      <c r="C123" s="19" t="inlineStr">
        <is>
          <t>DEPARTMENT OF FLEET AND FACILITY MANAGEMENT</t>
        </is>
      </c>
      <c r="D123" s="19" t="inlineStr">
        <is>
          <t>Boschung America, LLC</t>
        </is>
      </c>
      <c r="E123" s="20" t="inlineStr">
        <is>
          <t>There is no active contract for the scope of work provided in this Exhibit B. Steve's Equipment, which previously provided these services, has recently gone out of business. As a result, 2FM had to source a certified vendor to service the e</t>
        </is>
      </c>
      <c r="F123" s="21" t="n">
        <v>0</v>
      </c>
      <c r="G123" s="19" t="inlineStr">
        <is>
          <t>1. Pending New Contract - Original Contract Expired. New Contract in Process</t>
        </is>
      </c>
      <c r="H123" s="19" t="inlineStr">
        <is>
          <t>B. City Law Review</t>
        </is>
      </c>
      <c r="I123" s="19" t="inlineStr">
        <is>
          <t>APPROVED</t>
        </is>
      </c>
      <c r="J123" s="19" t="inlineStr">
        <is>
          <t>Yes</t>
        </is>
      </c>
      <c r="K123" s="19" t="inlineStr">
        <is>
          <t>No</t>
        </is>
      </c>
      <c r="L123" s="19" t="inlineStr"/>
      <c r="M123" s="19" t="inlineStr">
        <is>
          <t>RX663987</t>
        </is>
      </c>
      <c r="N123" s="19" t="inlineStr">
        <is>
          <t>C</t>
        </is>
      </c>
      <c r="O123" s="20" t="inlineStr">
        <is>
          <t>Vendor name match only (similarity 0.03)</t>
        </is>
      </c>
      <c r="P123" s="19" t="inlineStr">
        <is>
          <t>388473</t>
        </is>
      </c>
      <c r="Q123" s="19" t="inlineStr">
        <is>
          <t>Boschung America, LLC</t>
        </is>
      </c>
      <c r="R123" s="31" t="n">
        <v>46118</v>
      </c>
      <c r="S123" s="19" t="inlineStr">
        <is>
          <t>REFERENCE CONTRACT</t>
        </is>
      </c>
      <c r="T123" s="19" t="inlineStr">
        <is>
          <t>No</t>
        </is>
      </c>
      <c r="U123" s="19" t="inlineStr">
        <is>
          <t>No</t>
        </is>
      </c>
      <c r="V123" s="19" t="inlineStr">
        <is>
          <t>No</t>
        </is>
      </c>
      <c r="W123" s="19" t="inlineStr">
        <is>
          <t>Yes</t>
        </is>
      </c>
    </row>
    <row r="124">
      <c r="A124" s="19" t="n">
        <v>717118</v>
      </c>
      <c r="B124" s="31" t="n">
        <v>46085</v>
      </c>
      <c r="C124" s="19" t="inlineStr">
        <is>
          <t>DEPARTMENT OF FLEET AND FACILITY MANAGEMENT</t>
        </is>
      </c>
      <c r="D124" s="19" t="inlineStr">
        <is>
          <t>Boschung America, LLC</t>
        </is>
      </c>
      <c r="E124" s="20" t="inlineStr">
        <is>
          <t>There is no active contract for the scope of work provided in this Exhibit B. Steve's Equipment, which previously provided these services, has recently gone out of business. As a result, 2FM had to source a certified vendor to service the e</t>
        </is>
      </c>
      <c r="F124" s="21" t="n">
        <v>61176.62</v>
      </c>
      <c r="G124" s="19" t="inlineStr">
        <is>
          <t>1. Pending New Contract - Original Contract Expired. New Contract in Process</t>
        </is>
      </c>
      <c r="H124" s="19" t="inlineStr">
        <is>
          <t>B. City Law Review</t>
        </is>
      </c>
      <c r="I124" s="19" t="inlineStr">
        <is>
          <t>APPROVED</t>
        </is>
      </c>
      <c r="J124" s="19" t="inlineStr">
        <is>
          <t>Yes</t>
        </is>
      </c>
      <c r="K124" s="19" t="inlineStr">
        <is>
          <t>No</t>
        </is>
      </c>
      <c r="L124" s="19" t="inlineStr"/>
      <c r="M124" s="19" t="inlineStr">
        <is>
          <t>RX663987</t>
        </is>
      </c>
      <c r="N124" s="19" t="inlineStr">
        <is>
          <t>C</t>
        </is>
      </c>
      <c r="O124" s="20" t="inlineStr">
        <is>
          <t>Vendor name match only (similarity 0.03)</t>
        </is>
      </c>
      <c r="P124" s="19" t="inlineStr">
        <is>
          <t>388473</t>
        </is>
      </c>
      <c r="Q124" s="19" t="inlineStr">
        <is>
          <t>Boschung America, LLC</t>
        </is>
      </c>
      <c r="R124" s="31" t="n">
        <v>46118</v>
      </c>
      <c r="S124" s="19" t="inlineStr">
        <is>
          <t>REFERENCE CONTRACT</t>
        </is>
      </c>
      <c r="T124" s="19" t="inlineStr">
        <is>
          <t>No</t>
        </is>
      </c>
      <c r="U124" s="19" t="inlineStr">
        <is>
          <t>No</t>
        </is>
      </c>
      <c r="V124" s="19" t="inlineStr">
        <is>
          <t>No</t>
        </is>
      </c>
      <c r="W124" s="19" t="inlineStr">
        <is>
          <t>Yes</t>
        </is>
      </c>
    </row>
    <row r="125">
      <c r="A125" s="19" t="n">
        <v>727116</v>
      </c>
      <c r="B125" s="31" t="n">
        <v>46147</v>
      </c>
      <c r="C125" s="19" t="inlineStr">
        <is>
          <t>DEPARTMENT OF FLEET AND FACILITY MANAGEMENT</t>
        </is>
      </c>
      <c r="D125" s="19" t="inlineStr">
        <is>
          <t>C &amp; C COMMUNICATIONS IL</t>
        </is>
      </c>
      <c r="E125" s="20" t="inlineStr">
        <is>
          <t>PSA Lead Dept.  2FM utilizes PO 102767 for the purchase and repair of comdial/vertical tier 1 phone equipment, products and technical support services.  PSA submitted RX 710994 for a TE/VLI request to DPS on 1/30/26.  The mod is currently u</t>
        </is>
      </c>
      <c r="F125" s="21" t="n">
        <v>1798</v>
      </c>
      <c r="G125" s="19" t="inlineStr">
        <is>
          <t>2. Pending Amendment/Modification - Line Item Addition / Vendor Limit Increase / Scope Change</t>
        </is>
      </c>
      <c r="H125" s="19" t="inlineStr">
        <is>
          <t>A. Specification Development Phase</t>
        </is>
      </c>
      <c r="I125" s="19" t="inlineStr">
        <is>
          <t>APPROVED</t>
        </is>
      </c>
      <c r="J125" s="19" t="inlineStr">
        <is>
          <t>No</t>
        </is>
      </c>
      <c r="K125" s="19" t="inlineStr">
        <is>
          <t>No</t>
        </is>
      </c>
      <c r="L125" s="19" t="inlineStr"/>
      <c r="M125" s="19" t="inlineStr">
        <is>
          <t>RX710994</t>
        </is>
      </c>
      <c r="N125" s="19" t="inlineStr">
        <is>
          <t>E</t>
        </is>
      </c>
      <c r="O125" s="20" t="inlineStr">
        <is>
          <t>No linkage found in awarded contract file</t>
        </is>
      </c>
      <c r="P125" s="19" t="inlineStr"/>
      <c r="Q125" s="19" t="inlineStr"/>
      <c r="R125" s="31" t="inlineStr"/>
      <c r="S125" s="19" t="inlineStr"/>
      <c r="T125" s="19" t="inlineStr">
        <is>
          <t>No</t>
        </is>
      </c>
      <c r="U125" s="19" t="inlineStr">
        <is>
          <t>No</t>
        </is>
      </c>
      <c r="V125" s="19" t="inlineStr">
        <is>
          <t>No</t>
        </is>
      </c>
      <c r="W125" s="19" t="inlineStr">
        <is>
          <t>No</t>
        </is>
      </c>
    </row>
    <row r="126">
      <c r="A126" s="19" t="n">
        <v>724618</v>
      </c>
      <c r="B126" s="31" t="n">
        <v>46133</v>
      </c>
      <c r="C126" s="19" t="inlineStr">
        <is>
          <t>DEPARTMENT OF FLEET AND FACILITY MANAGEMENT</t>
        </is>
      </c>
      <c r="D126" s="19" t="inlineStr">
        <is>
          <t>INDUSTRIAL FENCE INC.</t>
        </is>
      </c>
      <c r="E126" s="20" t="inlineStr">
        <is>
          <t>CDA Lead Dept.  2FM utilized PO 61840 for Maintenance, Repair &amp; Installation of Various Fencing, Guardrail &amp; Related Equipment,  The contract is expired as of 4/21/24.  CDA submitted a modification request for a time extension and VLI under</t>
        </is>
      </c>
      <c r="F126" s="21" t="n">
        <v>4041.77</v>
      </c>
      <c r="G126" s="19" t="inlineStr">
        <is>
          <t>1. Pending New Contract - Original Contract Expired. New Contract in Process</t>
        </is>
      </c>
      <c r="H126" s="19" t="inlineStr">
        <is>
          <t>A. Specification Development Phase</t>
        </is>
      </c>
      <c r="I126" s="19" t="inlineStr">
        <is>
          <t>APPROVED</t>
        </is>
      </c>
      <c r="J126" s="19" t="inlineStr">
        <is>
          <t>No</t>
        </is>
      </c>
      <c r="K126" s="19" t="inlineStr">
        <is>
          <t>No</t>
        </is>
      </c>
      <c r="L126" s="19" t="inlineStr">
        <is>
          <t>TBD</t>
        </is>
      </c>
      <c r="M126" s="19" t="inlineStr">
        <is>
          <t>RX596048</t>
        </is>
      </c>
      <c r="N126" s="19" t="inlineStr">
        <is>
          <t>E</t>
        </is>
      </c>
      <c r="O126" s="20" t="inlineStr">
        <is>
          <t>No linkage found in awarded contract file</t>
        </is>
      </c>
      <c r="P126" s="19" t="inlineStr"/>
      <c r="Q126" s="19" t="inlineStr"/>
      <c r="R126" s="31" t="inlineStr"/>
      <c r="S126" s="19" t="inlineStr"/>
      <c r="T126" s="19" t="inlineStr">
        <is>
          <t>No</t>
        </is>
      </c>
      <c r="U126" s="19" t="inlineStr">
        <is>
          <t>No</t>
        </is>
      </c>
      <c r="V126" s="19" t="inlineStr">
        <is>
          <t>No</t>
        </is>
      </c>
      <c r="W126" s="19" t="inlineStr">
        <is>
          <t>No</t>
        </is>
      </c>
    </row>
    <row r="127">
      <c r="A127" s="19" t="n">
        <v>711617</v>
      </c>
      <c r="B127" s="31" t="n">
        <v>46052</v>
      </c>
      <c r="C127" s="19" t="inlineStr">
        <is>
          <t>DEPARTMENT OF WATER MANAGEMENT</t>
        </is>
      </c>
      <c r="D127" s="19" t="inlineStr">
        <is>
          <t>USALCO</t>
        </is>
      </c>
      <c r="E127" s="20" t="inlineStr">
        <is>
          <t>Liquid Aluminum Sulfate (Iron Free)</t>
        </is>
      </c>
      <c r="F127" s="21" t="n">
        <v>226258.1</v>
      </c>
      <c r="G127" s="19" t="inlineStr">
        <is>
          <t>1. Pending New Contract - Original Contract Expired. New Contract in Process</t>
        </is>
      </c>
      <c r="H127" s="19" t="inlineStr">
        <is>
          <t>A. Specification Development Phase</t>
        </is>
      </c>
      <c r="I127" s="19" t="inlineStr">
        <is>
          <t>APPROVED</t>
        </is>
      </c>
      <c r="J127" s="19" t="inlineStr">
        <is>
          <t>Yes</t>
        </is>
      </c>
      <c r="K127" s="19" t="inlineStr">
        <is>
          <t>No</t>
        </is>
      </c>
      <c r="L127" s="19" t="inlineStr"/>
      <c r="M127" s="19" t="inlineStr">
        <is>
          <t>RX661351</t>
        </is>
      </c>
      <c r="N127" s="19" t="inlineStr">
        <is>
          <t>E</t>
        </is>
      </c>
      <c r="O127" s="20" t="inlineStr">
        <is>
          <t>No linkage found in awarded contract file</t>
        </is>
      </c>
      <c r="P127" s="19" t="inlineStr"/>
      <c r="Q127" s="19" t="inlineStr"/>
      <c r="R127" s="31" t="inlineStr"/>
      <c r="S127" s="19" t="inlineStr"/>
      <c r="T127" s="19" t="inlineStr">
        <is>
          <t>No</t>
        </is>
      </c>
      <c r="U127" s="19" t="inlineStr">
        <is>
          <t>No</t>
        </is>
      </c>
      <c r="V127" s="19" t="inlineStr">
        <is>
          <t>No</t>
        </is>
      </c>
      <c r="W127" s="19" t="inlineStr">
        <is>
          <t>Yes</t>
        </is>
      </c>
    </row>
    <row r="128">
      <c r="A128" s="19" t="n">
        <v>711277</v>
      </c>
      <c r="B128" s="31" t="n">
        <v>46052</v>
      </c>
      <c r="C128" s="19" t="inlineStr">
        <is>
          <t>CHICAGO ANIMAL CARE AND CONTROL</t>
        </is>
      </c>
      <c r="D128" s="19" t="inlineStr">
        <is>
          <t>LEGEND &amp; WHITE ANIMAL HEALTH</t>
        </is>
      </c>
      <c r="E128" s="20" t="inlineStr">
        <is>
          <t>ANIMAL FOOD 2025</t>
        </is>
      </c>
      <c r="F128" s="21" t="n">
        <v>54836.95</v>
      </c>
      <c r="G128" s="19" t="inlineStr">
        <is>
          <t>1. Pending New Contract - Original Contract Expired. New Contract in Process</t>
        </is>
      </c>
      <c r="H128" s="19" t="inlineStr">
        <is>
          <t>C. Solicitation or Bidding Phase</t>
        </is>
      </c>
      <c r="I128" s="19" t="inlineStr">
        <is>
          <t>APPROVED</t>
        </is>
      </c>
      <c r="J128" s="19" t="inlineStr">
        <is>
          <t>Yes</t>
        </is>
      </c>
      <c r="K128" s="19" t="inlineStr">
        <is>
          <t>No</t>
        </is>
      </c>
      <c r="L128" s="19" t="inlineStr"/>
      <c r="M128" s="19" t="inlineStr">
        <is>
          <t>RX643941</t>
        </is>
      </c>
      <c r="N128" s="19" t="inlineStr">
        <is>
          <t>E</t>
        </is>
      </c>
      <c r="O128" s="20" t="inlineStr">
        <is>
          <t>No linkage found in awarded contract file</t>
        </is>
      </c>
      <c r="P128" s="19" t="inlineStr"/>
      <c r="Q128" s="19" t="inlineStr"/>
      <c r="R128" s="31" t="inlineStr"/>
      <c r="S128" s="19" t="inlineStr"/>
      <c r="T128" s="19" t="inlineStr">
        <is>
          <t>No</t>
        </is>
      </c>
      <c r="U128" s="19" t="inlineStr">
        <is>
          <t>No</t>
        </is>
      </c>
      <c r="V128" s="19" t="inlineStr">
        <is>
          <t>No</t>
        </is>
      </c>
      <c r="W128" s="19" t="inlineStr">
        <is>
          <t>Yes</t>
        </is>
      </c>
    </row>
    <row r="129">
      <c r="A129" s="19" t="n">
        <v>745350</v>
      </c>
      <c r="B129" s="31" t="n">
        <v>46246</v>
      </c>
      <c r="C129" s="19" t="inlineStr">
        <is>
          <t>CHICAGO ANIMAL CARE AND CONTROL</t>
        </is>
      </c>
      <c r="D129" s="19" t="inlineStr">
        <is>
          <t>THE SAINT FRANCIS GROUP</t>
        </is>
      </c>
      <c r="E129" s="20" t="inlineStr">
        <is>
          <t>Cremation services for Animal Control.  VLI and Time Extension entered. June 2026 Invoice.</t>
        </is>
      </c>
      <c r="F129" s="21" t="n">
        <v>13146</v>
      </c>
      <c r="G129" s="19" t="inlineStr">
        <is>
          <t>2. Pending Amendment/Modification - Line Item Addition / Vendor Limit Increase / Scope Change</t>
        </is>
      </c>
      <c r="H129" s="19" t="inlineStr">
        <is>
          <t>A. Specification Development Phase</t>
        </is>
      </c>
      <c r="I129" s="19" t="inlineStr">
        <is>
          <t>DENIED</t>
        </is>
      </c>
      <c r="J129" s="19" t="inlineStr">
        <is>
          <t>Yes</t>
        </is>
      </c>
      <c r="K129" s="19" t="inlineStr">
        <is>
          <t>No</t>
        </is>
      </c>
      <c r="L129" s="19" t="n">
        <v>237981</v>
      </c>
      <c r="M129" s="19" t="inlineStr">
        <is>
          <t>RX729894</t>
        </is>
      </c>
      <c r="N129" s="19" t="inlineStr">
        <is>
          <t>E</t>
        </is>
      </c>
      <c r="O129" s="20" t="inlineStr">
        <is>
          <t>No linkage found in awarded contract file</t>
        </is>
      </c>
      <c r="P129" s="19" t="inlineStr"/>
      <c r="Q129" s="19" t="inlineStr"/>
      <c r="R129" s="31" t="inlineStr"/>
      <c r="S129" s="19" t="inlineStr"/>
      <c r="T129" s="19" t="inlineStr">
        <is>
          <t>No</t>
        </is>
      </c>
      <c r="U129" s="19" t="inlineStr">
        <is>
          <t>No</t>
        </is>
      </c>
      <c r="V129" s="19" t="inlineStr">
        <is>
          <t>No</t>
        </is>
      </c>
      <c r="W129" s="19" t="inlineStr">
        <is>
          <t>Yes</t>
        </is>
      </c>
    </row>
    <row r="130">
      <c r="A130" s="19" t="n">
        <v>736480</v>
      </c>
      <c r="B130" s="31" t="n">
        <v>46191</v>
      </c>
      <c r="C130" s="19" t="inlineStr">
        <is>
          <t>CHICAGO ANIMAL CARE AND CONTROL</t>
        </is>
      </c>
      <c r="D130" s="19" t="inlineStr">
        <is>
          <t>Wood Dale Pharmacy</t>
        </is>
      </c>
      <c r="E130" s="20" t="inlineStr">
        <is>
          <t>Veterinary medical pharmaceuticals</t>
        </is>
      </c>
      <c r="F130" s="21" t="n">
        <v>333.9</v>
      </c>
      <c r="G130" s="19" t="inlineStr">
        <is>
          <t>1. Pending New Contract - Original Contract Expired. New Contract in Process</t>
        </is>
      </c>
      <c r="H130" s="19" t="inlineStr">
        <is>
          <t>A. Specification Development Phase</t>
        </is>
      </c>
      <c r="I130" s="19" t="inlineStr">
        <is>
          <t>DENIED</t>
        </is>
      </c>
      <c r="J130" s="19" t="inlineStr">
        <is>
          <t>Yes</t>
        </is>
      </c>
      <c r="K130" s="19" t="inlineStr">
        <is>
          <t>No</t>
        </is>
      </c>
      <c r="L130" s="19" t="inlineStr"/>
      <c r="M130" s="19" t="inlineStr">
        <is>
          <t>RX729906</t>
        </is>
      </c>
      <c r="N130" s="19" t="inlineStr">
        <is>
          <t>E</t>
        </is>
      </c>
      <c r="O130" s="20" t="inlineStr">
        <is>
          <t>No linkage found in awarded contract file</t>
        </is>
      </c>
      <c r="P130" s="19" t="inlineStr"/>
      <c r="Q130" s="19" t="inlineStr"/>
      <c r="R130" s="31" t="inlineStr"/>
      <c r="S130" s="19" t="inlineStr"/>
      <c r="T130" s="19" t="inlineStr">
        <is>
          <t>No</t>
        </is>
      </c>
      <c r="U130" s="19" t="inlineStr">
        <is>
          <t>No</t>
        </is>
      </c>
      <c r="V130" s="19" t="inlineStr">
        <is>
          <t>No</t>
        </is>
      </c>
      <c r="W130" s="19" t="inlineStr">
        <is>
          <t>Yes</t>
        </is>
      </c>
    </row>
    <row r="131">
      <c r="A131" s="19" t="n">
        <v>703179</v>
      </c>
      <c r="B131" s="31" t="n">
        <v>46044</v>
      </c>
      <c r="C131" s="19" t="inlineStr">
        <is>
          <t>DEPARTMENT OF STREETS AND SANITATION</t>
        </is>
      </c>
      <c r="D131" s="19" t="inlineStr">
        <is>
          <t>CASCADE ENGINEERING, INC</t>
        </is>
      </c>
      <c r="E131" s="20" t="inlineStr">
        <is>
          <t>MOBILE REFUSE BLACK CARTS AND RECYCLING BLUE CARTS</t>
        </is>
      </c>
      <c r="F131" s="21" t="n">
        <v>651948.25</v>
      </c>
      <c r="G131" s="19" t="inlineStr">
        <is>
          <t>1. Pending New Contract - Original Contract Expired. New Contract in Process</t>
        </is>
      </c>
      <c r="H131" s="19" t="inlineStr">
        <is>
          <t>B. City Law Review</t>
        </is>
      </c>
      <c r="I131" s="19" t="inlineStr">
        <is>
          <t>APPROVED</t>
        </is>
      </c>
      <c r="J131" s="19" t="inlineStr">
        <is>
          <t>Yes</t>
        </is>
      </c>
      <c r="K131" s="19" t="inlineStr">
        <is>
          <t>No</t>
        </is>
      </c>
      <c r="L131" s="19" t="n">
        <v>0</v>
      </c>
      <c r="M131" s="19" t="inlineStr">
        <is>
          <t>RX634792</t>
        </is>
      </c>
      <c r="N131" s="19" t="inlineStr">
        <is>
          <t>E</t>
        </is>
      </c>
      <c r="O131" s="20" t="inlineStr">
        <is>
          <t>No linkage found in awarded contract file</t>
        </is>
      </c>
      <c r="P131" s="19" t="inlineStr"/>
      <c r="Q131" s="19" t="inlineStr"/>
      <c r="R131" s="31" t="inlineStr"/>
      <c r="S131" s="19" t="inlineStr"/>
      <c r="T131" s="19" t="inlineStr">
        <is>
          <t>No</t>
        </is>
      </c>
      <c r="U131" s="19" t="inlineStr">
        <is>
          <t>No</t>
        </is>
      </c>
      <c r="V131" s="19" t="inlineStr">
        <is>
          <t>No</t>
        </is>
      </c>
      <c r="W131" s="19" t="inlineStr">
        <is>
          <t>Yes</t>
        </is>
      </c>
    </row>
    <row r="132">
      <c r="A132" s="19" t="n">
        <v>724913</v>
      </c>
      <c r="B132" s="31" t="n">
        <v>46133</v>
      </c>
      <c r="C132" s="19" t="inlineStr">
        <is>
          <t>DEPARTMENT OF STREETS AND SANITATION</t>
        </is>
      </c>
      <c r="D132" s="19" t="inlineStr">
        <is>
          <t>BLUETRITON BRANDS INC</t>
        </is>
      </c>
      <c r="E132" s="20" t="inlineStr">
        <is>
          <t>Ice Mountain Brand drinking water</t>
        </is>
      </c>
      <c r="F132" s="21" t="n">
        <v>21.37</v>
      </c>
      <c r="G132" s="19" t="inlineStr">
        <is>
          <t>1. Pending New Contract - Original Contract Expired. New Contract in Process</t>
        </is>
      </c>
      <c r="H132" s="19" t="inlineStr">
        <is>
          <t>B. City Law Review</t>
        </is>
      </c>
      <c r="I132" s="19" t="inlineStr">
        <is>
          <t>APPROVED</t>
        </is>
      </c>
      <c r="J132" s="19" t="inlineStr">
        <is>
          <t>Yes</t>
        </is>
      </c>
      <c r="K132" s="19" t="inlineStr">
        <is>
          <t>No</t>
        </is>
      </c>
      <c r="L132" s="19" t="n">
        <v>0</v>
      </c>
      <c r="M132" s="19" t="inlineStr">
        <is>
          <t>RX676831</t>
        </is>
      </c>
      <c r="N132" s="19" t="inlineStr">
        <is>
          <t>E</t>
        </is>
      </c>
      <c r="O132" s="20" t="inlineStr">
        <is>
          <t>No linkage found in awarded contract file</t>
        </is>
      </c>
      <c r="P132" s="19" t="inlineStr"/>
      <c r="Q132" s="19" t="inlineStr"/>
      <c r="R132" s="31" t="inlineStr"/>
      <c r="S132" s="19" t="inlineStr"/>
      <c r="T132" s="19" t="inlineStr">
        <is>
          <t>No</t>
        </is>
      </c>
      <c r="U132" s="19" t="inlineStr">
        <is>
          <t>No</t>
        </is>
      </c>
      <c r="V132" s="19" t="inlineStr">
        <is>
          <t>No</t>
        </is>
      </c>
      <c r="W132" s="19" t="inlineStr">
        <is>
          <t>Yes</t>
        </is>
      </c>
    </row>
    <row r="133">
      <c r="A133" s="19" t="n">
        <v>717100</v>
      </c>
      <c r="B133" s="31" t="n">
        <v>46099</v>
      </c>
      <c r="C133" s="19" t="inlineStr">
        <is>
          <t>CHICAGO DEPARTMENT OF PUBLIC HEALTH</t>
        </is>
      </c>
      <c r="D133" s="19" t="inlineStr">
        <is>
          <t>Electronic Knowledge Interchange</t>
        </is>
      </c>
      <c r="E133" s="20" t="inlineStr">
        <is>
          <t>TIER 2 SUPPORT - QUANT 16 SERVICES</t>
        </is>
      </c>
      <c r="F133" s="21" t="n">
        <v>102000</v>
      </c>
      <c r="G133" s="19" t="inlineStr">
        <is>
          <t>3. One Time Purchase</t>
        </is>
      </c>
      <c r="H133" s="19" t="inlineStr">
        <is>
          <t>H. One Time Purchase</t>
        </is>
      </c>
      <c r="I133" s="19" t="inlineStr">
        <is>
          <t>APPROVED</t>
        </is>
      </c>
      <c r="J133" s="19" t="inlineStr">
        <is>
          <t>No</t>
        </is>
      </c>
      <c r="K133" s="19" t="inlineStr">
        <is>
          <t>No</t>
        </is>
      </c>
      <c r="L133" s="19" t="inlineStr"/>
      <c r="M133" s="19" t="inlineStr">
        <is>
          <t>VDELECTRONIC KNOWLEDGE INTERCH</t>
        </is>
      </c>
      <c r="N133" s="19" t="inlineStr">
        <is>
          <t>E</t>
        </is>
      </c>
      <c r="O133" s="20" t="inlineStr">
        <is>
          <t>No linkage found in awarded contract file</t>
        </is>
      </c>
      <c r="P133" s="19" t="inlineStr"/>
      <c r="Q133" s="19" t="inlineStr"/>
      <c r="R133" s="31" t="inlineStr"/>
      <c r="S133" s="19" t="inlineStr"/>
      <c r="T133" s="19" t="inlineStr">
        <is>
          <t>No</t>
        </is>
      </c>
      <c r="U133" s="19" t="inlineStr">
        <is>
          <t>No</t>
        </is>
      </c>
      <c r="V133" s="19" t="inlineStr">
        <is>
          <t>No</t>
        </is>
      </c>
      <c r="W133" s="19" t="inlineStr">
        <is>
          <t>No</t>
        </is>
      </c>
    </row>
    <row r="134">
      <c r="A134" s="19" t="n">
        <v>710618</v>
      </c>
      <c r="B134" s="31" t="n">
        <v>46049</v>
      </c>
      <c r="C134" s="19" t="inlineStr">
        <is>
          <t>CHICAGO DEPARTMENT OF PUBLIC HEALTH</t>
        </is>
      </c>
      <c r="D134" s="19" t="inlineStr">
        <is>
          <t>AVOQ LLC</t>
        </is>
      </c>
      <c r="E134" s="20" t="inlineStr">
        <is>
          <t>Mpox/HIV consulting</t>
        </is>
      </c>
      <c r="F134" s="21" t="n">
        <v>115000</v>
      </c>
      <c r="G134" s="19" t="inlineStr">
        <is>
          <t>3. One Time Purchase</t>
        </is>
      </c>
      <c r="H134" s="19" t="inlineStr">
        <is>
          <t>H. One Time Purchase</t>
        </is>
      </c>
      <c r="I134" s="19" t="inlineStr">
        <is>
          <t>APPROVED</t>
        </is>
      </c>
      <c r="J134" s="19" t="inlineStr">
        <is>
          <t>Yes</t>
        </is>
      </c>
      <c r="K134" s="19" t="inlineStr">
        <is>
          <t>Yes</t>
        </is>
      </c>
      <c r="L134" s="19" t="n">
        <v>225759</v>
      </c>
      <c r="M134" s="19" t="inlineStr">
        <is>
          <t>RX362438</t>
        </is>
      </c>
      <c r="N134" s="19" t="inlineStr">
        <is>
          <t>E</t>
        </is>
      </c>
      <c r="O134" s="20" t="inlineStr">
        <is>
          <t>No linkage found in awarded contract file</t>
        </is>
      </c>
      <c r="P134" s="19" t="inlineStr"/>
      <c r="Q134" s="19" t="inlineStr"/>
      <c r="R134" s="31" t="inlineStr"/>
      <c r="S134" s="19" t="inlineStr"/>
      <c r="T134" s="19" t="inlineStr">
        <is>
          <t>No</t>
        </is>
      </c>
      <c r="U134" s="19" t="inlineStr">
        <is>
          <t>No</t>
        </is>
      </c>
      <c r="V134" s="19" t="inlineStr">
        <is>
          <t>No</t>
        </is>
      </c>
      <c r="W134" s="19" t="inlineStr">
        <is>
          <t>No</t>
        </is>
      </c>
    </row>
    <row r="135">
      <c r="A135" s="19" t="n">
        <v>742565</v>
      </c>
      <c r="B135" s="31" t="n">
        <v>46231</v>
      </c>
      <c r="C135" s="19" t="inlineStr">
        <is>
          <t>CHICAGO DEPARTMENT OF TRANSPORTATION</t>
        </is>
      </c>
      <c r="D135" s="19" t="inlineStr">
        <is>
          <t>CHRISTY WEBBER LANDSCAPES</t>
        </is>
      </c>
      <c r="E135" s="20" t="inlineStr">
        <is>
          <t>Landscaping Services Standalone Jackson Park 2026</t>
        </is>
      </c>
      <c r="F135" s="21" t="n">
        <v>136608.73</v>
      </c>
      <c r="G135" s="19" t="inlineStr">
        <is>
          <t>1. Pending New Contract - Original Contract Expired. New Contract in Process</t>
        </is>
      </c>
      <c r="H135" s="19" t="inlineStr">
        <is>
          <t>B. City Law Review</t>
        </is>
      </c>
      <c r="I135" s="19" t="inlineStr">
        <is>
          <t>APPROVED</t>
        </is>
      </c>
      <c r="J135" s="19" t="inlineStr">
        <is>
          <t>Yes</t>
        </is>
      </c>
      <c r="K135" s="19" t="inlineStr">
        <is>
          <t>No</t>
        </is>
      </c>
      <c r="L135" s="19" t="inlineStr">
        <is>
          <t>na</t>
        </is>
      </c>
      <c r="M135" s="19" t="inlineStr">
        <is>
          <t>VDCHRISTY WEBBER LANDSCAPES</t>
        </is>
      </c>
      <c r="N135" s="19" t="inlineStr">
        <is>
          <t>E</t>
        </is>
      </c>
      <c r="O135" s="20" t="inlineStr">
        <is>
          <t>No linkage found in awarded contract file</t>
        </is>
      </c>
      <c r="P135" s="19" t="inlineStr"/>
      <c r="Q135" s="19" t="inlineStr"/>
      <c r="R135" s="31" t="inlineStr"/>
      <c r="S135" s="19" t="inlineStr"/>
      <c r="T135" s="19" t="inlineStr">
        <is>
          <t>No</t>
        </is>
      </c>
      <c r="U135" s="19" t="inlineStr">
        <is>
          <t>No</t>
        </is>
      </c>
      <c r="V135" s="19" t="inlineStr">
        <is>
          <t>No</t>
        </is>
      </c>
      <c r="W135" s="19" t="inlineStr">
        <is>
          <t>Yes</t>
        </is>
      </c>
    </row>
    <row r="136">
      <c r="A136" s="19" t="n">
        <v>737616</v>
      </c>
      <c r="B136" s="31" t="n">
        <v>46197</v>
      </c>
      <c r="C136" s="19" t="inlineStr">
        <is>
          <t>CHICAGO DEPARTMENT OF TRANSPORTATION</t>
        </is>
      </c>
      <c r="D136" s="19" t="inlineStr">
        <is>
          <t>LIZZETTE MEDINA &amp; COMPANY</t>
        </is>
      </c>
      <c r="E136" s="20" t="inlineStr">
        <is>
          <t>LANDSCAPE SERVICES, REGIONS III &amp; V</t>
        </is>
      </c>
      <c r="F136" s="21" t="n">
        <v>2153</v>
      </c>
      <c r="G136" s="19" t="inlineStr">
        <is>
          <t>1. Pending New Contract - Original Contract Expired. New Contract in Process</t>
        </is>
      </c>
      <c r="H136" s="19" t="inlineStr">
        <is>
          <t>B. City Law Review</t>
        </is>
      </c>
      <c r="I136" s="19" t="inlineStr">
        <is>
          <t>APPROVED</t>
        </is>
      </c>
      <c r="J136" s="19" t="inlineStr">
        <is>
          <t>Yes</t>
        </is>
      </c>
      <c r="K136" s="19" t="inlineStr">
        <is>
          <t>No</t>
        </is>
      </c>
      <c r="L136" s="19" t="inlineStr">
        <is>
          <t>na</t>
        </is>
      </c>
      <c r="M136" s="19" t="inlineStr">
        <is>
          <t>RX652655</t>
        </is>
      </c>
      <c r="N136" s="19" t="inlineStr">
        <is>
          <t>E</t>
        </is>
      </c>
      <c r="O136" s="20" t="inlineStr">
        <is>
          <t>No linkage found in awarded contract file</t>
        </is>
      </c>
      <c r="P136" s="19" t="inlineStr"/>
      <c r="Q136" s="19" t="inlineStr"/>
      <c r="R136" s="31" t="inlineStr"/>
      <c r="S136" s="19" t="inlineStr"/>
      <c r="T136" s="19" t="inlineStr">
        <is>
          <t>No</t>
        </is>
      </c>
      <c r="U136" s="19" t="inlineStr">
        <is>
          <t>No</t>
        </is>
      </c>
      <c r="V136" s="19" t="inlineStr">
        <is>
          <t>No</t>
        </is>
      </c>
      <c r="W136" s="19" t="inlineStr">
        <is>
          <t>Yes</t>
        </is>
      </c>
    </row>
    <row r="137">
      <c r="A137" s="19" t="n">
        <v>743121</v>
      </c>
      <c r="B137" s="31" t="n">
        <v>46237</v>
      </c>
      <c r="C137" s="19" t="inlineStr">
        <is>
          <t>CHICAGO DEPARTMENT OF TRANSPORTATION</t>
        </is>
      </c>
      <c r="D137" s="19" t="inlineStr">
        <is>
          <t>Yellowstone Landscape, Inc</t>
        </is>
      </c>
      <c r="E137" s="20" t="inlineStr">
        <is>
          <t>Landscape Services North &amp; South LSD</t>
        </is>
      </c>
      <c r="F137" s="21" t="n">
        <v>76280.53</v>
      </c>
      <c r="G137" s="19" t="inlineStr">
        <is>
          <t>1. Pending New Contract - Original Contract Expired. New Contract in Process</t>
        </is>
      </c>
      <c r="H137" s="19" t="inlineStr">
        <is>
          <t>B. City Law Review</t>
        </is>
      </c>
      <c r="I137" s="19" t="inlineStr">
        <is>
          <t>APPROVED</t>
        </is>
      </c>
      <c r="J137" s="19" t="inlineStr">
        <is>
          <t>Yes</t>
        </is>
      </c>
      <c r="K137" s="19" t="inlineStr">
        <is>
          <t>No</t>
        </is>
      </c>
      <c r="L137" s="19" t="inlineStr">
        <is>
          <t>na</t>
        </is>
      </c>
      <c r="M137" s="19" t="inlineStr">
        <is>
          <t>RX723748</t>
        </is>
      </c>
      <c r="N137" s="19" t="inlineStr">
        <is>
          <t>E</t>
        </is>
      </c>
      <c r="O137" s="20" t="inlineStr">
        <is>
          <t>No linkage found in awarded contract file</t>
        </is>
      </c>
      <c r="P137" s="19" t="inlineStr"/>
      <c r="Q137" s="19" t="inlineStr"/>
      <c r="R137" s="31" t="inlineStr"/>
      <c r="S137" s="19" t="inlineStr"/>
      <c r="T137" s="19" t="inlineStr">
        <is>
          <t>No</t>
        </is>
      </c>
      <c r="U137" s="19" t="inlineStr">
        <is>
          <t>No</t>
        </is>
      </c>
      <c r="V137" s="19" t="inlineStr">
        <is>
          <t>No</t>
        </is>
      </c>
      <c r="W137" s="19" t="inlineStr">
        <is>
          <t>Yes</t>
        </is>
      </c>
    </row>
    <row r="138">
      <c r="A138" s="19" t="n">
        <v>727644</v>
      </c>
      <c r="B138" s="31" t="n">
        <v>46146</v>
      </c>
      <c r="C138" s="19" t="inlineStr">
        <is>
          <t>CHICAGO DEPARTMENT OF TRANSPORTATION</t>
        </is>
      </c>
      <c r="D138" s="19" t="inlineStr">
        <is>
          <t>PALM ELECTRIC COMPANY</t>
        </is>
      </c>
      <c r="E138" s="20" t="inlineStr">
        <is>
          <t>PROVIDE AN ELECTRICIANCUSTOMER, TROUBLESHOOTACCURPRESS AND BACK GAUGE FOROPERATION</t>
        </is>
      </c>
      <c r="F138" s="21" t="n">
        <v>4800</v>
      </c>
      <c r="G138" s="19" t="inlineStr">
        <is>
          <t>1. Pending New Contract - Original Contract Expired. New Contract in Process</t>
        </is>
      </c>
      <c r="H138" s="19" t="inlineStr">
        <is>
          <t>B. City Law Review</t>
        </is>
      </c>
      <c r="I138" s="19" t="inlineStr">
        <is>
          <t>APPROVED</t>
        </is>
      </c>
      <c r="J138" s="19" t="inlineStr">
        <is>
          <t>Yes</t>
        </is>
      </c>
      <c r="K138" s="19" t="inlineStr">
        <is>
          <t>No</t>
        </is>
      </c>
      <c r="L138" s="19" t="inlineStr">
        <is>
          <t>na</t>
        </is>
      </c>
      <c r="M138" s="19" t="inlineStr">
        <is>
          <t>RX650171</t>
        </is>
      </c>
      <c r="N138" s="19" t="inlineStr">
        <is>
          <t>E</t>
        </is>
      </c>
      <c r="O138" s="20" t="inlineStr">
        <is>
          <t>No linkage found in awarded contract file</t>
        </is>
      </c>
      <c r="P138" s="19" t="inlineStr"/>
      <c r="Q138" s="19" t="inlineStr"/>
      <c r="R138" s="31" t="inlineStr"/>
      <c r="S138" s="19" t="inlineStr"/>
      <c r="T138" s="19" t="inlineStr">
        <is>
          <t>No</t>
        </is>
      </c>
      <c r="U138" s="19" t="inlineStr">
        <is>
          <t>No</t>
        </is>
      </c>
      <c r="V138" s="19" t="inlineStr">
        <is>
          <t>No</t>
        </is>
      </c>
      <c r="W138" s="19" t="inlineStr">
        <is>
          <t>Yes</t>
        </is>
      </c>
    </row>
    <row r="139">
      <c r="A139" s="19" t="n">
        <v>714566</v>
      </c>
      <c r="B139" s="31" t="n">
        <v>46072</v>
      </c>
      <c r="C139" s="19" t="inlineStr">
        <is>
          <t>OFFICE OF CITY CLERK</t>
        </is>
      </c>
      <c r="D139" s="19" t="inlineStr">
        <is>
          <t>VERITIV OPERATING COMPANY</t>
        </is>
      </c>
      <c r="E139" s="20" t="inlineStr">
        <is>
          <t>Parchment Paper for Resolutions</t>
        </is>
      </c>
      <c r="F139" s="21" t="n">
        <v>335.35</v>
      </c>
      <c r="G139" s="19" t="inlineStr"/>
      <c r="H139" s="19" t="inlineStr"/>
      <c r="I139" s="19" t="inlineStr">
        <is>
          <t>DENIED</t>
        </is>
      </c>
      <c r="J139" s="19" t="inlineStr"/>
      <c r="K139" s="19" t="inlineStr">
        <is>
          <t>No</t>
        </is>
      </c>
      <c r="L139" s="19" t="inlineStr"/>
      <c r="M139" s="19" t="inlineStr">
        <is>
          <t>VDVERITIV OPERATING</t>
        </is>
      </c>
      <c r="N139" s="19" t="inlineStr">
        <is>
          <t>E</t>
        </is>
      </c>
      <c r="O139" s="20" t="inlineStr">
        <is>
          <t>No linkage found in awarded contract file</t>
        </is>
      </c>
      <c r="P139" s="19" t="inlineStr"/>
      <c r="Q139" s="19" t="inlineStr"/>
      <c r="R139" s="31" t="inlineStr"/>
      <c r="S139" s="19" t="inlineStr"/>
      <c r="T139" s="19" t="inlineStr">
        <is>
          <t>No</t>
        </is>
      </c>
      <c r="U139" s="19" t="inlineStr">
        <is>
          <t>No</t>
        </is>
      </c>
      <c r="V139" s="19" t="inlineStr">
        <is>
          <t>No</t>
        </is>
      </c>
      <c r="W139" s="19" t="inlineStr">
        <is>
          <t>No</t>
        </is>
      </c>
    </row>
    <row r="140">
      <c r="A140" s="19" t="n">
        <v>739971</v>
      </c>
      <c r="B140" s="31" t="n">
        <v>46216</v>
      </c>
      <c r="C140" s="19" t="inlineStr">
        <is>
          <t>CHICAGO DEPARTMENT OF AVIATION</t>
        </is>
      </c>
      <c r="D140" s="19" t="inlineStr">
        <is>
          <t>DTN, LLC</t>
        </is>
      </c>
      <c r="E140" s="20" t="inlineStr">
        <is>
          <t>3 Invoices forACCT#1750627 Weather Augment Forecasting Services: 210-00278025 Period: 3/1/2026-3/31/2026; 210-00267261 Period: 2/1/2026-2/28/2026, 210-00290418 Period: 4/1/2026-4/30/2026</t>
        </is>
      </c>
      <c r="F140" s="21" t="n">
        <v>9315</v>
      </c>
      <c r="G140" s="19" t="inlineStr">
        <is>
          <t>4. Invoice Reconciliation - Invoice Received after Contract Expiration</t>
        </is>
      </c>
      <c r="H140" s="19" t="inlineStr">
        <is>
          <t>F. SC - (Signature Cycle)</t>
        </is>
      </c>
      <c r="I140" s="19" t="inlineStr">
        <is>
          <t>APPROVED</t>
        </is>
      </c>
      <c r="J140" s="19" t="inlineStr">
        <is>
          <t>Yes</t>
        </is>
      </c>
      <c r="K140" s="19" t="inlineStr">
        <is>
          <t>No</t>
        </is>
      </c>
      <c r="L140" s="19" t="inlineStr"/>
      <c r="M140" s="19" t="inlineStr">
        <is>
          <t>RX607558</t>
        </is>
      </c>
      <c r="N140" s="19" t="inlineStr">
        <is>
          <t>A</t>
        </is>
      </c>
      <c r="O140" s="20" t="inlineStr">
        <is>
          <t>Requisition ID link: Exhibit B new-contract RX = awarded REQ</t>
        </is>
      </c>
      <c r="P140" s="19" t="inlineStr">
        <is>
          <t>381309</t>
        </is>
      </c>
      <c r="Q140" s="19" t="inlineStr">
        <is>
          <t>MURRAY &amp; TRETTEL INC</t>
        </is>
      </c>
      <c r="R140" s="31" t="n">
        <v>46229</v>
      </c>
      <c r="S140" s="19" t="inlineStr">
        <is>
          <t>BID</t>
        </is>
      </c>
      <c r="T140" s="19" t="inlineStr">
        <is>
          <t>Yes</t>
        </is>
      </c>
      <c r="U140" s="19" t="inlineStr">
        <is>
          <t>Yes</t>
        </is>
      </c>
      <c r="V140" s="19" t="inlineStr">
        <is>
          <t>No</t>
        </is>
      </c>
      <c r="W140" s="19" t="inlineStr">
        <is>
          <t>No</t>
        </is>
      </c>
    </row>
    <row r="141">
      <c r="A141" s="19" t="n">
        <v>719167</v>
      </c>
      <c r="B141" s="31" t="n">
        <v>46097</v>
      </c>
      <c r="C141" s="19" t="inlineStr">
        <is>
          <t>CHICAGO DEPARTMENT OF AVIATION</t>
        </is>
      </c>
      <c r="D141" s="19" t="inlineStr">
        <is>
          <t>P.W.S. ENVIRONMENTAL, INC.</t>
        </is>
      </c>
      <c r="E141" s="20" t="inlineStr">
        <is>
          <t>2026 Midway Snow Equipment &amp; Snow Vehicles washing (Services to pay invoice numbers: INV110941, INV111047 &amp; INV111054</t>
        </is>
      </c>
      <c r="F141" s="21" t="n">
        <v>8994</v>
      </c>
      <c r="G141" s="19" t="inlineStr">
        <is>
          <t>1. Pending New Contract - Original Contract Expired. New Contract in Process</t>
        </is>
      </c>
      <c r="H141" s="19" t="inlineStr">
        <is>
          <t>A. Specification Development Phase</t>
        </is>
      </c>
      <c r="I141" s="19" t="inlineStr">
        <is>
          <t>APPROVED</t>
        </is>
      </c>
      <c r="J141" s="19" t="inlineStr">
        <is>
          <t>No</t>
        </is>
      </c>
      <c r="K141" s="19" t="inlineStr">
        <is>
          <t>No</t>
        </is>
      </c>
      <c r="L141" s="19" t="inlineStr"/>
      <c r="M141" s="19" t="inlineStr">
        <is>
          <t>RX693906</t>
        </is>
      </c>
      <c r="N141" s="19" t="inlineStr">
        <is>
          <t>E</t>
        </is>
      </c>
      <c r="O141" s="20" t="inlineStr">
        <is>
          <t>No linkage found in awarded contract file</t>
        </is>
      </c>
      <c r="P141" s="19" t="inlineStr"/>
      <c r="Q141" s="19" t="inlineStr"/>
      <c r="R141" s="31" t="inlineStr"/>
      <c r="S141" s="19" t="inlineStr"/>
      <c r="T141" s="19" t="inlineStr">
        <is>
          <t>No</t>
        </is>
      </c>
      <c r="U141" s="19" t="inlineStr">
        <is>
          <t>No</t>
        </is>
      </c>
      <c r="V141" s="19" t="inlineStr">
        <is>
          <t>No</t>
        </is>
      </c>
      <c r="W141" s="19" t="inlineStr">
        <is>
          <t>No</t>
        </is>
      </c>
    </row>
    <row r="142">
      <c r="A142" s="19" t="n">
        <v>732303</v>
      </c>
      <c r="B142" s="31" t="n">
        <v>46168</v>
      </c>
      <c r="C142" s="19" t="inlineStr">
        <is>
          <t>OFFICE OF CITY CLERK</t>
        </is>
      </c>
      <c r="D142" s="19" t="inlineStr">
        <is>
          <t>TAYLOR COMMUNICATIONS INC</t>
        </is>
      </c>
      <c r="E142" s="20" t="inlineStr">
        <is>
          <t>Passenger City Stickers</t>
        </is>
      </c>
      <c r="F142" s="21" t="n">
        <v>56854</v>
      </c>
      <c r="G142" s="19" t="inlineStr">
        <is>
          <t>1. Pending New Contract - Original Contract Expired. New Contract in Process</t>
        </is>
      </c>
      <c r="H142" s="19" t="inlineStr">
        <is>
          <t>A. Specification Development Phase</t>
        </is>
      </c>
      <c r="I142" s="19" t="inlineStr">
        <is>
          <t>APPROVED</t>
        </is>
      </c>
      <c r="J142" s="19" t="inlineStr">
        <is>
          <t>Yes</t>
        </is>
      </c>
      <c r="K142" s="19" t="inlineStr">
        <is>
          <t>No</t>
        </is>
      </c>
      <c r="L142" s="19" t="inlineStr"/>
      <c r="M142" s="19" t="inlineStr">
        <is>
          <t>RX712876</t>
        </is>
      </c>
      <c r="N142" s="19" t="inlineStr">
        <is>
          <t>E</t>
        </is>
      </c>
      <c r="O142" s="20" t="inlineStr">
        <is>
          <t>No linkage found in awarded contract file</t>
        </is>
      </c>
      <c r="P142" s="19" t="inlineStr"/>
      <c r="Q142" s="19" t="inlineStr"/>
      <c r="R142" s="31" t="inlineStr"/>
      <c r="S142" s="19" t="inlineStr"/>
      <c r="T142" s="19" t="inlineStr">
        <is>
          <t>No</t>
        </is>
      </c>
      <c r="U142" s="19" t="inlineStr">
        <is>
          <t>No</t>
        </is>
      </c>
      <c r="V142" s="19" t="inlineStr">
        <is>
          <t>No</t>
        </is>
      </c>
      <c r="W142" s="19" t="inlineStr">
        <is>
          <t>Yes</t>
        </is>
      </c>
    </row>
    <row r="143">
      <c r="A143" s="19" t="n">
        <v>733913</v>
      </c>
      <c r="B143" s="31" t="n">
        <v>46177</v>
      </c>
      <c r="C143" s="19" t="inlineStr">
        <is>
          <t>OFFICE OF CITY CLERK</t>
        </is>
      </c>
      <c r="D143" s="19" t="inlineStr">
        <is>
          <t>Facilitron, Inc.</t>
        </is>
      </c>
      <c r="E143" s="20" t="inlineStr">
        <is>
          <t>Facilitron payment for CityKey/MCH event.</t>
        </is>
      </c>
      <c r="F143" s="21" t="n">
        <v>529.83</v>
      </c>
      <c r="G143" s="19" t="inlineStr">
        <is>
          <t>3. One Time Purchase</t>
        </is>
      </c>
      <c r="H143" s="19" t="inlineStr">
        <is>
          <t>H. One Time Purchase</t>
        </is>
      </c>
      <c r="I143" s="19" t="inlineStr">
        <is>
          <t>APPROVED</t>
        </is>
      </c>
      <c r="J143" s="19" t="inlineStr">
        <is>
          <t>No</t>
        </is>
      </c>
      <c r="K143" s="19" t="inlineStr">
        <is>
          <t>No</t>
        </is>
      </c>
      <c r="L143" s="19" t="inlineStr"/>
      <c r="M143" s="19" t="inlineStr">
        <is>
          <t>VDFACILITRON</t>
        </is>
      </c>
      <c r="N143" s="19" t="inlineStr">
        <is>
          <t>E</t>
        </is>
      </c>
      <c r="O143" s="20" t="inlineStr">
        <is>
          <t>No linkage found in awarded contract file</t>
        </is>
      </c>
      <c r="P143" s="19" t="inlineStr"/>
      <c r="Q143" s="19" t="inlineStr"/>
      <c r="R143" s="31" t="inlineStr"/>
      <c r="S143" s="19" t="inlineStr"/>
      <c r="T143" s="19" t="inlineStr">
        <is>
          <t>No</t>
        </is>
      </c>
      <c r="U143" s="19" t="inlineStr">
        <is>
          <t>No</t>
        </is>
      </c>
      <c r="V143" s="19" t="inlineStr">
        <is>
          <t>No</t>
        </is>
      </c>
      <c r="W143" s="19" t="inlineStr">
        <is>
          <t>No</t>
        </is>
      </c>
    </row>
    <row r="144">
      <c r="A144" s="19" t="n">
        <v>712885</v>
      </c>
      <c r="B144" s="31" t="n">
        <v>46084</v>
      </c>
      <c r="C144" s="19" t="inlineStr">
        <is>
          <t>OFFICE OF CITY CLERK</t>
        </is>
      </c>
      <c r="D144" s="19" t="inlineStr">
        <is>
          <t>SEBIS DIRECT</t>
        </is>
      </c>
      <c r="E144" s="20" t="inlineStr">
        <is>
          <t>Vehicle Stickers - 12/25</t>
        </is>
      </c>
      <c r="F144" s="21" t="n">
        <v>0</v>
      </c>
      <c r="G144" s="19" t="inlineStr">
        <is>
          <t>1. Pending New Contract - Original Contract Expired. New Contract in Process</t>
        </is>
      </c>
      <c r="H144" s="19" t="inlineStr">
        <is>
          <t>B. City Law Review</t>
        </is>
      </c>
      <c r="I144" s="19" t="inlineStr"/>
      <c r="J144" s="19" t="inlineStr">
        <is>
          <t>No</t>
        </is>
      </c>
      <c r="K144" s="19" t="inlineStr">
        <is>
          <t>No</t>
        </is>
      </c>
      <c r="L144" s="19" t="inlineStr">
        <is>
          <t>na</t>
        </is>
      </c>
      <c r="M144" s="19" t="inlineStr">
        <is>
          <t>VDSEBIS DIRECT</t>
        </is>
      </c>
      <c r="N144" s="19" t="inlineStr">
        <is>
          <t>E</t>
        </is>
      </c>
      <c r="O144" s="20" t="inlineStr">
        <is>
          <t>No linkage found in awarded contract file</t>
        </is>
      </c>
      <c r="P144" s="19" t="inlineStr"/>
      <c r="Q144" s="19" t="inlineStr"/>
      <c r="R144" s="31" t="inlineStr"/>
      <c r="S144" s="19" t="inlineStr"/>
      <c r="T144" s="19" t="inlineStr">
        <is>
          <t>No</t>
        </is>
      </c>
      <c r="U144" s="19" t="inlineStr">
        <is>
          <t>No</t>
        </is>
      </c>
      <c r="V144" s="19" t="inlineStr">
        <is>
          <t>No</t>
        </is>
      </c>
      <c r="W144" s="19" t="inlineStr">
        <is>
          <t>No</t>
        </is>
      </c>
    </row>
    <row r="145">
      <c r="A145" s="19" t="n">
        <v>711559</v>
      </c>
      <c r="B145" s="31" t="n">
        <v>46052</v>
      </c>
      <c r="C145" s="19" t="inlineStr">
        <is>
          <t>DEPARTMENT OF FLEET AND FACILITY MANAGEMENT</t>
        </is>
      </c>
      <c r="D145" s="19" t="inlineStr">
        <is>
          <t>WAREHOUSE DIRECT, INC.</t>
        </is>
      </c>
      <c r="E145" s="20" t="inlineStr">
        <is>
          <t>TB/GR/INV #6059302-0 / $4200.00</t>
        </is>
      </c>
      <c r="F145" s="21" t="n">
        <v>4200</v>
      </c>
      <c r="G145" s="19" t="inlineStr">
        <is>
          <t>1. Pending New Contract - Original Contract Expired. New Contract in Process</t>
        </is>
      </c>
      <c r="H145" s="19" t="inlineStr">
        <is>
          <t>A. Specification Development Phase</t>
        </is>
      </c>
      <c r="I145" s="19" t="inlineStr">
        <is>
          <t>APPROVED</t>
        </is>
      </c>
      <c r="J145" s="19" t="inlineStr">
        <is>
          <t>Yes</t>
        </is>
      </c>
      <c r="K145" s="19" t="inlineStr">
        <is>
          <t>No</t>
        </is>
      </c>
      <c r="L145" s="19" t="inlineStr"/>
      <c r="M145" s="19" t="inlineStr">
        <is>
          <t>RX677490</t>
        </is>
      </c>
      <c r="N145" s="19" t="inlineStr">
        <is>
          <t>E</t>
        </is>
      </c>
      <c r="O145" s="20" t="inlineStr">
        <is>
          <t>No linkage found in awarded contract file</t>
        </is>
      </c>
      <c r="P145" s="19" t="inlineStr"/>
      <c r="Q145" s="19" t="inlineStr"/>
      <c r="R145" s="31" t="inlineStr"/>
      <c r="S145" s="19" t="inlineStr"/>
      <c r="T145" s="19" t="inlineStr">
        <is>
          <t>No</t>
        </is>
      </c>
      <c r="U145" s="19" t="inlineStr">
        <is>
          <t>No</t>
        </is>
      </c>
      <c r="V145" s="19" t="inlineStr">
        <is>
          <t>No</t>
        </is>
      </c>
      <c r="W145" s="19" t="inlineStr">
        <is>
          <t>Yes</t>
        </is>
      </c>
    </row>
    <row r="146">
      <c r="A146" s="19" t="n">
        <v>746117</v>
      </c>
      <c r="B146" s="31" t="n">
        <v>46251</v>
      </c>
      <c r="C146" s="19" t="inlineStr">
        <is>
          <t>DEPARTMENT OF FLEET AND FACILITY MANAGEMENT</t>
        </is>
      </c>
      <c r="D146" s="19" t="inlineStr">
        <is>
          <t>HASTINGS AIR ENERGY CONTROL</t>
        </is>
      </c>
      <c r="E146" s="20" t="inlineStr">
        <is>
          <t>TB/JG/INVOICE #O38604D106/$34,878.45</t>
        </is>
      </c>
      <c r="F146" s="21" t="n">
        <v>34878.45</v>
      </c>
      <c r="G146" s="19" t="inlineStr">
        <is>
          <t>2. Pending Amendment/Modification - Line Item Addition / Vendor Limit Increase / Scope Change</t>
        </is>
      </c>
      <c r="H146" s="19" t="inlineStr">
        <is>
          <t>A. Specification Development Phase</t>
        </is>
      </c>
      <c r="I146" s="19" t="inlineStr">
        <is>
          <t>APPROVED</t>
        </is>
      </c>
      <c r="J146" s="19" t="inlineStr">
        <is>
          <t>No</t>
        </is>
      </c>
      <c r="K146" s="19" t="inlineStr">
        <is>
          <t>Yes</t>
        </is>
      </c>
      <c r="L146" s="19" t="n">
        <v>112351</v>
      </c>
      <c r="M146" s="19" t="inlineStr">
        <is>
          <t>RX724184</t>
        </is>
      </c>
      <c r="N146" s="19" t="inlineStr">
        <is>
          <t>E</t>
        </is>
      </c>
      <c r="O146" s="20" t="inlineStr">
        <is>
          <t>No linkage found in awarded contract file</t>
        </is>
      </c>
      <c r="P146" s="19" t="inlineStr"/>
      <c r="Q146" s="19" t="inlineStr"/>
      <c r="R146" s="31" t="inlineStr"/>
      <c r="S146" s="19" t="inlineStr"/>
      <c r="T146" s="19" t="inlineStr">
        <is>
          <t>No</t>
        </is>
      </c>
      <c r="U146" s="19" t="inlineStr">
        <is>
          <t>No</t>
        </is>
      </c>
      <c r="V146" s="19" t="inlineStr">
        <is>
          <t>No</t>
        </is>
      </c>
      <c r="W146" s="19" t="inlineStr">
        <is>
          <t>No</t>
        </is>
      </c>
    </row>
    <row r="147">
      <c r="A147" s="19" t="n">
        <v>745445</v>
      </c>
      <c r="B147" s="31" t="n">
        <v>46251</v>
      </c>
      <c r="C147" s="19" t="inlineStr">
        <is>
          <t>DEPARTMENT OF FLEET AND FACILITY MANAGEMENT</t>
        </is>
      </c>
      <c r="D147" s="19" t="inlineStr">
        <is>
          <t>DAYSPRING PROFESSIONAL JANITOR</t>
        </is>
      </c>
      <c r="E147" s="20" t="inlineStr">
        <is>
          <t>TB/VJ/4 INVOICES/$130356.09</t>
        </is>
      </c>
      <c r="F147" s="21" t="n">
        <v>130356.09</v>
      </c>
      <c r="G147" s="19" t="inlineStr">
        <is>
          <t>1. Pending New Contract - Original Contract Expired. New Contract in Process</t>
        </is>
      </c>
      <c r="H147" s="19" t="inlineStr">
        <is>
          <t>A. Specification Development Phase</t>
        </is>
      </c>
      <c r="I147" s="19" t="inlineStr">
        <is>
          <t>APPROVED</t>
        </is>
      </c>
      <c r="J147" s="19" t="inlineStr">
        <is>
          <t>Yes</t>
        </is>
      </c>
      <c r="K147" s="19" t="inlineStr">
        <is>
          <t>No</t>
        </is>
      </c>
      <c r="L147" s="19" t="inlineStr"/>
      <c r="M147" s="19" t="inlineStr">
        <is>
          <t>RX624331</t>
        </is>
      </c>
      <c r="N147" s="19" t="inlineStr">
        <is>
          <t>E</t>
        </is>
      </c>
      <c r="O147" s="20" t="inlineStr">
        <is>
          <t>No linkage found in awarded contract file</t>
        </is>
      </c>
      <c r="P147" s="19" t="inlineStr"/>
      <c r="Q147" s="19" t="inlineStr"/>
      <c r="R147" s="31" t="inlineStr"/>
      <c r="S147" s="19" t="inlineStr"/>
      <c r="T147" s="19" t="inlineStr">
        <is>
          <t>No</t>
        </is>
      </c>
      <c r="U147" s="19" t="inlineStr">
        <is>
          <t>No</t>
        </is>
      </c>
      <c r="V147" s="19" t="inlineStr">
        <is>
          <t>No</t>
        </is>
      </c>
      <c r="W147" s="19" t="inlineStr">
        <is>
          <t>Yes</t>
        </is>
      </c>
    </row>
    <row r="148">
      <c r="A148" s="19" t="n">
        <v>715888</v>
      </c>
      <c r="B148" s="31" t="n">
        <v>46078</v>
      </c>
      <c r="C148" s="19" t="inlineStr">
        <is>
          <t>DEPARTMENT OF FLEET AND FACILITY MANAGEMENT</t>
        </is>
      </c>
      <c r="D148" s="19" t="inlineStr">
        <is>
          <t>SPEEDY GONZALEZ LANDSCAPING INC</t>
        </is>
      </c>
      <c r="E148" s="20" t="inlineStr">
        <is>
          <t>TB/AH/10 INVOICES/$348,811.34</t>
        </is>
      </c>
      <c r="F148" s="21" t="n">
        <v>348811.34</v>
      </c>
      <c r="G148" s="19" t="inlineStr">
        <is>
          <t>2. Pending Amendment/Modification - Line Item Addition / Vendor Limit Increase / Scope Change</t>
        </is>
      </c>
      <c r="H148" s="19" t="inlineStr">
        <is>
          <t>C. Solicitation or Bidding Phase</t>
        </is>
      </c>
      <c r="I148" s="19" t="inlineStr">
        <is>
          <t>APPROVED</t>
        </is>
      </c>
      <c r="J148" s="19" t="inlineStr">
        <is>
          <t>Yes</t>
        </is>
      </c>
      <c r="K148" s="19" t="inlineStr">
        <is>
          <t>No</t>
        </is>
      </c>
      <c r="L148" s="19" t="inlineStr"/>
      <c r="M148" s="19" t="inlineStr">
        <is>
          <t>RX690281</t>
        </is>
      </c>
      <c r="N148" s="19" t="inlineStr">
        <is>
          <t>E</t>
        </is>
      </c>
      <c r="O148" s="20" t="inlineStr">
        <is>
          <t>No linkage found in awarded contract file</t>
        </is>
      </c>
      <c r="P148" s="19" t="inlineStr"/>
      <c r="Q148" s="19" t="inlineStr"/>
      <c r="R148" s="31" t="inlineStr"/>
      <c r="S148" s="19" t="inlineStr"/>
      <c r="T148" s="19" t="inlineStr">
        <is>
          <t>No</t>
        </is>
      </c>
      <c r="U148" s="19" t="inlineStr">
        <is>
          <t>No</t>
        </is>
      </c>
      <c r="V148" s="19" t="inlineStr">
        <is>
          <t>No</t>
        </is>
      </c>
      <c r="W148" s="19" t="inlineStr">
        <is>
          <t>Yes</t>
        </is>
      </c>
    </row>
    <row r="149">
      <c r="A149" s="19" t="n">
        <v>711695</v>
      </c>
      <c r="B149" s="31" t="n">
        <v>46052</v>
      </c>
      <c r="C149" s="19" t="inlineStr">
        <is>
          <t>DEPARTMENT OF FLEET AND FACILITY MANAGEMENT</t>
        </is>
      </c>
      <c r="D149" s="19" t="inlineStr">
        <is>
          <t>JOHNSON CONTROLS FIRE PROTECTION LP</t>
        </is>
      </c>
      <c r="E149" s="20" t="inlineStr">
        <is>
          <t>TB/JG/INV# COCNL112025 / $1745.06</t>
        </is>
      </c>
      <c r="F149" s="21" t="n">
        <v>1745.06</v>
      </c>
      <c r="G149" s="19" t="inlineStr">
        <is>
          <t>1. Pending New Contract - Original Contract Expired. New Contract in Process</t>
        </is>
      </c>
      <c r="H149" s="19" t="inlineStr">
        <is>
          <t>B. City Law Review</t>
        </is>
      </c>
      <c r="I149" s="19" t="inlineStr">
        <is>
          <t>APPROVED</t>
        </is>
      </c>
      <c r="J149" s="19" t="inlineStr">
        <is>
          <t>No</t>
        </is>
      </c>
      <c r="K149" s="19" t="inlineStr">
        <is>
          <t>No</t>
        </is>
      </c>
      <c r="L149" s="19" t="inlineStr">
        <is>
          <t>NO</t>
        </is>
      </c>
      <c r="M149" s="19" t="inlineStr">
        <is>
          <t>RX612805</t>
        </is>
      </c>
      <c r="N149" s="19" t="inlineStr">
        <is>
          <t>E</t>
        </is>
      </c>
      <c r="O149" s="20" t="inlineStr">
        <is>
          <t>No linkage found in awarded contract file</t>
        </is>
      </c>
      <c r="P149" s="19" t="inlineStr"/>
      <c r="Q149" s="19" t="inlineStr"/>
      <c r="R149" s="31" t="inlineStr"/>
      <c r="S149" s="19" t="inlineStr"/>
      <c r="T149" s="19" t="inlineStr">
        <is>
          <t>No</t>
        </is>
      </c>
      <c r="U149" s="19" t="inlineStr">
        <is>
          <t>No</t>
        </is>
      </c>
      <c r="V149" s="19" t="inlineStr">
        <is>
          <t>No</t>
        </is>
      </c>
      <c r="W149" s="19" t="inlineStr">
        <is>
          <t>No</t>
        </is>
      </c>
    </row>
    <row r="150">
      <c r="A150" s="19" t="n">
        <v>734356</v>
      </c>
      <c r="B150" s="31" t="n">
        <v>46181</v>
      </c>
      <c r="C150" s="19" t="inlineStr">
        <is>
          <t>DEPARTMENT OF FLEET AND FACILITY MANAGEMENT</t>
        </is>
      </c>
      <c r="D150" s="19" t="inlineStr">
        <is>
          <t>ABM INDUSTRY GROUPS, LLC</t>
        </is>
      </c>
      <c r="E150" s="20" t="inlineStr">
        <is>
          <t>TB/VJ/3 INVOICES/$1,060,891.32</t>
        </is>
      </c>
      <c r="F150" s="21" t="n">
        <v>1060891.32</v>
      </c>
      <c r="G150" s="19" t="inlineStr">
        <is>
          <t>1. Pending New Contract - Original Contract Expired. New Contract in Process</t>
        </is>
      </c>
      <c r="H150" s="19" t="inlineStr">
        <is>
          <t>A. Specification Development Phase</t>
        </is>
      </c>
      <c r="I150" s="19" t="inlineStr">
        <is>
          <t>APPROVED</t>
        </is>
      </c>
      <c r="J150" s="19" t="inlineStr">
        <is>
          <t>Yes</t>
        </is>
      </c>
      <c r="K150" s="19" t="inlineStr">
        <is>
          <t>No</t>
        </is>
      </c>
      <c r="L150" s="19" t="inlineStr"/>
      <c r="M150" s="19" t="inlineStr">
        <is>
          <t>RX624331</t>
        </is>
      </c>
      <c r="N150" s="19" t="inlineStr">
        <is>
          <t>E</t>
        </is>
      </c>
      <c r="O150" s="20" t="inlineStr">
        <is>
          <t>No linkage found in awarded contract file</t>
        </is>
      </c>
      <c r="P150" s="19" t="inlineStr"/>
      <c r="Q150" s="19" t="inlineStr"/>
      <c r="R150" s="31" t="inlineStr"/>
      <c r="S150" s="19" t="inlineStr"/>
      <c r="T150" s="19" t="inlineStr">
        <is>
          <t>No</t>
        </is>
      </c>
      <c r="U150" s="19" t="inlineStr">
        <is>
          <t>No</t>
        </is>
      </c>
      <c r="V150" s="19" t="inlineStr">
        <is>
          <t>No</t>
        </is>
      </c>
      <c r="W150" s="19" t="inlineStr">
        <is>
          <t>Yes</t>
        </is>
      </c>
    </row>
    <row r="151">
      <c r="A151" s="19" t="n">
        <v>742404</v>
      </c>
      <c r="B151" s="31" t="n">
        <v>46226</v>
      </c>
      <c r="C151" s="19" t="inlineStr">
        <is>
          <t>DEPARTMENT OF FLEET AND FACILITY MANAGEMENT</t>
        </is>
      </c>
      <c r="D151" s="19" t="inlineStr">
        <is>
          <t>ABM INDUSTRY GROUPS, LLC</t>
        </is>
      </c>
      <c r="E151" s="20" t="inlineStr">
        <is>
          <t>TB/VJ/5 INVOICES/$252,003.89</t>
        </is>
      </c>
      <c r="F151" s="21" t="n">
        <v>252003.89</v>
      </c>
      <c r="G151" s="19" t="inlineStr">
        <is>
          <t>1. Pending New Contract - Original Contract Expired. New Contract in Process</t>
        </is>
      </c>
      <c r="H151" s="19" t="inlineStr">
        <is>
          <t>A. Specification Development Phase</t>
        </is>
      </c>
      <c r="I151" s="19" t="inlineStr">
        <is>
          <t>APPROVED</t>
        </is>
      </c>
      <c r="J151" s="19" t="inlineStr">
        <is>
          <t>Yes</t>
        </is>
      </c>
      <c r="K151" s="19" t="inlineStr">
        <is>
          <t>No</t>
        </is>
      </c>
      <c r="L151" s="19" t="inlineStr"/>
      <c r="M151" s="19" t="inlineStr">
        <is>
          <t>RX624331</t>
        </is>
      </c>
      <c r="N151" s="19" t="inlineStr">
        <is>
          <t>E</t>
        </is>
      </c>
      <c r="O151" s="20" t="inlineStr">
        <is>
          <t>No linkage found in awarded contract file</t>
        </is>
      </c>
      <c r="P151" s="19" t="inlineStr"/>
      <c r="Q151" s="19" t="inlineStr"/>
      <c r="R151" s="31" t="inlineStr"/>
      <c r="S151" s="19" t="inlineStr"/>
      <c r="T151" s="19" t="inlineStr">
        <is>
          <t>No</t>
        </is>
      </c>
      <c r="U151" s="19" t="inlineStr">
        <is>
          <t>No</t>
        </is>
      </c>
      <c r="V151" s="19" t="inlineStr">
        <is>
          <t>No</t>
        </is>
      </c>
      <c r="W151" s="19" t="inlineStr">
        <is>
          <t>Yes</t>
        </is>
      </c>
    </row>
    <row r="152">
      <c r="A152" s="19" t="n">
        <v>728153</v>
      </c>
      <c r="B152" s="31" t="n">
        <v>46142</v>
      </c>
      <c r="C152" s="19" t="inlineStr">
        <is>
          <t>DEPARTMENT OF FLEET AND FACILITY MANAGEMENT</t>
        </is>
      </c>
      <c r="D152" s="19" t="inlineStr">
        <is>
          <t>ARLINGTON GLASS &amp; MIRROR</t>
        </is>
      </c>
      <c r="E152" s="20" t="inlineStr">
        <is>
          <t>TB/AO/INVOICE #75170/$2025.00</t>
        </is>
      </c>
      <c r="F152" s="21" t="n">
        <v>2025</v>
      </c>
      <c r="G152" s="19" t="inlineStr">
        <is>
          <t>1. Pending New Contract - Original Contract Expired. New Contract in Process</t>
        </is>
      </c>
      <c r="H152" s="19" t="inlineStr">
        <is>
          <t>A. Specification Development Phase</t>
        </is>
      </c>
      <c r="I152" s="19" t="inlineStr">
        <is>
          <t>APPROVED</t>
        </is>
      </c>
      <c r="J152" s="19" t="inlineStr">
        <is>
          <t>Yes</t>
        </is>
      </c>
      <c r="K152" s="19" t="inlineStr">
        <is>
          <t>No</t>
        </is>
      </c>
      <c r="L152" s="19" t="inlineStr"/>
      <c r="M152" s="19" t="inlineStr">
        <is>
          <t>RX647383</t>
        </is>
      </c>
      <c r="N152" s="19" t="inlineStr">
        <is>
          <t>E</t>
        </is>
      </c>
      <c r="O152" s="20" t="inlineStr">
        <is>
          <t>No linkage found in awarded contract file</t>
        </is>
      </c>
      <c r="P152" s="19" t="inlineStr"/>
      <c r="Q152" s="19" t="inlineStr"/>
      <c r="R152" s="31" t="inlineStr"/>
      <c r="S152" s="19" t="inlineStr"/>
      <c r="T152" s="19" t="inlineStr">
        <is>
          <t>No</t>
        </is>
      </c>
      <c r="U152" s="19" t="inlineStr">
        <is>
          <t>No</t>
        </is>
      </c>
      <c r="V152" s="19" t="inlineStr">
        <is>
          <t>No</t>
        </is>
      </c>
      <c r="W152" s="19" t="inlineStr">
        <is>
          <t>Yes</t>
        </is>
      </c>
    </row>
    <row r="153">
      <c r="A153" s="19" t="n">
        <v>742867</v>
      </c>
      <c r="B153" s="31" t="n">
        <v>46231</v>
      </c>
      <c r="C153" s="19" t="inlineStr">
        <is>
          <t>DEPARTMENT OF FLEET AND FACILITY MANAGEMENT</t>
        </is>
      </c>
      <c r="D153" s="19" t="inlineStr">
        <is>
          <t>LIZZETTE MEDINA &amp; COMPANY</t>
        </is>
      </c>
      <c r="E153" s="20" t="inlineStr">
        <is>
          <t>TB/VJ/10 INVOICES/$51,934.74</t>
        </is>
      </c>
      <c r="F153" s="21" t="n">
        <v>51934.74</v>
      </c>
      <c r="G153" s="19" t="inlineStr">
        <is>
          <t>1. Pending New Contract - Original Contract Expired. New Contract in Process</t>
        </is>
      </c>
      <c r="H153" s="19" t="inlineStr">
        <is>
          <t>B. City Law Review</t>
        </is>
      </c>
      <c r="I153" s="19" t="inlineStr">
        <is>
          <t>APPROVED</t>
        </is>
      </c>
      <c r="J153" s="19" t="inlineStr">
        <is>
          <t>Yes</t>
        </is>
      </c>
      <c r="K153" s="19" t="inlineStr">
        <is>
          <t>No</t>
        </is>
      </c>
      <c r="L153" s="19" t="inlineStr"/>
      <c r="M153" s="19" t="inlineStr">
        <is>
          <t>RX679137</t>
        </is>
      </c>
      <c r="N153" s="19" t="inlineStr">
        <is>
          <t>E</t>
        </is>
      </c>
      <c r="O153" s="20" t="inlineStr">
        <is>
          <t>No linkage found in awarded contract file</t>
        </is>
      </c>
      <c r="P153" s="19" t="inlineStr"/>
      <c r="Q153" s="19" t="inlineStr"/>
      <c r="R153" s="31" t="inlineStr"/>
      <c r="S153" s="19" t="inlineStr"/>
      <c r="T153" s="19" t="inlineStr">
        <is>
          <t>No</t>
        </is>
      </c>
      <c r="U153" s="19" t="inlineStr">
        <is>
          <t>No</t>
        </is>
      </c>
      <c r="V153" s="19" t="inlineStr">
        <is>
          <t>No</t>
        </is>
      </c>
      <c r="W153" s="19" t="inlineStr">
        <is>
          <t>Yes</t>
        </is>
      </c>
    </row>
    <row r="154">
      <c r="A154" s="19" t="n">
        <v>734269</v>
      </c>
      <c r="B154" s="31" t="n">
        <v>46181</v>
      </c>
      <c r="C154" s="19" t="inlineStr">
        <is>
          <t>DEPARTMENT OF FLEET AND FACILITY MANAGEMENT</t>
        </is>
      </c>
      <c r="D154" s="19" t="inlineStr">
        <is>
          <t>ABC Humane Wildlife Control &amp; Prevention, Inc.</t>
        </is>
      </c>
      <c r="E154" s="20" t="inlineStr">
        <is>
          <t>TB/VJ/11 INVOICES/$78878.43</t>
        </is>
      </c>
      <c r="F154" s="21" t="n">
        <v>78878.42999999999</v>
      </c>
      <c r="G154" s="19" t="inlineStr">
        <is>
          <t>1. Pending New Contract - Original Contract Expired. New Contract in Process</t>
        </is>
      </c>
      <c r="H154" s="19" t="inlineStr">
        <is>
          <t>A. Specification Development Phase</t>
        </is>
      </c>
      <c r="I154" s="19" t="inlineStr">
        <is>
          <t>APPROVED</t>
        </is>
      </c>
      <c r="J154" s="19" t="inlineStr">
        <is>
          <t>No</t>
        </is>
      </c>
      <c r="K154" s="19" t="inlineStr">
        <is>
          <t>No</t>
        </is>
      </c>
      <c r="L154" s="19" t="inlineStr"/>
      <c r="M154" s="19" t="inlineStr">
        <is>
          <t>RX682957</t>
        </is>
      </c>
      <c r="N154" s="19" t="inlineStr">
        <is>
          <t>E</t>
        </is>
      </c>
      <c r="O154" s="20" t="inlineStr">
        <is>
          <t>No linkage found in awarded contract file</t>
        </is>
      </c>
      <c r="P154" s="19" t="inlineStr"/>
      <c r="Q154" s="19" t="inlineStr"/>
      <c r="R154" s="31" t="inlineStr"/>
      <c r="S154" s="19" t="inlineStr"/>
      <c r="T154" s="19" t="inlineStr">
        <is>
          <t>No</t>
        </is>
      </c>
      <c r="U154" s="19" t="inlineStr">
        <is>
          <t>No</t>
        </is>
      </c>
      <c r="V154" s="19" t="inlineStr">
        <is>
          <t>No</t>
        </is>
      </c>
      <c r="W154" s="19" t="inlineStr">
        <is>
          <t>No</t>
        </is>
      </c>
    </row>
    <row r="155">
      <c r="A155" s="19" t="n">
        <v>711600</v>
      </c>
      <c r="B155" s="31" t="n">
        <v>46052</v>
      </c>
      <c r="C155" s="19" t="inlineStr">
        <is>
          <t>DEPARTMENT OF FLEET AND FACILITY MANAGEMENT</t>
        </is>
      </c>
      <c r="D155" s="19" t="inlineStr">
        <is>
          <t>ABM INDUSTRY GROUPS, LLC</t>
        </is>
      </c>
      <c r="E155" s="20" t="inlineStr">
        <is>
          <t>TB/AH/10 INVOICES/$1,457,270.91</t>
        </is>
      </c>
      <c r="F155" s="21" t="n">
        <v>0</v>
      </c>
      <c r="G155" s="19" t="inlineStr">
        <is>
          <t>1. Pending New Contract - Original Contract Expired. New Contract in Process</t>
        </is>
      </c>
      <c r="H155" s="19" t="inlineStr">
        <is>
          <t>A. Specification Development Phase</t>
        </is>
      </c>
      <c r="I155" s="19" t="inlineStr"/>
      <c r="J155" s="19" t="inlineStr">
        <is>
          <t>Yes</t>
        </is>
      </c>
      <c r="K155" s="19" t="inlineStr">
        <is>
          <t>No</t>
        </is>
      </c>
      <c r="L155" s="19" t="inlineStr">
        <is>
          <t>NO</t>
        </is>
      </c>
      <c r="M155" s="19" t="inlineStr">
        <is>
          <t>RX624331</t>
        </is>
      </c>
      <c r="N155" s="19" t="inlineStr">
        <is>
          <t>E</t>
        </is>
      </c>
      <c r="O155" s="20" t="inlineStr">
        <is>
          <t>No linkage found in awarded contract file</t>
        </is>
      </c>
      <c r="P155" s="19" t="inlineStr"/>
      <c r="Q155" s="19" t="inlineStr"/>
      <c r="R155" s="31" t="inlineStr"/>
      <c r="S155" s="19" t="inlineStr"/>
      <c r="T155" s="19" t="inlineStr">
        <is>
          <t>No</t>
        </is>
      </c>
      <c r="U155" s="19" t="inlineStr">
        <is>
          <t>No</t>
        </is>
      </c>
      <c r="V155" s="19" t="inlineStr">
        <is>
          <t>No</t>
        </is>
      </c>
      <c r="W155" s="19" t="inlineStr">
        <is>
          <t>Yes</t>
        </is>
      </c>
    </row>
    <row r="156">
      <c r="A156" s="19" t="n">
        <v>724274</v>
      </c>
      <c r="B156" s="31" t="n">
        <v>46133</v>
      </c>
      <c r="C156" s="19" t="inlineStr">
        <is>
          <t>DEPARTMENT OF FLEET AND FACILITY MANAGEMENT</t>
        </is>
      </c>
      <c r="D156" s="19" t="inlineStr">
        <is>
          <t>C &amp; C COMMUNICATIONS IL</t>
        </is>
      </c>
      <c r="E156" s="20" t="inlineStr">
        <is>
          <t>TB/CC/INV#3358/$680.00</t>
        </is>
      </c>
      <c r="F156" s="21" t="n">
        <v>680</v>
      </c>
      <c r="G156" s="19" t="inlineStr">
        <is>
          <t>2. Pending Amendment/Modification - Line Item Addition / Vendor Limit Increase / Scope Change</t>
        </is>
      </c>
      <c r="H156" s="19" t="inlineStr">
        <is>
          <t>A. Specification Development Phase</t>
        </is>
      </c>
      <c r="I156" s="19" t="inlineStr">
        <is>
          <t>APPROVED</t>
        </is>
      </c>
      <c r="J156" s="19" t="inlineStr">
        <is>
          <t>No</t>
        </is>
      </c>
      <c r="K156" s="19" t="inlineStr">
        <is>
          <t>No</t>
        </is>
      </c>
      <c r="L156" s="19" t="inlineStr"/>
      <c r="M156" s="19" t="inlineStr">
        <is>
          <t>RX710994</t>
        </is>
      </c>
      <c r="N156" s="19" t="inlineStr">
        <is>
          <t>E</t>
        </is>
      </c>
      <c r="O156" s="20" t="inlineStr">
        <is>
          <t>No linkage found in awarded contract file</t>
        </is>
      </c>
      <c r="P156" s="19" t="inlineStr"/>
      <c r="Q156" s="19" t="inlineStr"/>
      <c r="R156" s="31" t="inlineStr"/>
      <c r="S156" s="19" t="inlineStr"/>
      <c r="T156" s="19" t="inlineStr">
        <is>
          <t>No</t>
        </is>
      </c>
      <c r="U156" s="19" t="inlineStr">
        <is>
          <t>No</t>
        </is>
      </c>
      <c r="V156" s="19" t="inlineStr">
        <is>
          <t>No</t>
        </is>
      </c>
      <c r="W156" s="19" t="inlineStr">
        <is>
          <t>No</t>
        </is>
      </c>
    </row>
    <row r="157">
      <c r="A157" s="19" t="n">
        <v>725249</v>
      </c>
      <c r="B157" s="31" t="n">
        <v>46136</v>
      </c>
      <c r="C157" s="19" t="inlineStr">
        <is>
          <t>DEPARTMENT OF FLEET AND FACILITY MANAGEMENT</t>
        </is>
      </c>
      <c r="D157" s="19" t="inlineStr">
        <is>
          <t>QUALITY CAR WASH, INC.</t>
        </is>
      </c>
      <c r="E157" s="20" t="inlineStr">
        <is>
          <t>TB/9 INVOICES/$10,402.17</t>
        </is>
      </c>
      <c r="F157" s="21" t="n">
        <v>10402.17</v>
      </c>
      <c r="G157" s="19" t="inlineStr">
        <is>
          <t>1. Pending New Contract - Original Contract Expired. New Contract in Process</t>
        </is>
      </c>
      <c r="H157" s="19" t="inlineStr">
        <is>
          <t>A. Specification Development Phase</t>
        </is>
      </c>
      <c r="I157" s="19" t="inlineStr">
        <is>
          <t>APPROVED</t>
        </is>
      </c>
      <c r="J157" s="19" t="inlineStr">
        <is>
          <t>Yes</t>
        </is>
      </c>
      <c r="K157" s="19" t="inlineStr">
        <is>
          <t>No</t>
        </is>
      </c>
      <c r="L157" s="19" t="inlineStr"/>
      <c r="M157" s="19" t="inlineStr">
        <is>
          <t>RX710856</t>
        </is>
      </c>
      <c r="N157" s="19" t="inlineStr">
        <is>
          <t>E</t>
        </is>
      </c>
      <c r="O157" s="20" t="inlineStr">
        <is>
          <t>No linkage found in awarded contract file</t>
        </is>
      </c>
      <c r="P157" s="19" t="inlineStr"/>
      <c r="Q157" s="19" t="inlineStr"/>
      <c r="R157" s="31" t="inlineStr"/>
      <c r="S157" s="19" t="inlineStr"/>
      <c r="T157" s="19" t="inlineStr">
        <is>
          <t>No</t>
        </is>
      </c>
      <c r="U157" s="19" t="inlineStr">
        <is>
          <t>No</t>
        </is>
      </c>
      <c r="V157" s="19" t="inlineStr">
        <is>
          <t>No</t>
        </is>
      </c>
      <c r="W157" s="19" t="inlineStr">
        <is>
          <t>Yes</t>
        </is>
      </c>
    </row>
    <row r="158">
      <c r="A158" s="19" t="n">
        <v>724292</v>
      </c>
      <c r="B158" s="31" t="n">
        <v>46133</v>
      </c>
      <c r="C158" s="19" t="inlineStr">
        <is>
          <t>DEPARTMENT OF FLEET AND FACILITY MANAGEMENT</t>
        </is>
      </c>
      <c r="D158" s="19" t="inlineStr">
        <is>
          <t>KING TRANSMISSION CO INC</t>
        </is>
      </c>
      <c r="E158" s="20" t="inlineStr">
        <is>
          <t>TB/MM/2 INVOICES/$6640.00</t>
        </is>
      </c>
      <c r="F158" s="21" t="n">
        <v>6640</v>
      </c>
      <c r="G158" s="19" t="inlineStr">
        <is>
          <t>1. Pending New Contract - Original Contract Expired. New Contract in Process</t>
        </is>
      </c>
      <c r="H158" s="19" t="inlineStr">
        <is>
          <t>B. City Law Review</t>
        </is>
      </c>
      <c r="I158" s="19" t="inlineStr">
        <is>
          <t>APPROVED</t>
        </is>
      </c>
      <c r="J158" s="19" t="inlineStr">
        <is>
          <t>Yes</t>
        </is>
      </c>
      <c r="K158" s="19" t="inlineStr">
        <is>
          <t>No</t>
        </is>
      </c>
      <c r="L158" s="19" t="inlineStr"/>
      <c r="M158" s="19" t="inlineStr">
        <is>
          <t>RX590958</t>
        </is>
      </c>
      <c r="N158" s="19" t="inlineStr">
        <is>
          <t>E</t>
        </is>
      </c>
      <c r="O158" s="20" t="inlineStr">
        <is>
          <t>No linkage found in awarded contract file</t>
        </is>
      </c>
      <c r="P158" s="19" t="inlineStr"/>
      <c r="Q158" s="19" t="inlineStr"/>
      <c r="R158" s="31" t="inlineStr"/>
      <c r="S158" s="19" t="inlineStr"/>
      <c r="T158" s="19" t="inlineStr">
        <is>
          <t>No</t>
        </is>
      </c>
      <c r="U158" s="19" t="inlineStr">
        <is>
          <t>No</t>
        </is>
      </c>
      <c r="V158" s="19" t="inlineStr">
        <is>
          <t>No</t>
        </is>
      </c>
      <c r="W158" s="19" t="inlineStr">
        <is>
          <t>Yes</t>
        </is>
      </c>
    </row>
    <row r="159">
      <c r="A159" s="19" t="n">
        <v>730554</v>
      </c>
      <c r="B159" s="31" t="n">
        <v>46161</v>
      </c>
      <c r="C159" s="19" t="inlineStr">
        <is>
          <t>DEPARTMENT OF FLEET AND FACILITY MANAGEMENT</t>
        </is>
      </c>
      <c r="D159" s="19" t="inlineStr">
        <is>
          <t>MURNANE PAPER COMPANY</t>
        </is>
      </c>
      <c r="E159" s="20" t="inlineStr">
        <is>
          <t>TB/GR/INVOICE #232613/$14,152.00</t>
        </is>
      </c>
      <c r="F159" s="21" t="n">
        <v>14152</v>
      </c>
      <c r="G159" s="19" t="inlineStr">
        <is>
          <t>1. Pending New Contract - Original Contract Expired. New Contract in Process</t>
        </is>
      </c>
      <c r="H159" s="19" t="inlineStr">
        <is>
          <t>A. Specification Development Phase</t>
        </is>
      </c>
      <c r="I159" s="19" t="inlineStr">
        <is>
          <t>APPROVED</t>
        </is>
      </c>
      <c r="J159" s="19" t="inlineStr">
        <is>
          <t>No</t>
        </is>
      </c>
      <c r="K159" s="19" t="inlineStr">
        <is>
          <t>No</t>
        </is>
      </c>
      <c r="L159" s="19" t="inlineStr"/>
      <c r="M159" s="19" t="inlineStr">
        <is>
          <t>RX600854</t>
        </is>
      </c>
      <c r="N159" s="19" t="inlineStr">
        <is>
          <t>E</t>
        </is>
      </c>
      <c r="O159" s="20" t="inlineStr">
        <is>
          <t>No linkage found in awarded contract file</t>
        </is>
      </c>
      <c r="P159" s="19" t="inlineStr"/>
      <c r="Q159" s="19" t="inlineStr"/>
      <c r="R159" s="31" t="inlineStr"/>
      <c r="S159" s="19" t="inlineStr"/>
      <c r="T159" s="19" t="inlineStr">
        <is>
          <t>No</t>
        </is>
      </c>
      <c r="U159" s="19" t="inlineStr">
        <is>
          <t>No</t>
        </is>
      </c>
      <c r="V159" s="19" t="inlineStr">
        <is>
          <t>No</t>
        </is>
      </c>
      <c r="W159" s="19" t="inlineStr">
        <is>
          <t>No</t>
        </is>
      </c>
    </row>
    <row r="160">
      <c r="A160" s="19" t="n">
        <v>730529</v>
      </c>
      <c r="B160" s="31" t="n">
        <v>46161</v>
      </c>
      <c r="C160" s="19" t="inlineStr">
        <is>
          <t>DEPARTMENT OF FLEET AND FACILITY MANAGEMENT</t>
        </is>
      </c>
      <c r="D160" s="19" t="inlineStr">
        <is>
          <t>Helicopters, Inc.</t>
        </is>
      </c>
      <c r="E160" s="20" t="inlineStr">
        <is>
          <t>TB/MM/INVOICE #Q25143/$3458.74</t>
        </is>
      </c>
      <c r="F160" s="21" t="n">
        <v>3458.74</v>
      </c>
      <c r="G160" s="19" t="inlineStr">
        <is>
          <t>1. Pending New Contract - Original Contract Expired. New Contract in Process</t>
        </is>
      </c>
      <c r="H160" s="19" t="inlineStr">
        <is>
          <t>B. City Law Review</t>
        </is>
      </c>
      <c r="I160" s="19" t="inlineStr">
        <is>
          <t>APPROVED</t>
        </is>
      </c>
      <c r="J160" s="19" t="inlineStr">
        <is>
          <t>Yes</t>
        </is>
      </c>
      <c r="K160" s="19" t="inlineStr">
        <is>
          <t>No</t>
        </is>
      </c>
      <c r="L160" s="19" t="inlineStr">
        <is>
          <t>TBD</t>
        </is>
      </c>
      <c r="M160" s="19" t="inlineStr">
        <is>
          <t>RX690671</t>
        </is>
      </c>
      <c r="N160" s="19" t="inlineStr">
        <is>
          <t>A</t>
        </is>
      </c>
      <c r="O160" s="20" t="inlineStr">
        <is>
          <t>Requisition ID link: Exhibit B new-contract RX = awarded REQ</t>
        </is>
      </c>
      <c r="P160" s="19" t="inlineStr">
        <is>
          <t>386844</t>
        </is>
      </c>
      <c r="Q160" s="19" t="inlineStr">
        <is>
          <t>Helicopters, Inc.</t>
        </is>
      </c>
      <c r="R160" s="31" t="n">
        <v>46203</v>
      </c>
      <c r="S160" s="19" t="inlineStr">
        <is>
          <t>EMERGENCY</t>
        </is>
      </c>
      <c r="T160" s="19" t="inlineStr">
        <is>
          <t>No</t>
        </is>
      </c>
      <c r="U160" s="19" t="inlineStr">
        <is>
          <t>Yes</t>
        </is>
      </c>
      <c r="V160" s="19" t="inlineStr">
        <is>
          <t>No</t>
        </is>
      </c>
      <c r="W160" s="19" t="inlineStr">
        <is>
          <t>Yes</t>
        </is>
      </c>
    </row>
    <row r="161">
      <c r="A161" s="19" t="n">
        <v>729551</v>
      </c>
      <c r="B161" s="31" t="n">
        <v>46150</v>
      </c>
      <c r="C161" s="19" t="inlineStr">
        <is>
          <t>DEPARTMENT OF FLEET AND FACILITY MANAGEMENT</t>
        </is>
      </c>
      <c r="D161" s="19" t="inlineStr">
        <is>
          <t>M &amp; C Castle Car Wash, Inc.</t>
        </is>
      </c>
      <c r="E161" s="20" t="inlineStr">
        <is>
          <t>TB/INVOICE #016/$220.00</t>
        </is>
      </c>
      <c r="F161" s="21" t="n">
        <v>220</v>
      </c>
      <c r="G161" s="19" t="inlineStr">
        <is>
          <t>1. Pending New Contract - Original Contract Expired. New Contract in Process</t>
        </is>
      </c>
      <c r="H161" s="19" t="inlineStr">
        <is>
          <t>A. Specification Development Phase</t>
        </is>
      </c>
      <c r="I161" s="19" t="inlineStr">
        <is>
          <t>APPROVED</t>
        </is>
      </c>
      <c r="J161" s="19" t="inlineStr">
        <is>
          <t>Yes</t>
        </is>
      </c>
      <c r="K161" s="19" t="inlineStr">
        <is>
          <t>No</t>
        </is>
      </c>
      <c r="L161" s="19" t="inlineStr"/>
      <c r="M161" s="19" t="inlineStr">
        <is>
          <t>RX710856</t>
        </is>
      </c>
      <c r="N161" s="19" t="inlineStr">
        <is>
          <t>E</t>
        </is>
      </c>
      <c r="O161" s="20" t="inlineStr">
        <is>
          <t>No linkage found in awarded contract file</t>
        </is>
      </c>
      <c r="P161" s="19" t="inlineStr"/>
      <c r="Q161" s="19" t="inlineStr"/>
      <c r="R161" s="31" t="inlineStr"/>
      <c r="S161" s="19" t="inlineStr"/>
      <c r="T161" s="19" t="inlineStr">
        <is>
          <t>No</t>
        </is>
      </c>
      <c r="U161" s="19" t="inlineStr">
        <is>
          <t>No</t>
        </is>
      </c>
      <c r="V161" s="19" t="inlineStr">
        <is>
          <t>No</t>
        </is>
      </c>
      <c r="W161" s="19" t="inlineStr">
        <is>
          <t>Yes</t>
        </is>
      </c>
    </row>
    <row r="162">
      <c r="A162" s="19" t="n">
        <v>739415</v>
      </c>
      <c r="B162" s="31" t="n">
        <v>46211</v>
      </c>
      <c r="C162" s="19" t="inlineStr">
        <is>
          <t>CHICAGO FIRE DEPARTMENT</t>
        </is>
      </c>
      <c r="D162" s="19" t="inlineStr">
        <is>
          <t>Primo Brands</t>
        </is>
      </c>
      <c r="E162" s="20" t="inlineStr">
        <is>
          <t>Water Services</t>
        </is>
      </c>
      <c r="F162" s="21" t="n">
        <v>10932.38</v>
      </c>
      <c r="G162" s="19" t="inlineStr">
        <is>
          <t>1. Pending New Contract - Original Contract Expired. New Contract in Process</t>
        </is>
      </c>
      <c r="H162" s="19" t="inlineStr">
        <is>
          <t>A. Specification Development Phase</t>
        </is>
      </c>
      <c r="I162" s="19" t="inlineStr">
        <is>
          <t>APPROVED</t>
        </is>
      </c>
      <c r="J162" s="19" t="inlineStr">
        <is>
          <t>Yes</t>
        </is>
      </c>
      <c r="K162" s="19" t="inlineStr">
        <is>
          <t>No</t>
        </is>
      </c>
      <c r="L162" s="19" t="inlineStr"/>
      <c r="M162" s="19" t="inlineStr">
        <is>
          <t>RX676831</t>
        </is>
      </c>
      <c r="N162" s="19" t="inlineStr">
        <is>
          <t>E</t>
        </is>
      </c>
      <c r="O162" s="20" t="inlineStr">
        <is>
          <t>No linkage found in awarded contract file</t>
        </is>
      </c>
      <c r="P162" s="19" t="inlineStr"/>
      <c r="Q162" s="19" t="inlineStr"/>
      <c r="R162" s="31" t="inlineStr"/>
      <c r="S162" s="19" t="inlineStr"/>
      <c r="T162" s="19" t="inlineStr">
        <is>
          <t>No</t>
        </is>
      </c>
      <c r="U162" s="19" t="inlineStr">
        <is>
          <t>No</t>
        </is>
      </c>
      <c r="V162" s="19" t="inlineStr">
        <is>
          <t>No</t>
        </is>
      </c>
      <c r="W162" s="19" t="inlineStr">
        <is>
          <t>Yes</t>
        </is>
      </c>
    </row>
    <row r="163">
      <c r="A163" s="19" t="n">
        <v>708558</v>
      </c>
      <c r="B163" s="31" t="n">
        <v>46038</v>
      </c>
      <c r="C163" s="19" t="inlineStr">
        <is>
          <t>DEPARTMENT OF PROCUREMENT SERVICES</t>
        </is>
      </c>
      <c r="D163" s="19" t="inlineStr">
        <is>
          <t>Service Sanitation Inc.</t>
        </is>
      </c>
      <c r="E163" s="20" t="inlineStr">
        <is>
          <t>RENTAL AND MAINTENANCE OF PORTABLE CHEMICAL TOILETS, SINKS, WASTE WATER BARRELS, PORTABLE WATERLESS HAND SANITIZER DISPENSERS, FRESH WATER TRAILER AND PORTABLE SHOWERS at 10101 S Stony Island Ave Dec 2025</t>
        </is>
      </c>
      <c r="F163" s="21" t="n">
        <v>250</v>
      </c>
      <c r="G163" s="19" t="inlineStr">
        <is>
          <t>2. Pending Amendment/Modification - Line Item Addition / Vendor Limit Increase / Scope Change</t>
        </is>
      </c>
      <c r="H163" s="19" t="inlineStr">
        <is>
          <t>F. SC - (Signature Cycle)</t>
        </is>
      </c>
      <c r="I163" s="19" t="inlineStr">
        <is>
          <t>APPROVED</t>
        </is>
      </c>
      <c r="J163" s="19" t="inlineStr">
        <is>
          <t>Yes</t>
        </is>
      </c>
      <c r="K163" s="19" t="inlineStr">
        <is>
          <t>No</t>
        </is>
      </c>
      <c r="L163" s="19" t="n">
        <v>104512</v>
      </c>
      <c r="M163" s="19" t="inlineStr">
        <is>
          <t>RX701842</t>
        </is>
      </c>
      <c r="N163" s="19" t="inlineStr">
        <is>
          <t>B</t>
        </is>
      </c>
      <c r="O163" s="20" t="inlineStr">
        <is>
          <t>Vendor match + commodity overlap (similarity 0.50)</t>
        </is>
      </c>
      <c r="P163" s="19" t="inlineStr">
        <is>
          <t>381051</t>
        </is>
      </c>
      <c r="Q163" s="19" t="inlineStr">
        <is>
          <t>Service Sanitation Inc.</t>
        </is>
      </c>
      <c r="R163" s="31" t="n">
        <v>46203</v>
      </c>
      <c r="S163" s="19" t="inlineStr">
        <is>
          <t>BID</t>
        </is>
      </c>
      <c r="T163" s="19" t="inlineStr">
        <is>
          <t>Yes</t>
        </is>
      </c>
      <c r="U163" s="19" t="inlineStr">
        <is>
          <t>Yes</t>
        </is>
      </c>
      <c r="V163" s="19" t="inlineStr">
        <is>
          <t>No</t>
        </is>
      </c>
      <c r="W163" s="19" t="inlineStr">
        <is>
          <t>Yes</t>
        </is>
      </c>
    </row>
    <row r="164">
      <c r="A164" s="19" t="n">
        <v>727133</v>
      </c>
      <c r="B164" s="31" t="n">
        <v>46139</v>
      </c>
      <c r="C164" s="19" t="inlineStr">
        <is>
          <t>CHICAGO DEPARTMENT OF PUBLIC HEALTH</t>
        </is>
      </c>
      <c r="D164" s="19" t="inlineStr">
        <is>
          <t>VECTOR DISEASE CONTROL INTERNATIONAL LLC</t>
        </is>
      </c>
      <c r="E164" s="20" t="inlineStr">
        <is>
          <t>Chemical reagents and larvicideSurveillance fee</t>
        </is>
      </c>
      <c r="F164" s="21" t="n">
        <v>66126.92</v>
      </c>
      <c r="G164" s="19" t="inlineStr">
        <is>
          <t>1. Pending New Contract - Original Contract Expired. New Contract in Process</t>
        </is>
      </c>
      <c r="H164" s="19" t="inlineStr">
        <is>
          <t>H. One Time Purchase</t>
        </is>
      </c>
      <c r="I164" s="19" t="inlineStr">
        <is>
          <t>APPROVED</t>
        </is>
      </c>
      <c r="J164" s="19" t="inlineStr">
        <is>
          <t>Yes</t>
        </is>
      </c>
      <c r="K164" s="19" t="inlineStr">
        <is>
          <t>No</t>
        </is>
      </c>
      <c r="L164" s="19" t="n">
        <v>53283</v>
      </c>
      <c r="M164" s="19" t="inlineStr">
        <is>
          <t>RX698477</t>
        </is>
      </c>
      <c r="N164" s="19" t="inlineStr">
        <is>
          <t>E</t>
        </is>
      </c>
      <c r="O164" s="20" t="inlineStr">
        <is>
          <t>No linkage found in awarded contract file</t>
        </is>
      </c>
      <c r="P164" s="19" t="inlineStr"/>
      <c r="Q164" s="19" t="inlineStr"/>
      <c r="R164" s="31" t="inlineStr"/>
      <c r="S164" s="19" t="inlineStr"/>
      <c r="T164" s="19" t="inlineStr">
        <is>
          <t>No</t>
        </is>
      </c>
      <c r="U164" s="19" t="inlineStr">
        <is>
          <t>No</t>
        </is>
      </c>
      <c r="V164" s="19" t="inlineStr">
        <is>
          <t>No</t>
        </is>
      </c>
      <c r="W164" s="19" t="inlineStr">
        <is>
          <t>Yes</t>
        </is>
      </c>
    </row>
    <row r="165">
      <c r="A165" s="19" t="n">
        <v>712816</v>
      </c>
      <c r="B165" s="31" t="n">
        <v>46062</v>
      </c>
      <c r="C165" s="19" t="inlineStr">
        <is>
          <t>CHICAGO DEPARTMENT OF AVIATION</t>
        </is>
      </c>
      <c r="D165" s="19" t="inlineStr">
        <is>
          <t>AGAE CONTRACTORS, INC.</t>
        </is>
      </c>
      <c r="E165" s="20" t="inlineStr">
        <is>
          <t>Invoice# S3308-1   BELOW IS A LIST OF FUEL INSPECTION STICKERS NEEDED TO REPLACE ALL THE STICKERS THAT WE HAVE USED.</t>
        </is>
      </c>
      <c r="F165" s="21" t="n">
        <v>4985.61</v>
      </c>
      <c r="G165" s="19" t="inlineStr">
        <is>
          <t>1. Pending New Contract - Original Contract Expired. New Contract in Process</t>
        </is>
      </c>
      <c r="H165" s="19" t="inlineStr">
        <is>
          <t>F. SC - (Signature Cycle)</t>
        </is>
      </c>
      <c r="I165" s="19" t="inlineStr">
        <is>
          <t>APPROVED</t>
        </is>
      </c>
      <c r="J165" s="19" t="inlineStr">
        <is>
          <t>No</t>
        </is>
      </c>
      <c r="K165" s="19" t="inlineStr">
        <is>
          <t>No</t>
        </is>
      </c>
      <c r="L165" s="19" t="inlineStr"/>
      <c r="M165" s="19" t="inlineStr">
        <is>
          <t>RX607736</t>
        </is>
      </c>
      <c r="N165" s="19" t="inlineStr">
        <is>
          <t>E</t>
        </is>
      </c>
      <c r="O165" s="20" t="inlineStr">
        <is>
          <t>No linkage found in awarded contract file</t>
        </is>
      </c>
      <c r="P165" s="19" t="inlineStr"/>
      <c r="Q165" s="19" t="inlineStr"/>
      <c r="R165" s="31" t="inlineStr"/>
      <c r="S165" s="19" t="inlineStr"/>
      <c r="T165" s="19" t="inlineStr">
        <is>
          <t>No</t>
        </is>
      </c>
      <c r="U165" s="19" t="inlineStr">
        <is>
          <t>No</t>
        </is>
      </c>
      <c r="V165" s="19" t="inlineStr">
        <is>
          <t>No</t>
        </is>
      </c>
      <c r="W165" s="19" t="inlineStr">
        <is>
          <t>No</t>
        </is>
      </c>
    </row>
    <row r="166">
      <c r="A166" s="19" t="n">
        <v>739142</v>
      </c>
      <c r="B166" s="31" t="n">
        <v>46217</v>
      </c>
      <c r="C166" s="19" t="inlineStr">
        <is>
          <t>CHICAGO DEPARTMENT OF AVIATION</t>
        </is>
      </c>
      <c r="D166" s="19" t="inlineStr">
        <is>
          <t>Elevator Inspection Service Company, LLC</t>
        </is>
      </c>
      <c r="E166" s="20" t="inlineStr">
        <is>
          <t>#2 Invoices $7,082.00 Requesting a Direct Voucher - Exhibit B for Ohare to due VLI. A VLI extension has been requested.</t>
        </is>
      </c>
      <c r="F166" s="21" t="n">
        <v>7082</v>
      </c>
      <c r="G166" s="19" t="inlineStr">
        <is>
          <t>1. Pending New Contract - Original Contract Expired. New Contract in Process</t>
        </is>
      </c>
      <c r="H166" s="19" t="inlineStr">
        <is>
          <t>D. Solicitation Response Under Evaluation</t>
        </is>
      </c>
      <c r="I166" s="19" t="inlineStr">
        <is>
          <t>APPROVED</t>
        </is>
      </c>
      <c r="J166" s="19" t="inlineStr">
        <is>
          <t>Yes</t>
        </is>
      </c>
      <c r="K166" s="19" t="inlineStr">
        <is>
          <t>No</t>
        </is>
      </c>
      <c r="L166" s="19" t="inlineStr"/>
      <c r="M166" s="19" t="inlineStr">
        <is>
          <t>RX644760</t>
        </is>
      </c>
      <c r="N166" s="19" t="inlineStr">
        <is>
          <t>E</t>
        </is>
      </c>
      <c r="O166" s="20" t="inlineStr">
        <is>
          <t>No linkage found in awarded contract file</t>
        </is>
      </c>
      <c r="P166" s="19" t="inlineStr"/>
      <c r="Q166" s="19" t="inlineStr"/>
      <c r="R166" s="31" t="inlineStr"/>
      <c r="S166" s="19" t="inlineStr"/>
      <c r="T166" s="19" t="inlineStr">
        <is>
          <t>No</t>
        </is>
      </c>
      <c r="U166" s="19" t="inlineStr">
        <is>
          <t>No</t>
        </is>
      </c>
      <c r="V166" s="19" t="inlineStr">
        <is>
          <t>No</t>
        </is>
      </c>
      <c r="W166" s="19" t="inlineStr">
        <is>
          <t>Yes</t>
        </is>
      </c>
    </row>
    <row r="167">
      <c r="A167" s="19" t="n">
        <v>721585</v>
      </c>
      <c r="B167" s="31" t="n">
        <v>46107</v>
      </c>
      <c r="C167" s="19" t="inlineStr">
        <is>
          <t>DEPARTMENT OF FLEET AND FACILITY MANAGEMENT</t>
        </is>
      </c>
      <c r="D167" s="19" t="inlineStr">
        <is>
          <t>AGAE CONTRACTORS, INC.</t>
        </is>
      </c>
      <c r="E167" s="20" t="inlineStr">
        <is>
          <t>AGAE Contractors 50570038 A   JS/ WA/ Invoice Number S3372-1/ $1,852.69/ WO 5247697/ SIGN FOR PARKING LOT AND CRUB</t>
        </is>
      </c>
      <c r="F167" s="21" t="n">
        <v>1852.69</v>
      </c>
      <c r="G167" s="19" t="inlineStr">
        <is>
          <t>1. Pending New Contract - Original Contract Expired. New Contract in Process</t>
        </is>
      </c>
      <c r="H167" s="19" t="inlineStr">
        <is>
          <t>C. Solicitation or Bidding Phase</t>
        </is>
      </c>
      <c r="I167" s="19" t="inlineStr">
        <is>
          <t>APPROVED</t>
        </is>
      </c>
      <c r="J167" s="19" t="inlineStr">
        <is>
          <t>Yes</t>
        </is>
      </c>
      <c r="K167" s="19" t="inlineStr">
        <is>
          <t>No</t>
        </is>
      </c>
      <c r="L167" s="19" t="inlineStr"/>
      <c r="M167" s="19" t="inlineStr">
        <is>
          <t>RX607736</t>
        </is>
      </c>
      <c r="N167" s="19" t="inlineStr">
        <is>
          <t>E</t>
        </is>
      </c>
      <c r="O167" s="20" t="inlineStr">
        <is>
          <t>No linkage found in awarded contract file</t>
        </is>
      </c>
      <c r="P167" s="19" t="inlineStr"/>
      <c r="Q167" s="19" t="inlineStr"/>
      <c r="R167" s="31" t="inlineStr"/>
      <c r="S167" s="19" t="inlineStr"/>
      <c r="T167" s="19" t="inlineStr">
        <is>
          <t>No</t>
        </is>
      </c>
      <c r="U167" s="19" t="inlineStr">
        <is>
          <t>No</t>
        </is>
      </c>
      <c r="V167" s="19" t="inlineStr">
        <is>
          <t>No</t>
        </is>
      </c>
      <c r="W167" s="19" t="inlineStr">
        <is>
          <t>Yes</t>
        </is>
      </c>
    </row>
    <row r="168">
      <c r="A168" s="19" t="n">
        <v>734267</v>
      </c>
      <c r="B168" s="31" t="n">
        <v>46181</v>
      </c>
      <c r="C168" s="19" t="inlineStr">
        <is>
          <t>DEPARTMENT OF FLEET AND FACILITY MANAGEMENT</t>
        </is>
      </c>
      <c r="D168" s="19" t="inlineStr">
        <is>
          <t>MONROE TRUCK EQUIPMENT</t>
        </is>
      </c>
      <c r="E168" s="20" t="inlineStr">
        <is>
          <t>Monroe Truck Equipment 598821 A JS/ MM/ 3-INVOICES/ $76,851.19/ AVS504/ WO 2563620/ OHARE</t>
        </is>
      </c>
      <c r="F168" s="21" t="n">
        <v>76851.19</v>
      </c>
      <c r="G168" s="19" t="inlineStr">
        <is>
          <t>1. Pending New Contract - Original Contract Expired. New Contract in Process</t>
        </is>
      </c>
      <c r="H168" s="19" t="inlineStr">
        <is>
          <t>B. City Law Review</t>
        </is>
      </c>
      <c r="I168" s="19" t="inlineStr">
        <is>
          <t>APPROVED</t>
        </is>
      </c>
      <c r="J168" s="19" t="inlineStr">
        <is>
          <t>Yes</t>
        </is>
      </c>
      <c r="K168" s="19" t="inlineStr">
        <is>
          <t>No</t>
        </is>
      </c>
      <c r="L168" s="19" t="inlineStr"/>
      <c r="M168" s="19" t="inlineStr">
        <is>
          <t>RX590958</t>
        </is>
      </c>
      <c r="N168" s="19" t="inlineStr">
        <is>
          <t>E</t>
        </is>
      </c>
      <c r="O168" s="20" t="inlineStr">
        <is>
          <t>No linkage found in awarded contract file</t>
        </is>
      </c>
      <c r="P168" s="19" t="inlineStr"/>
      <c r="Q168" s="19" t="inlineStr"/>
      <c r="R168" s="31" t="inlineStr"/>
      <c r="S168" s="19" t="inlineStr"/>
      <c r="T168" s="19" t="inlineStr">
        <is>
          <t>No</t>
        </is>
      </c>
      <c r="U168" s="19" t="inlineStr">
        <is>
          <t>No</t>
        </is>
      </c>
      <c r="V168" s="19" t="inlineStr">
        <is>
          <t>No</t>
        </is>
      </c>
      <c r="W168" s="19" t="inlineStr">
        <is>
          <t>Yes</t>
        </is>
      </c>
    </row>
    <row r="169">
      <c r="A169" s="19" t="n">
        <v>716565</v>
      </c>
      <c r="B169" s="31" t="n">
        <v>46079</v>
      </c>
      <c r="C169" s="19" t="inlineStr">
        <is>
          <t>DEPARTMENT OF FLEET AND FACILITY MANAGEMENT</t>
        </is>
      </c>
      <c r="D169" s="19" t="inlineStr">
        <is>
          <t>INDUSTRIAL FENCE INC.</t>
        </is>
      </c>
      <c r="E169" s="20" t="inlineStr">
        <is>
          <t>Industrial Fence  1064164 A  JS/ VJ/ INVOICE 25466/ $ 3,668.37/ Nov 2025/ Southwest Sr Cntr/ E25464/ Janicki</t>
        </is>
      </c>
      <c r="F169" s="21" t="n">
        <v>3668.37</v>
      </c>
      <c r="G169" s="19" t="inlineStr">
        <is>
          <t>1. Pending New Contract - Original Contract Expired. New Contract in Process</t>
        </is>
      </c>
      <c r="H169" s="19" t="inlineStr">
        <is>
          <t>A. Specification Development Phase</t>
        </is>
      </c>
      <c r="I169" s="19" t="inlineStr">
        <is>
          <t>APPROVED</t>
        </is>
      </c>
      <c r="J169" s="19" t="inlineStr">
        <is>
          <t>No</t>
        </is>
      </c>
      <c r="K169" s="19" t="inlineStr">
        <is>
          <t>No</t>
        </is>
      </c>
      <c r="L169" s="19" t="inlineStr">
        <is>
          <t>TBD</t>
        </is>
      </c>
      <c r="M169" s="19" t="inlineStr">
        <is>
          <t>RX596048</t>
        </is>
      </c>
      <c r="N169" s="19" t="inlineStr">
        <is>
          <t>E</t>
        </is>
      </c>
      <c r="O169" s="20" t="inlineStr">
        <is>
          <t>No linkage found in awarded contract file</t>
        </is>
      </c>
      <c r="P169" s="19" t="inlineStr"/>
      <c r="Q169" s="19" t="inlineStr"/>
      <c r="R169" s="31" t="inlineStr"/>
      <c r="S169" s="19" t="inlineStr"/>
      <c r="T169" s="19" t="inlineStr">
        <is>
          <t>No</t>
        </is>
      </c>
      <c r="U169" s="19" t="inlineStr">
        <is>
          <t>No</t>
        </is>
      </c>
      <c r="V169" s="19" t="inlineStr">
        <is>
          <t>No</t>
        </is>
      </c>
      <c r="W169" s="19" t="inlineStr">
        <is>
          <t>No</t>
        </is>
      </c>
    </row>
    <row r="170">
      <c r="A170" s="19" t="n">
        <v>722011</v>
      </c>
      <c r="B170" s="31" t="n">
        <v>46111</v>
      </c>
      <c r="C170" s="19" t="inlineStr">
        <is>
          <t>DEPARTMENT OF FLEET AND FACILITY MANAGEMENT</t>
        </is>
      </c>
      <c r="D170" s="19" t="inlineStr">
        <is>
          <t>CHARLES EQUIPMENT ENERGY SYSTEMS LLC</t>
        </is>
      </c>
      <c r="E170" s="20" t="inlineStr">
        <is>
          <t>CHARLES EQUIPMENT 157247 A  JS/ AH/ Invoice # 18141/ $2,210.00/ Apr'25/ Area3 Dist19/Z2/ 5206779/ Q4528</t>
        </is>
      </c>
      <c r="F170" s="21" t="n">
        <v>2210</v>
      </c>
      <c r="G170" s="19" t="inlineStr">
        <is>
          <t>1. Pending New Contract - Original Contract Expired. New Contract in Process</t>
        </is>
      </c>
      <c r="H170" s="19" t="inlineStr">
        <is>
          <t>A. Specification Development Phase</t>
        </is>
      </c>
      <c r="I170" s="19" t="inlineStr">
        <is>
          <t>APPROVED</t>
        </is>
      </c>
      <c r="J170" s="19" t="inlineStr">
        <is>
          <t>Yes</t>
        </is>
      </c>
      <c r="K170" s="19" t="inlineStr">
        <is>
          <t>No</t>
        </is>
      </c>
      <c r="L170" s="19" t="inlineStr"/>
      <c r="M170" s="19" t="inlineStr">
        <is>
          <t>RX622326</t>
        </is>
      </c>
      <c r="N170" s="19" t="inlineStr">
        <is>
          <t>E</t>
        </is>
      </c>
      <c r="O170" s="20" t="inlineStr">
        <is>
          <t>No linkage found in awarded contract file</t>
        </is>
      </c>
      <c r="P170" s="19" t="inlineStr"/>
      <c r="Q170" s="19" t="inlineStr"/>
      <c r="R170" s="31" t="inlineStr"/>
      <c r="S170" s="19" t="inlineStr"/>
      <c r="T170" s="19" t="inlineStr">
        <is>
          <t>No</t>
        </is>
      </c>
      <c r="U170" s="19" t="inlineStr">
        <is>
          <t>No</t>
        </is>
      </c>
      <c r="V170" s="19" t="inlineStr">
        <is>
          <t>No</t>
        </is>
      </c>
      <c r="W170" s="19" t="inlineStr">
        <is>
          <t>Yes</t>
        </is>
      </c>
    </row>
    <row r="171">
      <c r="A171" s="19" t="n">
        <v>721504</v>
      </c>
      <c r="B171" s="31" t="n">
        <v>46107</v>
      </c>
      <c r="C171" s="19" t="inlineStr">
        <is>
          <t>DEPARTMENT OF FLEET AND FACILITY MANAGEMENT</t>
        </is>
      </c>
      <c r="D171" s="19" t="inlineStr">
        <is>
          <t>TOTAL FACILITY MAINTENANCE</t>
        </is>
      </c>
      <c r="E171" s="20" t="inlineStr">
        <is>
          <t>Total Facility Maintenance 1041255 A  JS/ AH/ 2-Invoices/ $319,184.32/ Jan &amp; Feb monthly services</t>
        </is>
      </c>
      <c r="F171" s="21" t="n">
        <v>319184.32</v>
      </c>
      <c r="G171" s="19" t="inlineStr">
        <is>
          <t>1. Pending New Contract - Original Contract Expired. New Contract in Process</t>
        </is>
      </c>
      <c r="H171" s="19" t="inlineStr">
        <is>
          <t>B. City Law Review</t>
        </is>
      </c>
      <c r="I171" s="19" t="inlineStr">
        <is>
          <t>APPROVED</t>
        </is>
      </c>
      <c r="J171" s="19" t="inlineStr">
        <is>
          <t>Yes</t>
        </is>
      </c>
      <c r="K171" s="19" t="inlineStr">
        <is>
          <t>No</t>
        </is>
      </c>
      <c r="L171" s="19" t="inlineStr"/>
      <c r="M171" s="19" t="inlineStr">
        <is>
          <t>RX624331</t>
        </is>
      </c>
      <c r="N171" s="19" t="inlineStr">
        <is>
          <t>E</t>
        </is>
      </c>
      <c r="O171" s="20" t="inlineStr">
        <is>
          <t>No linkage found in awarded contract file</t>
        </is>
      </c>
      <c r="P171" s="19" t="inlineStr"/>
      <c r="Q171" s="19" t="inlineStr"/>
      <c r="R171" s="31" t="inlineStr"/>
      <c r="S171" s="19" t="inlineStr"/>
      <c r="T171" s="19" t="inlineStr">
        <is>
          <t>No</t>
        </is>
      </c>
      <c r="U171" s="19" t="inlineStr">
        <is>
          <t>No</t>
        </is>
      </c>
      <c r="V171" s="19" t="inlineStr">
        <is>
          <t>No</t>
        </is>
      </c>
      <c r="W171" s="19" t="inlineStr">
        <is>
          <t>Yes</t>
        </is>
      </c>
    </row>
    <row r="172">
      <c r="A172" s="19" t="n">
        <v>734183</v>
      </c>
      <c r="B172" s="31" t="n">
        <v>46177</v>
      </c>
      <c r="C172" s="19" t="inlineStr">
        <is>
          <t>DEPARTMENT OF FLEET AND FACILITY MANAGEMENT</t>
        </is>
      </c>
      <c r="D172" s="19" t="inlineStr">
        <is>
          <t>WASTE MANAGEMENT OF ILLINOIS</t>
        </is>
      </c>
      <c r="E172" s="20" t="inlineStr">
        <is>
          <t>Waste Management 1040290 L   JS/ VJ/ 2-INVOICES/ $11,477.36/ Mar Services/</t>
        </is>
      </c>
      <c r="F172" s="21" t="n">
        <v>11477.36</v>
      </c>
      <c r="G172" s="19" t="inlineStr">
        <is>
          <t>2. Pending Amendment/Modification - Line Item Addition / Vendor Limit Increase / Scope Change</t>
        </is>
      </c>
      <c r="H172" s="19" t="inlineStr">
        <is>
          <t>B. City Law Review</t>
        </is>
      </c>
      <c r="I172" s="19" t="inlineStr">
        <is>
          <t>APPROVED</t>
        </is>
      </c>
      <c r="J172" s="19" t="inlineStr">
        <is>
          <t>No</t>
        </is>
      </c>
      <c r="K172" s="19" t="inlineStr">
        <is>
          <t>No</t>
        </is>
      </c>
      <c r="L172" s="19" t="inlineStr"/>
      <c r="M172" s="19" t="inlineStr">
        <is>
          <t>RX606988</t>
        </is>
      </c>
      <c r="N172" s="19" t="inlineStr">
        <is>
          <t>E</t>
        </is>
      </c>
      <c r="O172" s="20" t="inlineStr">
        <is>
          <t>No linkage found in awarded contract file</t>
        </is>
      </c>
      <c r="P172" s="19" t="inlineStr"/>
      <c r="Q172" s="19" t="inlineStr"/>
      <c r="R172" s="31" t="inlineStr"/>
      <c r="S172" s="19" t="inlineStr"/>
      <c r="T172" s="19" t="inlineStr">
        <is>
          <t>No</t>
        </is>
      </c>
      <c r="U172" s="19" t="inlineStr">
        <is>
          <t>No</t>
        </is>
      </c>
      <c r="V172" s="19" t="inlineStr">
        <is>
          <t>No</t>
        </is>
      </c>
      <c r="W172" s="19" t="inlineStr">
        <is>
          <t>No</t>
        </is>
      </c>
    </row>
    <row r="173">
      <c r="A173" s="19" t="n">
        <v>733522</v>
      </c>
      <c r="B173" s="31" t="n">
        <v>46171</v>
      </c>
      <c r="C173" s="19" t="inlineStr">
        <is>
          <t>DEPARTMENT OF FLEET AND FACILITY MANAGEMENT</t>
        </is>
      </c>
      <c r="D173" s="19" t="inlineStr">
        <is>
          <t>ABM INDUSTRY GROUPS, LLC</t>
        </is>
      </c>
      <c r="E173" s="20" t="inlineStr">
        <is>
          <t>ABM  1062984 A    JS/ VJ/ 3-Invoices/ $236,553.31/ Apr 2026/ CPL</t>
        </is>
      </c>
      <c r="F173" s="21" t="n">
        <v>236553.31</v>
      </c>
      <c r="G173" s="19" t="inlineStr">
        <is>
          <t>1. Pending New Contract - Original Contract Expired. New Contract in Process</t>
        </is>
      </c>
      <c r="H173" s="19" t="inlineStr">
        <is>
          <t>A. Specification Development Phase</t>
        </is>
      </c>
      <c r="I173" s="19" t="inlineStr">
        <is>
          <t>APPROVED</t>
        </is>
      </c>
      <c r="J173" s="19" t="inlineStr">
        <is>
          <t>Yes</t>
        </is>
      </c>
      <c r="K173" s="19" t="inlineStr">
        <is>
          <t>No</t>
        </is>
      </c>
      <c r="L173" s="19" t="inlineStr"/>
      <c r="M173" s="19" t="inlineStr">
        <is>
          <t>RX624331</t>
        </is>
      </c>
      <c r="N173" s="19" t="inlineStr">
        <is>
          <t>E</t>
        </is>
      </c>
      <c r="O173" s="20" t="inlineStr">
        <is>
          <t>No linkage found in awarded contract file</t>
        </is>
      </c>
      <c r="P173" s="19" t="inlineStr"/>
      <c r="Q173" s="19" t="inlineStr"/>
      <c r="R173" s="31" t="inlineStr"/>
      <c r="S173" s="19" t="inlineStr"/>
      <c r="T173" s="19" t="inlineStr">
        <is>
          <t>No</t>
        </is>
      </c>
      <c r="U173" s="19" t="inlineStr">
        <is>
          <t>No</t>
        </is>
      </c>
      <c r="V173" s="19" t="inlineStr">
        <is>
          <t>No</t>
        </is>
      </c>
      <c r="W173" s="19" t="inlineStr">
        <is>
          <t>Yes</t>
        </is>
      </c>
    </row>
    <row r="174">
      <c r="A174" s="19" t="n">
        <v>722276</v>
      </c>
      <c r="B174" s="31" t="n">
        <v>46118</v>
      </c>
      <c r="C174" s="19" t="inlineStr">
        <is>
          <t>DEPARTMENT OF FLEET AND FACILITY MANAGEMENT</t>
        </is>
      </c>
      <c r="D174" s="19" t="inlineStr">
        <is>
          <t>WAREHOUSE DIRECT, INC.</t>
        </is>
      </c>
      <c r="E174" s="20" t="inlineStr">
        <is>
          <t>Warehouse Direct 390270 G   JS/ JM/ 4-INVOICES/ $8,293.50/ Bindery Supplies</t>
        </is>
      </c>
      <c r="F174" s="21" t="n">
        <v>8293.5</v>
      </c>
      <c r="G174" s="19" t="inlineStr">
        <is>
          <t>1. Pending New Contract - Original Contract Expired. New Contract in Process</t>
        </is>
      </c>
      <c r="H174" s="19" t="inlineStr">
        <is>
          <t>A. Specification Development Phase</t>
        </is>
      </c>
      <c r="I174" s="19" t="inlineStr">
        <is>
          <t>APPROVED</t>
        </is>
      </c>
      <c r="J174" s="19" t="inlineStr">
        <is>
          <t>Yes</t>
        </is>
      </c>
      <c r="K174" s="19" t="inlineStr">
        <is>
          <t>No</t>
        </is>
      </c>
      <c r="L174" s="19" t="inlineStr"/>
      <c r="M174" s="19" t="inlineStr">
        <is>
          <t>RX677490</t>
        </is>
      </c>
      <c r="N174" s="19" t="inlineStr">
        <is>
          <t>E</t>
        </is>
      </c>
      <c r="O174" s="20" t="inlineStr">
        <is>
          <t>No linkage found in awarded contract file</t>
        </is>
      </c>
      <c r="P174" s="19" t="inlineStr"/>
      <c r="Q174" s="19" t="inlineStr"/>
      <c r="R174" s="31" t="inlineStr"/>
      <c r="S174" s="19" t="inlineStr"/>
      <c r="T174" s="19" t="inlineStr">
        <is>
          <t>No</t>
        </is>
      </c>
      <c r="U174" s="19" t="inlineStr">
        <is>
          <t>No</t>
        </is>
      </c>
      <c r="V174" s="19" t="inlineStr">
        <is>
          <t>No</t>
        </is>
      </c>
      <c r="W174" s="19" t="inlineStr">
        <is>
          <t>Yes</t>
        </is>
      </c>
    </row>
    <row r="175">
      <c r="A175" s="19" t="n">
        <v>741413</v>
      </c>
      <c r="B175" s="31" t="n">
        <v>46220</v>
      </c>
      <c r="C175" s="19" t="inlineStr">
        <is>
          <t>DEPARTMENT OF FLEET AND FACILITY MANAGEMENT</t>
        </is>
      </c>
      <c r="D175" s="19" t="inlineStr">
        <is>
          <t>LIZZETTE MEDINA &amp; COMPANY</t>
        </is>
      </c>
      <c r="E175" s="20" t="inlineStr">
        <is>
          <t>LIZETTE MEDINA  JS/ VJ/ 6-Invoices/ $33,773.94/ Apr 2026</t>
        </is>
      </c>
      <c r="F175" s="21" t="n">
        <v>33773.94</v>
      </c>
      <c r="G175" s="19" t="inlineStr">
        <is>
          <t>1. Pending New Contract - Original Contract Expired. New Contract in Process</t>
        </is>
      </c>
      <c r="H175" s="19" t="inlineStr">
        <is>
          <t>B. City Law Review</t>
        </is>
      </c>
      <c r="I175" s="19" t="inlineStr">
        <is>
          <t>APPROVED</t>
        </is>
      </c>
      <c r="J175" s="19" t="inlineStr">
        <is>
          <t>Yes</t>
        </is>
      </c>
      <c r="K175" s="19" t="inlineStr">
        <is>
          <t>No</t>
        </is>
      </c>
      <c r="L175" s="19" t="inlineStr"/>
      <c r="M175" s="19" t="inlineStr">
        <is>
          <t>RX679137</t>
        </is>
      </c>
      <c r="N175" s="19" t="inlineStr">
        <is>
          <t>E</t>
        </is>
      </c>
      <c r="O175" s="20" t="inlineStr">
        <is>
          <t>No linkage found in awarded contract file</t>
        </is>
      </c>
      <c r="P175" s="19" t="inlineStr"/>
      <c r="Q175" s="19" t="inlineStr"/>
      <c r="R175" s="31" t="inlineStr"/>
      <c r="S175" s="19" t="inlineStr"/>
      <c r="T175" s="19" t="inlineStr">
        <is>
          <t>No</t>
        </is>
      </c>
      <c r="U175" s="19" t="inlineStr">
        <is>
          <t>No</t>
        </is>
      </c>
      <c r="V175" s="19" t="inlineStr">
        <is>
          <t>No</t>
        </is>
      </c>
      <c r="W175" s="19" t="inlineStr">
        <is>
          <t>Yes</t>
        </is>
      </c>
    </row>
    <row r="176">
      <c r="A176" s="19" t="n">
        <v>745954</v>
      </c>
      <c r="B176" s="31" t="n">
        <v>46251</v>
      </c>
      <c r="C176" s="19" t="inlineStr">
        <is>
          <t>CHICAGO DEPARTMENT OF AVIATION</t>
        </is>
      </c>
      <c r="D176" s="19" t="inlineStr">
        <is>
          <t>R4 SERVICES, LLC.</t>
        </is>
      </c>
      <c r="E176" s="20" t="inlineStr">
        <is>
          <t>RECORD RETENTION INVOICES 6-1-2026  - 6-30-2026</t>
        </is>
      </c>
      <c r="F176" s="21" t="n">
        <v>0</v>
      </c>
      <c r="G176" s="19" t="inlineStr">
        <is>
          <t>2. Pending Amendment/Modification - Line Item Addition / Vendor Limit Increase / Scope Change</t>
        </is>
      </c>
      <c r="H176" s="19" t="inlineStr">
        <is>
          <t>F. SC - (Signature Cycle)</t>
        </is>
      </c>
      <c r="I176" s="19" t="inlineStr"/>
      <c r="J176" s="19" t="inlineStr">
        <is>
          <t>No</t>
        </is>
      </c>
      <c r="K176" s="19" t="inlineStr">
        <is>
          <t>No</t>
        </is>
      </c>
      <c r="L176" s="19" t="inlineStr"/>
      <c r="M176" s="19" t="inlineStr">
        <is>
          <t>VDR4</t>
        </is>
      </c>
      <c r="N176" s="19" t="inlineStr">
        <is>
          <t>E</t>
        </is>
      </c>
      <c r="O176" s="20" t="inlineStr">
        <is>
          <t>No linkage found in awarded contract file</t>
        </is>
      </c>
      <c r="P176" s="19" t="inlineStr"/>
      <c r="Q176" s="19" t="inlineStr"/>
      <c r="R176" s="31" t="inlineStr"/>
      <c r="S176" s="19" t="inlineStr"/>
      <c r="T176" s="19" t="inlineStr">
        <is>
          <t>No</t>
        </is>
      </c>
      <c r="U176" s="19" t="inlineStr">
        <is>
          <t>No</t>
        </is>
      </c>
      <c r="V176" s="19" t="inlineStr">
        <is>
          <t>No</t>
        </is>
      </c>
      <c r="W176" s="19" t="inlineStr">
        <is>
          <t>No</t>
        </is>
      </c>
    </row>
    <row r="177">
      <c r="A177" s="19" t="n">
        <v>746037</v>
      </c>
      <c r="B177" s="31" t="n">
        <v>46251</v>
      </c>
      <c r="C177" s="19" t="inlineStr">
        <is>
          <t>CHICAGO DEPARTMENT OF AVIATION</t>
        </is>
      </c>
      <c r="D177" s="19" t="inlineStr">
        <is>
          <t>BLUETRITON BRANDS INC</t>
        </is>
      </c>
      <c r="E177" s="20" t="inlineStr">
        <is>
          <t>Transfered from APRF No. 517052.  Water invoices for 6/15/2026 to 7/14/2026  1-MOD/Final 8/13/26 kf</t>
        </is>
      </c>
      <c r="F177" s="21" t="n">
        <v>0</v>
      </c>
      <c r="G177" s="19" t="inlineStr">
        <is>
          <t>1. Pending New Contract - Original Contract Expired. New Contract in Process</t>
        </is>
      </c>
      <c r="H177" s="19" t="inlineStr">
        <is>
          <t>A. Specification Development Phase</t>
        </is>
      </c>
      <c r="I177" s="19" t="inlineStr"/>
      <c r="J177" s="19" t="inlineStr">
        <is>
          <t>No</t>
        </is>
      </c>
      <c r="K177" s="19" t="inlineStr">
        <is>
          <t>No</t>
        </is>
      </c>
      <c r="L177" s="19" t="inlineStr"/>
      <c r="M177" s="19" t="inlineStr">
        <is>
          <t>VDBLUETRITON BRANDS</t>
        </is>
      </c>
      <c r="N177" s="19" t="inlineStr">
        <is>
          <t>E</t>
        </is>
      </c>
      <c r="O177" s="20" t="inlineStr">
        <is>
          <t>No linkage found in awarded contract file</t>
        </is>
      </c>
      <c r="P177" s="19" t="inlineStr"/>
      <c r="Q177" s="19" t="inlineStr"/>
      <c r="R177" s="31" t="inlineStr"/>
      <c r="S177" s="19" t="inlineStr"/>
      <c r="T177" s="19" t="inlineStr">
        <is>
          <t>No</t>
        </is>
      </c>
      <c r="U177" s="19" t="inlineStr">
        <is>
          <t>No</t>
        </is>
      </c>
      <c r="V177" s="19" t="inlineStr">
        <is>
          <t>No</t>
        </is>
      </c>
      <c r="W177" s="19" t="inlineStr">
        <is>
          <t>No</t>
        </is>
      </c>
    </row>
    <row r="178">
      <c r="A178" s="19" t="n">
        <v>725345</v>
      </c>
      <c r="B178" s="31" t="n">
        <v>46136</v>
      </c>
      <c r="C178" s="19" t="inlineStr">
        <is>
          <t>DEPARTMENT OF PLANNING AND DEVELOPMENT</t>
        </is>
      </c>
      <c r="D178" s="19" t="inlineStr">
        <is>
          <t>GREATER ILLINOIS TITLE CO. INC.</t>
        </is>
      </c>
      <c r="E178" s="20" t="inlineStr">
        <is>
          <t>Purchase of title insurance, recording of deed and lease amendment for $2,364.</t>
        </is>
      </c>
      <c r="F178" s="21" t="n">
        <v>2364</v>
      </c>
      <c r="G178" s="19" t="inlineStr">
        <is>
          <t>1. Pending New Contract - Original Contract Expired. New Contract in Process</t>
        </is>
      </c>
      <c r="H178" s="19" t="inlineStr">
        <is>
          <t>A. Specification Development Phase</t>
        </is>
      </c>
      <c r="I178" s="19" t="inlineStr">
        <is>
          <t>APPROVED</t>
        </is>
      </c>
      <c r="J178" s="19" t="inlineStr">
        <is>
          <t>Yes</t>
        </is>
      </c>
      <c r="K178" s="19" t="inlineStr">
        <is>
          <t>No</t>
        </is>
      </c>
      <c r="L178" s="19" t="inlineStr"/>
      <c r="M178" s="19" t="inlineStr">
        <is>
          <t>RX522404</t>
        </is>
      </c>
      <c r="N178" s="19" t="inlineStr">
        <is>
          <t>E</t>
        </is>
      </c>
      <c r="O178" s="20" t="inlineStr">
        <is>
          <t>No linkage found in awarded contract file</t>
        </is>
      </c>
      <c r="P178" s="19" t="inlineStr"/>
      <c r="Q178" s="19" t="inlineStr"/>
      <c r="R178" s="31" t="inlineStr"/>
      <c r="S178" s="19" t="inlineStr"/>
      <c r="T178" s="19" t="inlineStr">
        <is>
          <t>No</t>
        </is>
      </c>
      <c r="U178" s="19" t="inlineStr">
        <is>
          <t>No</t>
        </is>
      </c>
      <c r="V178" s="19" t="inlineStr">
        <is>
          <t>No</t>
        </is>
      </c>
      <c r="W178" s="19" t="inlineStr">
        <is>
          <t>Yes</t>
        </is>
      </c>
    </row>
    <row r="179">
      <c r="A179" s="19" t="n">
        <v>722340</v>
      </c>
      <c r="B179" s="31" t="n">
        <v>46118</v>
      </c>
      <c r="C179" s="19" t="inlineStr">
        <is>
          <t>DEPARTMENT OF WATER MANAGEMENT</t>
        </is>
      </c>
      <c r="D179" s="19" t="inlineStr">
        <is>
          <t>ABC Humane Wildlife Control &amp; Prevention, Inc.</t>
        </is>
      </c>
      <c r="E179" s="20" t="inlineStr">
        <is>
          <t>FLEET &amp; FACILITY MANAGEMENT ("2FM") IS THE LEAD DEPARMENT FOR PO#32909 INTEGRATED PEST MANAGEMENT SERVICES, THROUGH ABC HUMANE WILDLIFE/LANDMARK PEST CONTRACT WHICH EXPIRED ON 05/29/25. 2FM SUBMITTED A NEW CONTRACT REQUEST FOR A RE-BID 9/25</t>
        </is>
      </c>
      <c r="F179" s="21" t="n">
        <v>9034</v>
      </c>
      <c r="G179" s="19" t="inlineStr">
        <is>
          <t>1. Pending New Contract - Original Contract Expired. New Contract in Process</t>
        </is>
      </c>
      <c r="H179" s="19" t="inlineStr">
        <is>
          <t>H. One Time Purchase</t>
        </is>
      </c>
      <c r="I179" s="19" t="inlineStr">
        <is>
          <t>APPROVED</t>
        </is>
      </c>
      <c r="J179" s="19" t="inlineStr">
        <is>
          <t>Yes</t>
        </is>
      </c>
      <c r="K179" s="19" t="inlineStr">
        <is>
          <t>No</t>
        </is>
      </c>
      <c r="L179" s="19" t="n">
        <v>682657</v>
      </c>
      <c r="M179" s="19" t="inlineStr">
        <is>
          <t>RX682657</t>
        </is>
      </c>
      <c r="N179" s="19" t="inlineStr">
        <is>
          <t>E</t>
        </is>
      </c>
      <c r="O179" s="20" t="inlineStr">
        <is>
          <t>No linkage found in awarded contract file</t>
        </is>
      </c>
      <c r="P179" s="19" t="inlineStr"/>
      <c r="Q179" s="19" t="inlineStr"/>
      <c r="R179" s="31" t="inlineStr"/>
      <c r="S179" s="19" t="inlineStr"/>
      <c r="T179" s="19" t="inlineStr">
        <is>
          <t>No</t>
        </is>
      </c>
      <c r="U179" s="19" t="inlineStr">
        <is>
          <t>No</t>
        </is>
      </c>
      <c r="V179" s="19" t="inlineStr">
        <is>
          <t>No</t>
        </is>
      </c>
      <c r="W179" s="19" t="inlineStr">
        <is>
          <t>Yes</t>
        </is>
      </c>
    </row>
    <row r="180">
      <c r="A180" s="19" t="n">
        <v>719021</v>
      </c>
      <c r="B180" s="31" t="n">
        <v>46097</v>
      </c>
      <c r="C180" s="19" t="inlineStr">
        <is>
          <t>DEPARTMENT OF WATER MANAGEMENT</t>
        </is>
      </c>
      <c r="D180" s="19" t="inlineStr">
        <is>
          <t>Landmark Management Solutions LLC.</t>
        </is>
      </c>
      <c r="E180" s="20" t="inlineStr">
        <is>
          <t>FLEET AND FACILITY MANAGEMENT ("2FM") IS THE LEAD DEPARTMENT FOR PO 32909 INTEGRATED PEST MANAGEMENT SERVICES, THROUGH ABC HUMANE WILDLIFE/LANDMARK PEST CONTRACT WHICH EXPIRED ON 5/29/25. THIS SOLICITATION WAS ORGINALLY ADVERTISED ON 11/25</t>
        </is>
      </c>
      <c r="F180" s="21" t="n">
        <v>34562.66</v>
      </c>
      <c r="G180" s="19" t="inlineStr">
        <is>
          <t>1. Pending New Contract - Original Contract Expired. New Contract in Process</t>
        </is>
      </c>
      <c r="H180" s="19" t="inlineStr">
        <is>
          <t>H. One Time Purchase</t>
        </is>
      </c>
      <c r="I180" s="19" t="inlineStr">
        <is>
          <t>APPROVED</t>
        </is>
      </c>
      <c r="J180" s="19" t="inlineStr">
        <is>
          <t>Yes</t>
        </is>
      </c>
      <c r="K180" s="19" t="inlineStr">
        <is>
          <t>Yes</t>
        </is>
      </c>
      <c r="L180" s="19" t="n">
        <v>682957</v>
      </c>
      <c r="M180" s="19" t="inlineStr">
        <is>
          <t>VDLANDMARK MANAGEMENT SOLUTION</t>
        </is>
      </c>
      <c r="N180" s="19" t="inlineStr">
        <is>
          <t>E</t>
        </is>
      </c>
      <c r="O180" s="20" t="inlineStr">
        <is>
          <t>No linkage found in awarded contract file</t>
        </is>
      </c>
      <c r="P180" s="19" t="inlineStr"/>
      <c r="Q180" s="19" t="inlineStr"/>
      <c r="R180" s="31" t="inlineStr"/>
      <c r="S180" s="19" t="inlineStr"/>
      <c r="T180" s="19" t="inlineStr">
        <is>
          <t>No</t>
        </is>
      </c>
      <c r="U180" s="19" t="inlineStr">
        <is>
          <t>No</t>
        </is>
      </c>
      <c r="V180" s="19" t="inlineStr">
        <is>
          <t>No</t>
        </is>
      </c>
      <c r="W180" s="19" t="inlineStr">
        <is>
          <t>Yes</t>
        </is>
      </c>
    </row>
    <row r="181">
      <c r="A181" s="19" t="n">
        <v>730008</v>
      </c>
      <c r="B181" s="31" t="n">
        <v>46163</v>
      </c>
      <c r="C181" s="19" t="inlineStr">
        <is>
          <t>DEPARTMENT OF WATER MANAGEMENT</t>
        </is>
      </c>
      <c r="D181" s="19" t="inlineStr">
        <is>
          <t>ABC Humane Wildlife Control &amp; Prevention, Inc.</t>
        </is>
      </c>
      <c r="E181" s="20" t="inlineStr">
        <is>
          <t>LANDMARK PEST MANAGEMENT A DIVISION OF ABC HUMANE WILDLIFE. THIS SOLICITATION WAS ORGINALLY ADVERTISED ON 11/29/25, WITH BID OPENING DATE OF 6/20/25. THIS BID WAS CANCELLED. 2FM SUBMITTED A NEW CONTRACT REQUEST FOR A RE-BID ON 9/8/25</t>
        </is>
      </c>
      <c r="F181" s="21" t="n">
        <v>9034</v>
      </c>
      <c r="G181" s="19" t="inlineStr">
        <is>
          <t>1. Pending New Contract - Original Contract Expired. New Contract in Process</t>
        </is>
      </c>
      <c r="H181" s="19" t="inlineStr">
        <is>
          <t>H. One Time Purchase</t>
        </is>
      </c>
      <c r="I181" s="19" t="inlineStr">
        <is>
          <t>APPROVED</t>
        </is>
      </c>
      <c r="J181" s="19" t="inlineStr">
        <is>
          <t>Yes</t>
        </is>
      </c>
      <c r="K181" s="19" t="inlineStr">
        <is>
          <t>No</t>
        </is>
      </c>
      <c r="L181" s="19" t="n">
        <v>682957</v>
      </c>
      <c r="M181" s="19" t="inlineStr">
        <is>
          <t>RX682957</t>
        </is>
      </c>
      <c r="N181" s="19" t="inlineStr">
        <is>
          <t>E</t>
        </is>
      </c>
      <c r="O181" s="20" t="inlineStr">
        <is>
          <t>No linkage found in awarded contract file</t>
        </is>
      </c>
      <c r="P181" s="19" t="inlineStr"/>
      <c r="Q181" s="19" t="inlineStr"/>
      <c r="R181" s="31" t="inlineStr"/>
      <c r="S181" s="19" t="inlineStr"/>
      <c r="T181" s="19" t="inlineStr">
        <is>
          <t>No</t>
        </is>
      </c>
      <c r="U181" s="19" t="inlineStr">
        <is>
          <t>No</t>
        </is>
      </c>
      <c r="V181" s="19" t="inlineStr">
        <is>
          <t>No</t>
        </is>
      </c>
      <c r="W181" s="19" t="inlineStr">
        <is>
          <t>Yes</t>
        </is>
      </c>
    </row>
    <row r="182">
      <c r="A182" s="19" t="n">
        <v>715401</v>
      </c>
      <c r="B182" s="31" t="n">
        <v>46077</v>
      </c>
      <c r="C182" s="19" t="inlineStr">
        <is>
          <t>CHICAGO DEPARTMENT OF AVIATION</t>
        </is>
      </c>
      <c r="D182" s="19" t="inlineStr">
        <is>
          <t>AGAE CONTRACTORS, INC.</t>
        </is>
      </c>
      <c r="E182" s="20" t="inlineStr">
        <is>
          <t>Invoice Number: S3373-1Invoice Number: S3377-1Invoice Number: S3375-1Invoice Number: S3375-1-A</t>
        </is>
      </c>
      <c r="F182" s="21" t="n">
        <v>5190.68</v>
      </c>
      <c r="G182" s="19" t="inlineStr">
        <is>
          <t>1. Pending New Contract - Original Contract Expired. New Contract in Process</t>
        </is>
      </c>
      <c r="H182" s="19" t="inlineStr">
        <is>
          <t>A. Specification Development Phase</t>
        </is>
      </c>
      <c r="I182" s="19" t="inlineStr">
        <is>
          <t>APPROVED</t>
        </is>
      </c>
      <c r="J182" s="19" t="inlineStr">
        <is>
          <t>Yes</t>
        </is>
      </c>
      <c r="K182" s="19" t="inlineStr">
        <is>
          <t>No</t>
        </is>
      </c>
      <c r="L182" s="19" t="inlineStr"/>
      <c r="M182" s="19" t="inlineStr">
        <is>
          <t>RX607736</t>
        </is>
      </c>
      <c r="N182" s="19" t="inlineStr">
        <is>
          <t>E</t>
        </is>
      </c>
      <c r="O182" s="20" t="inlineStr">
        <is>
          <t>No linkage found in awarded contract file</t>
        </is>
      </c>
      <c r="P182" s="19" t="inlineStr"/>
      <c r="Q182" s="19" t="inlineStr"/>
      <c r="R182" s="31" t="inlineStr"/>
      <c r="S182" s="19" t="inlineStr"/>
      <c r="T182" s="19" t="inlineStr">
        <is>
          <t>No</t>
        </is>
      </c>
      <c r="U182" s="19" t="inlineStr">
        <is>
          <t>No</t>
        </is>
      </c>
      <c r="V182" s="19" t="inlineStr">
        <is>
          <t>No</t>
        </is>
      </c>
      <c r="W182" s="19" t="inlineStr">
        <is>
          <t>Yes</t>
        </is>
      </c>
    </row>
    <row r="183">
      <c r="A183" s="19" t="n">
        <v>737601</v>
      </c>
      <c r="B183" s="31" t="n">
        <v>46197</v>
      </c>
      <c r="C183" s="19" t="inlineStr">
        <is>
          <t>CHICAGO DEPARTMENT OF AVIATION</t>
        </is>
      </c>
      <c r="D183" s="19" t="inlineStr">
        <is>
          <t>BLUETRITON BRANDS INC</t>
        </is>
      </c>
      <c r="E183" s="20" t="inlineStr">
        <is>
          <t>Account Number: 6710421194 - Office Supplies Account Number: 0122238496 - Office Supplies</t>
        </is>
      </c>
      <c r="F183" s="21" t="n">
        <v>3196.08</v>
      </c>
      <c r="G183" s="19" t="inlineStr">
        <is>
          <t>1. Pending New Contract - Original Contract Expired. New Contract in Process</t>
        </is>
      </c>
      <c r="H183" s="19" t="inlineStr">
        <is>
          <t>A. Specification Development Phase</t>
        </is>
      </c>
      <c r="I183" s="19" t="inlineStr">
        <is>
          <t>APPROVED</t>
        </is>
      </c>
      <c r="J183" s="19" t="inlineStr">
        <is>
          <t>No</t>
        </is>
      </c>
      <c r="K183" s="19" t="inlineStr">
        <is>
          <t>No</t>
        </is>
      </c>
      <c r="L183" s="19" t="inlineStr"/>
      <c r="M183" s="19" t="inlineStr">
        <is>
          <t>VDBLUETRITON BRANDS</t>
        </is>
      </c>
      <c r="N183" s="19" t="inlineStr">
        <is>
          <t>E</t>
        </is>
      </c>
      <c r="O183" s="20" t="inlineStr">
        <is>
          <t>No linkage found in awarded contract file</t>
        </is>
      </c>
      <c r="P183" s="19" t="inlineStr"/>
      <c r="Q183" s="19" t="inlineStr"/>
      <c r="R183" s="31" t="inlineStr"/>
      <c r="S183" s="19" t="inlineStr"/>
      <c r="T183" s="19" t="inlineStr">
        <is>
          <t>No</t>
        </is>
      </c>
      <c r="U183" s="19" t="inlineStr">
        <is>
          <t>No</t>
        </is>
      </c>
      <c r="V183" s="19" t="inlineStr">
        <is>
          <t>No</t>
        </is>
      </c>
      <c r="W183" s="19" t="inlineStr">
        <is>
          <t>No</t>
        </is>
      </c>
    </row>
    <row r="184">
      <c r="A184" s="19" t="n">
        <v>725831</v>
      </c>
      <c r="B184" s="31" t="n">
        <v>46153</v>
      </c>
      <c r="C184" s="19" t="inlineStr">
        <is>
          <t>CHICAGO DEPARTMENT OF AVIATION</t>
        </is>
      </c>
      <c r="D184" s="19" t="inlineStr">
        <is>
          <t>P. R. STREICH &amp; SONS</t>
        </is>
      </c>
      <c r="E184" s="20" t="inlineStr">
        <is>
          <t>Transferred from APRF No. 511689.  ONE TIME PURCHASE OF TWENTY-FOUR (24) MOBILE COLUMN HOISTS WITH EXTENSION KITS1-MOD/Final 4/16/26 kf</t>
        </is>
      </c>
      <c r="F184" s="21" t="n">
        <v>0</v>
      </c>
      <c r="G184" s="19" t="inlineStr">
        <is>
          <t>3. One Time Purchase</t>
        </is>
      </c>
      <c r="H184" s="19" t="inlineStr">
        <is>
          <t>H. One Time Purchase</t>
        </is>
      </c>
      <c r="I184" s="19" t="inlineStr"/>
      <c r="J184" s="19" t="inlineStr">
        <is>
          <t>No</t>
        </is>
      </c>
      <c r="K184" s="19" t="inlineStr">
        <is>
          <t>No</t>
        </is>
      </c>
      <c r="L184" s="19" t="inlineStr"/>
      <c r="M184" s="19" t="inlineStr">
        <is>
          <t>VDP R STREICH SONS</t>
        </is>
      </c>
      <c r="N184" s="19" t="inlineStr">
        <is>
          <t>E</t>
        </is>
      </c>
      <c r="O184" s="20" t="inlineStr">
        <is>
          <t>No linkage found in awarded contract file</t>
        </is>
      </c>
      <c r="P184" s="19" t="inlineStr"/>
      <c r="Q184" s="19" t="inlineStr"/>
      <c r="R184" s="31" t="inlineStr"/>
      <c r="S184" s="19" t="inlineStr"/>
      <c r="T184" s="19" t="inlineStr">
        <is>
          <t>No</t>
        </is>
      </c>
      <c r="U184" s="19" t="inlineStr">
        <is>
          <t>No</t>
        </is>
      </c>
      <c r="V184" s="19" t="inlineStr">
        <is>
          <t>No</t>
        </is>
      </c>
      <c r="W184" s="19" t="inlineStr">
        <is>
          <t>No</t>
        </is>
      </c>
    </row>
    <row r="185">
      <c r="A185" s="19" t="n">
        <v>735090</v>
      </c>
      <c r="B185" s="31" t="n">
        <v>46183</v>
      </c>
      <c r="C185" s="19" t="inlineStr">
        <is>
          <t>CHICAGO POLICE DEPARTMENT</t>
        </is>
      </c>
      <c r="D185" s="19" t="inlineStr">
        <is>
          <t xml:space="preserve">REPUBLIC SERVICES INC </t>
        </is>
      </c>
      <c r="E185" s="20" t="inlineStr">
        <is>
          <t>Republic Services Inv# 0710-005866747</t>
        </is>
      </c>
      <c r="F185" s="21" t="n">
        <v>4040.66</v>
      </c>
      <c r="G185" s="19" t="inlineStr">
        <is>
          <t>1. Pending New Contract - Original Contract Expired. New Contract in Process</t>
        </is>
      </c>
      <c r="H185" s="19" t="inlineStr">
        <is>
          <t>A. Specification Development Phase</t>
        </is>
      </c>
      <c r="I185" s="19" t="inlineStr">
        <is>
          <t>APPROVED</t>
        </is>
      </c>
      <c r="J185" s="19" t="inlineStr">
        <is>
          <t>Yes</t>
        </is>
      </c>
      <c r="K185" s="19" t="inlineStr">
        <is>
          <t>No</t>
        </is>
      </c>
      <c r="L185" s="19" t="inlineStr"/>
      <c r="M185" s="19" t="inlineStr">
        <is>
          <t>RX669739</t>
        </is>
      </c>
      <c r="N185" s="19" t="inlineStr">
        <is>
          <t>E</t>
        </is>
      </c>
      <c r="O185" s="20" t="inlineStr">
        <is>
          <t>No linkage found in awarded contract file</t>
        </is>
      </c>
      <c r="P185" s="19" t="inlineStr"/>
      <c r="Q185" s="19" t="inlineStr"/>
      <c r="R185" s="31" t="inlineStr"/>
      <c r="S185" s="19" t="inlineStr"/>
      <c r="T185" s="19" t="inlineStr">
        <is>
          <t>No</t>
        </is>
      </c>
      <c r="U185" s="19" t="inlineStr">
        <is>
          <t>No</t>
        </is>
      </c>
      <c r="V185" s="19" t="inlineStr">
        <is>
          <t>No</t>
        </is>
      </c>
      <c r="W185" s="19" t="inlineStr">
        <is>
          <t>Yes</t>
        </is>
      </c>
    </row>
    <row r="186">
      <c r="A186" s="19" t="n">
        <v>737410</v>
      </c>
      <c r="B186" s="31" t="n">
        <v>46197</v>
      </c>
      <c r="C186" s="19" t="inlineStr">
        <is>
          <t>DEPARTMENT OF FLEET AND FACILITY MANAGEMENT</t>
        </is>
      </c>
      <c r="D186" s="19" t="inlineStr">
        <is>
          <t>C &amp; C COMMUNICATIONS IL</t>
        </is>
      </c>
      <c r="E186" s="20" t="inlineStr">
        <is>
          <t>CC COMMUNICATION 1032554 A JK/ PV/ INV# 3449/ $12,141.85/</t>
        </is>
      </c>
      <c r="F186" s="21" t="n">
        <v>12141.85</v>
      </c>
      <c r="G186" s="19" t="inlineStr">
        <is>
          <t>2. Pending Amendment/Modification - Line Item Addition / Vendor Limit Increase / Scope Change</t>
        </is>
      </c>
      <c r="H186" s="19" t="inlineStr">
        <is>
          <t>A. Specification Development Phase</t>
        </is>
      </c>
      <c r="I186" s="19" t="inlineStr">
        <is>
          <t>APPROVED</t>
        </is>
      </c>
      <c r="J186" s="19" t="inlineStr">
        <is>
          <t>No</t>
        </is>
      </c>
      <c r="K186" s="19" t="inlineStr">
        <is>
          <t>No</t>
        </is>
      </c>
      <c r="L186" s="19" t="inlineStr"/>
      <c r="M186" s="19" t="inlineStr">
        <is>
          <t>RX710994</t>
        </is>
      </c>
      <c r="N186" s="19" t="inlineStr">
        <is>
          <t>E</t>
        </is>
      </c>
      <c r="O186" s="20" t="inlineStr">
        <is>
          <t>No linkage found in awarded contract file</t>
        </is>
      </c>
      <c r="P186" s="19" t="inlineStr"/>
      <c r="Q186" s="19" t="inlineStr"/>
      <c r="R186" s="31" t="inlineStr"/>
      <c r="S186" s="19" t="inlineStr"/>
      <c r="T186" s="19" t="inlineStr">
        <is>
          <t>No</t>
        </is>
      </c>
      <c r="U186" s="19" t="inlineStr">
        <is>
          <t>No</t>
        </is>
      </c>
      <c r="V186" s="19" t="inlineStr">
        <is>
          <t>No</t>
        </is>
      </c>
      <c r="W186" s="19" t="inlineStr">
        <is>
          <t>No</t>
        </is>
      </c>
    </row>
    <row r="187">
      <c r="A187" s="19" t="n">
        <v>746156</v>
      </c>
      <c r="B187" s="31" t="n">
        <v>46251</v>
      </c>
      <c r="C187" s="19" t="inlineStr">
        <is>
          <t>DEPARTMENT OF FLEET AND FACILITY MANAGEMENT</t>
        </is>
      </c>
      <c r="D187" s="19" t="inlineStr">
        <is>
          <t>INDUSTRIAL FENCE INC.</t>
        </is>
      </c>
      <c r="E187" s="20" t="inlineStr">
        <is>
          <t>JK / VJ / INV# 26415 / $17,942.55</t>
        </is>
      </c>
      <c r="F187" s="21" t="n">
        <v>17942.55</v>
      </c>
      <c r="G187" s="19" t="inlineStr">
        <is>
          <t>1. Pending New Contract - Original Contract Expired. New Contract in Process</t>
        </is>
      </c>
      <c r="H187" s="19" t="inlineStr">
        <is>
          <t>A. Specification Development Phase</t>
        </is>
      </c>
      <c r="I187" s="19" t="inlineStr">
        <is>
          <t>APPROVED</t>
        </is>
      </c>
      <c r="J187" s="19" t="inlineStr">
        <is>
          <t>No</t>
        </is>
      </c>
      <c r="K187" s="19" t="inlineStr">
        <is>
          <t>No</t>
        </is>
      </c>
      <c r="L187" s="19" t="inlineStr">
        <is>
          <t>TBD</t>
        </is>
      </c>
      <c r="M187" s="19" t="inlineStr">
        <is>
          <t>RX596048</t>
        </is>
      </c>
      <c r="N187" s="19" t="inlineStr">
        <is>
          <t>E</t>
        </is>
      </c>
      <c r="O187" s="20" t="inlineStr">
        <is>
          <t>No linkage found in awarded contract file</t>
        </is>
      </c>
      <c r="P187" s="19" t="inlineStr"/>
      <c r="Q187" s="19" t="inlineStr"/>
      <c r="R187" s="31" t="inlineStr"/>
      <c r="S187" s="19" t="inlineStr"/>
      <c r="T187" s="19" t="inlineStr">
        <is>
          <t>No</t>
        </is>
      </c>
      <c r="U187" s="19" t="inlineStr">
        <is>
          <t>No</t>
        </is>
      </c>
      <c r="V187" s="19" t="inlineStr">
        <is>
          <t>No</t>
        </is>
      </c>
      <c r="W187" s="19" t="inlineStr">
        <is>
          <t>No</t>
        </is>
      </c>
    </row>
    <row r="188">
      <c r="A188" s="19" t="n">
        <v>733996</v>
      </c>
      <c r="B188" s="31" t="n">
        <v>46177</v>
      </c>
      <c r="C188" s="19" t="inlineStr">
        <is>
          <t>DEPARTMENT OF WATER MANAGEMENT</t>
        </is>
      </c>
      <c r="D188" s="19" t="inlineStr">
        <is>
          <t>SUMIT CONSTRUCTION CO., INC.</t>
        </is>
      </c>
      <c r="E188" s="20" t="inlineStr">
        <is>
          <t>Street and Parkway Restoration Central North Region</t>
        </is>
      </c>
      <c r="F188" s="21" t="n">
        <v>15780.52</v>
      </c>
      <c r="G188" s="19" t="inlineStr">
        <is>
          <t>1. Pending New Contract - Original Contract Expired. New Contract in Process</t>
        </is>
      </c>
      <c r="H188" s="19" t="inlineStr">
        <is>
          <t>H. One Time Purchase</t>
        </is>
      </c>
      <c r="I188" s="19" t="inlineStr">
        <is>
          <t>APPROVED</t>
        </is>
      </c>
      <c r="J188" s="19" t="inlineStr">
        <is>
          <t>Yes</t>
        </is>
      </c>
      <c r="K188" s="19" t="inlineStr">
        <is>
          <t>Yes</t>
        </is>
      </c>
      <c r="L188" s="19" t="n">
        <v>304519</v>
      </c>
      <c r="M188" s="19" t="inlineStr">
        <is>
          <t>RX492778</t>
        </is>
      </c>
      <c r="N188" s="19" t="inlineStr">
        <is>
          <t>C</t>
        </is>
      </c>
      <c r="O188" s="20" t="inlineStr">
        <is>
          <t>Vendor name match only (similarity 0.07)</t>
        </is>
      </c>
      <c r="P188" s="19" t="inlineStr">
        <is>
          <t>383508</t>
        </is>
      </c>
      <c r="Q188" s="19" t="inlineStr">
        <is>
          <t>SUMIT CONSTRUCTION CO., INC.</t>
        </is>
      </c>
      <c r="R188" s="31" t="n">
        <v>46094</v>
      </c>
      <c r="S188" s="19" t="inlineStr">
        <is>
          <t>BID</t>
        </is>
      </c>
      <c r="T188" s="19" t="inlineStr">
        <is>
          <t>Yes</t>
        </is>
      </c>
      <c r="U188" s="19" t="inlineStr">
        <is>
          <t>No</t>
        </is>
      </c>
      <c r="V188" s="19" t="inlineStr">
        <is>
          <t>No</t>
        </is>
      </c>
      <c r="W188" s="19" t="inlineStr">
        <is>
          <t>Yes</t>
        </is>
      </c>
    </row>
    <row r="189">
      <c r="A189" s="19" t="n">
        <v>733323</v>
      </c>
      <c r="B189" s="31" t="n">
        <v>46177</v>
      </c>
      <c r="C189" s="19" t="inlineStr">
        <is>
          <t>DEPARTMENT OF WATER MANAGEMENT</t>
        </is>
      </c>
      <c r="D189" s="19" t="inlineStr">
        <is>
          <t>SUMIT CONSTRUCTION CO., INC.</t>
        </is>
      </c>
      <c r="E189" s="20" t="inlineStr">
        <is>
          <t>Street and Parkway Restoration cental North Region</t>
        </is>
      </c>
      <c r="F189" s="21" t="n">
        <v>1887067.59</v>
      </c>
      <c r="G189" s="19" t="inlineStr">
        <is>
          <t>1. Pending New Contract - Original Contract Expired. New Contract in Process</t>
        </is>
      </c>
      <c r="H189" s="19" t="inlineStr">
        <is>
          <t>H. One Time Purchase</t>
        </is>
      </c>
      <c r="I189" s="19" t="inlineStr">
        <is>
          <t>APPROVED</t>
        </is>
      </c>
      <c r="J189" s="19" t="inlineStr">
        <is>
          <t>Yes</t>
        </is>
      </c>
      <c r="K189" s="19" t="inlineStr">
        <is>
          <t>Yes</t>
        </is>
      </c>
      <c r="L189" s="19" t="n">
        <v>304519</v>
      </c>
      <c r="M189" s="19" t="inlineStr">
        <is>
          <t>RX492778</t>
        </is>
      </c>
      <c r="N189" s="19" t="inlineStr">
        <is>
          <t>C</t>
        </is>
      </c>
      <c r="O189" s="20" t="inlineStr">
        <is>
          <t>Vendor name match only (similarity 0.00)</t>
        </is>
      </c>
      <c r="P189" s="19" t="inlineStr">
        <is>
          <t>385131</t>
        </is>
      </c>
      <c r="Q189" s="19" t="inlineStr">
        <is>
          <t>SUMIT CONSTRUCTION CO., INC.</t>
        </is>
      </c>
      <c r="R189" s="31" t="n">
        <v>46127</v>
      </c>
      <c r="S189" s="19" t="inlineStr">
        <is>
          <t>BID</t>
        </is>
      </c>
      <c r="T189" s="19" t="inlineStr">
        <is>
          <t>Yes</t>
        </is>
      </c>
      <c r="U189" s="19" t="inlineStr">
        <is>
          <t>No</t>
        </is>
      </c>
      <c r="V189" s="19" t="inlineStr">
        <is>
          <t>No</t>
        </is>
      </c>
      <c r="W189" s="19" t="inlineStr">
        <is>
          <t>Yes</t>
        </is>
      </c>
    </row>
    <row r="190">
      <c r="A190" s="19" t="n">
        <v>743640</v>
      </c>
      <c r="B190" s="31" t="n">
        <v>46238</v>
      </c>
      <c r="C190" s="19" t="inlineStr">
        <is>
          <t>DEPARTMENT OF FLEET AND FACILITY MANAGEMENT</t>
        </is>
      </c>
      <c r="D190" s="19" t="inlineStr">
        <is>
          <t>ARLINGTON GLASS &amp; MIRROR</t>
        </is>
      </c>
      <c r="E190" s="20" t="inlineStr">
        <is>
          <t>WB/AO/INVOICE#74763/$1890.00</t>
        </is>
      </c>
      <c r="F190" s="21" t="n">
        <v>1890</v>
      </c>
      <c r="G190" s="19" t="inlineStr">
        <is>
          <t>1. Pending New Contract - Original Contract Expired. New Contract in Process</t>
        </is>
      </c>
      <c r="H190" s="19" t="inlineStr">
        <is>
          <t>A. Specification Development Phase</t>
        </is>
      </c>
      <c r="I190" s="19" t="inlineStr">
        <is>
          <t>APPROVED</t>
        </is>
      </c>
      <c r="J190" s="19" t="inlineStr">
        <is>
          <t>Yes</t>
        </is>
      </c>
      <c r="K190" s="19" t="inlineStr">
        <is>
          <t>No</t>
        </is>
      </c>
      <c r="L190" s="19" t="inlineStr"/>
      <c r="M190" s="19" t="inlineStr">
        <is>
          <t>RX647383</t>
        </is>
      </c>
      <c r="N190" s="19" t="inlineStr">
        <is>
          <t>E</t>
        </is>
      </c>
      <c r="O190" s="20" t="inlineStr">
        <is>
          <t>No linkage found in awarded contract file</t>
        </is>
      </c>
      <c r="P190" s="19" t="inlineStr"/>
      <c r="Q190" s="19" t="inlineStr"/>
      <c r="R190" s="31" t="inlineStr"/>
      <c r="S190" s="19" t="inlineStr"/>
      <c r="T190" s="19" t="inlineStr">
        <is>
          <t>No</t>
        </is>
      </c>
      <c r="U190" s="19" t="inlineStr">
        <is>
          <t>No</t>
        </is>
      </c>
      <c r="V190" s="19" t="inlineStr">
        <is>
          <t>No</t>
        </is>
      </c>
      <c r="W190" s="19" t="inlineStr">
        <is>
          <t>Yes</t>
        </is>
      </c>
    </row>
    <row r="191">
      <c r="A191" s="19" t="n">
        <v>744307</v>
      </c>
      <c r="B191" s="31" t="n">
        <v>46238</v>
      </c>
      <c r="C191" s="19" t="inlineStr">
        <is>
          <t>DEPARTMENT OF FLEET AND FACILITY MANAGEMENT</t>
        </is>
      </c>
      <c r="D191" s="19" t="inlineStr">
        <is>
          <t>PRESSURE WASHING SYSTEMS</t>
        </is>
      </c>
      <c r="E191" s="20" t="inlineStr">
        <is>
          <t>WB/MM/4INVOICES/$3016.00</t>
        </is>
      </c>
      <c r="F191" s="21" t="n">
        <v>3016</v>
      </c>
      <c r="G191" s="19" t="inlineStr">
        <is>
          <t>1. Pending New Contract - Original Contract Expired. New Contract in Process</t>
        </is>
      </c>
      <c r="H191" s="19" t="inlineStr">
        <is>
          <t>B. City Law Review</t>
        </is>
      </c>
      <c r="I191" s="19" t="inlineStr">
        <is>
          <t>APPROVED</t>
        </is>
      </c>
      <c r="J191" s="19" t="inlineStr">
        <is>
          <t>Yes</t>
        </is>
      </c>
      <c r="K191" s="19" t="inlineStr">
        <is>
          <t>No</t>
        </is>
      </c>
      <c r="L191" s="19" t="inlineStr"/>
      <c r="M191" s="19" t="inlineStr">
        <is>
          <t>RX717990</t>
        </is>
      </c>
      <c r="N191" s="19" t="inlineStr">
        <is>
          <t>E</t>
        </is>
      </c>
      <c r="O191" s="20" t="inlineStr">
        <is>
          <t>No linkage found in awarded contract file</t>
        </is>
      </c>
      <c r="P191" s="19" t="inlineStr"/>
      <c r="Q191" s="19" t="inlineStr"/>
      <c r="R191" s="31" t="inlineStr"/>
      <c r="S191" s="19" t="inlineStr"/>
      <c r="T191" s="19" t="inlineStr">
        <is>
          <t>No</t>
        </is>
      </c>
      <c r="U191" s="19" t="inlineStr">
        <is>
          <t>No</t>
        </is>
      </c>
      <c r="V191" s="19" t="inlineStr">
        <is>
          <t>No</t>
        </is>
      </c>
      <c r="W191" s="19" t="inlineStr">
        <is>
          <t>Yes</t>
        </is>
      </c>
    </row>
    <row r="192">
      <c r="A192" s="19" t="n">
        <v>710970</v>
      </c>
      <c r="B192" s="31" t="n">
        <v>46051</v>
      </c>
      <c r="C192" s="19" t="inlineStr">
        <is>
          <t>DEPARTMENT OF FINANCE</t>
        </is>
      </c>
      <c r="D192" s="19" t="inlineStr">
        <is>
          <t>Volcanic Bikes</t>
        </is>
      </c>
      <c r="E192" s="20" t="inlineStr">
        <is>
          <t>eBicycle purchase for Parking Enforcement Aides</t>
        </is>
      </c>
      <c r="F192" s="21" t="n">
        <v>61200</v>
      </c>
      <c r="G192" s="19" t="inlineStr">
        <is>
          <t>3. One Time Purchase</t>
        </is>
      </c>
      <c r="H192" s="19" t="inlineStr">
        <is>
          <t>H. One Time Purchase</t>
        </is>
      </c>
      <c r="I192" s="19" t="inlineStr">
        <is>
          <t>APPROVED</t>
        </is>
      </c>
      <c r="J192" s="19" t="inlineStr">
        <is>
          <t>No</t>
        </is>
      </c>
      <c r="K192" s="19" t="inlineStr">
        <is>
          <t>No</t>
        </is>
      </c>
      <c r="L192" s="19" t="n">
        <v>127702</v>
      </c>
      <c r="M192" s="19" t="inlineStr">
        <is>
          <t>RX605420</t>
        </is>
      </c>
      <c r="N192" s="19" t="inlineStr">
        <is>
          <t>E</t>
        </is>
      </c>
      <c r="O192" s="20" t="inlineStr">
        <is>
          <t>No linkage found in awarded contract file</t>
        </is>
      </c>
      <c r="P192" s="19" t="inlineStr"/>
      <c r="Q192" s="19" t="inlineStr"/>
      <c r="R192" s="31" t="inlineStr"/>
      <c r="S192" s="19" t="inlineStr"/>
      <c r="T192" s="19" t="inlineStr">
        <is>
          <t>No</t>
        </is>
      </c>
      <c r="U192" s="19" t="inlineStr">
        <is>
          <t>No</t>
        </is>
      </c>
      <c r="V192" s="19" t="inlineStr">
        <is>
          <t>No</t>
        </is>
      </c>
      <c r="W192" s="19" t="inlineStr">
        <is>
          <t>No</t>
        </is>
      </c>
    </row>
    <row r="193">
      <c r="A193" s="19" t="n">
        <v>725886</v>
      </c>
      <c r="B193" s="31" t="n">
        <v>46136</v>
      </c>
      <c r="C193" s="19" t="inlineStr">
        <is>
          <t>DEPARTMENT OF BUILDINGS</t>
        </is>
      </c>
      <c r="D193" s="19" t="inlineStr">
        <is>
          <t>A &amp; D PROPERTY SERVICES, INC.</t>
        </is>
      </c>
      <c r="E193" s="20" t="inlineStr">
        <is>
          <t>BOARD UP SERVICES</t>
        </is>
      </c>
      <c r="F193" s="21" t="n">
        <v>96300</v>
      </c>
      <c r="G193" s="19" t="inlineStr">
        <is>
          <t>1. Pending New Contract - Original Contract Expired. New Contract in Process</t>
        </is>
      </c>
      <c r="H193" s="19" t="inlineStr">
        <is>
          <t>B. City Law Review</t>
        </is>
      </c>
      <c r="I193" s="19" t="inlineStr">
        <is>
          <t>APPROVED</t>
        </is>
      </c>
      <c r="J193" s="19" t="inlineStr">
        <is>
          <t>Yes</t>
        </is>
      </c>
      <c r="K193" s="19" t="inlineStr">
        <is>
          <t>No</t>
        </is>
      </c>
      <c r="L193" s="19" t="n">
        <v>32040</v>
      </c>
      <c r="M193" s="19" t="inlineStr">
        <is>
          <t>RX659422</t>
        </is>
      </c>
      <c r="N193" s="19" t="inlineStr">
        <is>
          <t>E</t>
        </is>
      </c>
      <c r="O193" s="20" t="inlineStr">
        <is>
          <t>No linkage found in awarded contract file</t>
        </is>
      </c>
      <c r="P193" s="19" t="inlineStr"/>
      <c r="Q193" s="19" t="inlineStr"/>
      <c r="R193" s="31" t="inlineStr"/>
      <c r="S193" s="19" t="inlineStr"/>
      <c r="T193" s="19" t="inlineStr">
        <is>
          <t>No</t>
        </is>
      </c>
      <c r="U193" s="19" t="inlineStr">
        <is>
          <t>No</t>
        </is>
      </c>
      <c r="V193" s="19" t="inlineStr">
        <is>
          <t>No</t>
        </is>
      </c>
      <c r="W193" s="19" t="inlineStr">
        <is>
          <t>Yes</t>
        </is>
      </c>
    </row>
    <row r="194">
      <c r="A194" s="19" t="n">
        <v>738666</v>
      </c>
      <c r="B194" s="31" t="n">
        <v>46226</v>
      </c>
      <c r="C194" s="19" t="inlineStr">
        <is>
          <t>DEPARTMENT OF FLEET AND FACILITY MANAGEMENT</t>
        </is>
      </c>
      <c r="D194" s="19" t="inlineStr"/>
      <c r="E194" s="20" t="inlineStr">
        <is>
          <t>LIFT TRUCKS, SCISSOR LIFTS AND PALLET JACKS- GROUPS: A, B, C, D, E &amp; F</t>
        </is>
      </c>
      <c r="F194" s="21" t="n">
        <v>0</v>
      </c>
      <c r="G194" s="19" t="inlineStr"/>
      <c r="H194" s="19" t="inlineStr"/>
      <c r="I194" s="19" t="inlineStr">
        <is>
          <t>APPROVED</t>
        </is>
      </c>
      <c r="J194" s="19" t="inlineStr"/>
      <c r="K194" s="19" t="inlineStr">
        <is>
          <t>No</t>
        </is>
      </c>
      <c r="L194" s="19" t="inlineStr"/>
      <c r="M194" s="19" t="inlineStr">
        <is>
          <t>VDUNKNOWN</t>
        </is>
      </c>
      <c r="N194" s="19" t="inlineStr">
        <is>
          <t>E</t>
        </is>
      </c>
      <c r="O194" s="20" t="inlineStr">
        <is>
          <t>No linkage found in awarded contract file</t>
        </is>
      </c>
      <c r="P194" s="19" t="inlineStr"/>
      <c r="Q194" s="19" t="inlineStr"/>
      <c r="R194" s="31" t="inlineStr"/>
      <c r="S194" s="19" t="inlineStr"/>
      <c r="T194" s="19" t="inlineStr">
        <is>
          <t>No</t>
        </is>
      </c>
      <c r="U194" s="19" t="inlineStr">
        <is>
          <t>No</t>
        </is>
      </c>
      <c r="V194" s="19" t="inlineStr">
        <is>
          <t>No</t>
        </is>
      </c>
      <c r="W194" s="19" t="inlineStr">
        <is>
          <t>No</t>
        </is>
      </c>
    </row>
    <row r="195">
      <c r="A195" s="19" t="n">
        <v>736350</v>
      </c>
      <c r="B195" s="31" t="n">
        <v>46189</v>
      </c>
      <c r="C195" s="19" t="inlineStr">
        <is>
          <t>CHICAGO POLICE DEPARTMENT</t>
        </is>
      </c>
      <c r="D195" s="19" t="inlineStr">
        <is>
          <t>LEGEND &amp; WHITE ANIMAL HEALTH</t>
        </is>
      </c>
      <c r="E195" s="20" t="inlineStr">
        <is>
          <t>Various Dog Food - MTU - Unit 701</t>
        </is>
      </c>
      <c r="F195" s="21" t="n">
        <v>7930.18</v>
      </c>
      <c r="G195" s="19" t="inlineStr">
        <is>
          <t>1. Pending New Contract - Original Contract Expired. New Contract in Process</t>
        </is>
      </c>
      <c r="H195" s="19" t="inlineStr">
        <is>
          <t>A. Specification Development Phase</t>
        </is>
      </c>
      <c r="I195" s="19" t="inlineStr">
        <is>
          <t>APPROVED</t>
        </is>
      </c>
      <c r="J195" s="19" t="inlineStr">
        <is>
          <t>Yes</t>
        </is>
      </c>
      <c r="K195" s="19" t="inlineStr">
        <is>
          <t>No</t>
        </is>
      </c>
      <c r="L195" s="19" t="inlineStr"/>
      <c r="M195" s="19" t="inlineStr">
        <is>
          <t>RX643941</t>
        </is>
      </c>
      <c r="N195" s="19" t="inlineStr">
        <is>
          <t>E</t>
        </is>
      </c>
      <c r="O195" s="20" t="inlineStr">
        <is>
          <t>No linkage found in awarded contract file</t>
        </is>
      </c>
      <c r="P195" s="19" t="inlineStr"/>
      <c r="Q195" s="19" t="inlineStr"/>
      <c r="R195" s="31" t="inlineStr"/>
      <c r="S195" s="19" t="inlineStr"/>
      <c r="T195" s="19" t="inlineStr">
        <is>
          <t>No</t>
        </is>
      </c>
      <c r="U195" s="19" t="inlineStr">
        <is>
          <t>No</t>
        </is>
      </c>
      <c r="V195" s="19" t="inlineStr">
        <is>
          <t>No</t>
        </is>
      </c>
      <c r="W195" s="19" t="inlineStr">
        <is>
          <t>Yes</t>
        </is>
      </c>
    </row>
    <row r="196">
      <c r="A196" s="19" t="n">
        <v>746507</v>
      </c>
      <c r="B196" s="31" t="n">
        <v>46253</v>
      </c>
      <c r="C196" s="19" t="inlineStr">
        <is>
          <t>DEPARTMENT OF FAMILY AND SUPPORT SERVICES</t>
        </is>
      </c>
      <c r="D196" s="19" t="inlineStr">
        <is>
          <t>ACCURATE BIOMETRICS INC</t>
        </is>
      </c>
      <c r="E196" s="20" t="inlineStr">
        <is>
          <t>Exhibit B_$9865</t>
        </is>
      </c>
      <c r="F196" s="21" t="n">
        <v>9865</v>
      </c>
      <c r="G196" s="19" t="inlineStr">
        <is>
          <t>4. Invoice Reconciliation - Invoice Received after Contract Expiration</t>
        </is>
      </c>
      <c r="H196" s="19" t="inlineStr">
        <is>
          <t>G. Not Applicable (Office Depot use Only)</t>
        </is>
      </c>
      <c r="I196" s="19" t="inlineStr">
        <is>
          <t>APPROVED</t>
        </is>
      </c>
      <c r="J196" s="19" t="inlineStr">
        <is>
          <t>Yes</t>
        </is>
      </c>
      <c r="K196" s="19" t="inlineStr">
        <is>
          <t>Yes</t>
        </is>
      </c>
      <c r="L196" s="19" t="n">
        <v>53096</v>
      </c>
      <c r="M196" s="19" t="inlineStr">
        <is>
          <t>RX734523</t>
        </is>
      </c>
      <c r="N196" s="19" t="inlineStr">
        <is>
          <t>E</t>
        </is>
      </c>
      <c r="O196" s="20" t="inlineStr">
        <is>
          <t>No linkage found in awarded contract file</t>
        </is>
      </c>
      <c r="P196" s="19" t="inlineStr"/>
      <c r="Q196" s="19" t="inlineStr"/>
      <c r="R196" s="31" t="inlineStr"/>
      <c r="S196" s="19" t="inlineStr"/>
      <c r="T196" s="19" t="inlineStr">
        <is>
          <t>No</t>
        </is>
      </c>
      <c r="U196" s="19" t="inlineStr">
        <is>
          <t>No</t>
        </is>
      </c>
      <c r="V196" s="19" t="inlineStr">
        <is>
          <t>No</t>
        </is>
      </c>
      <c r="W196" s="19" t="inlineStr">
        <is>
          <t>No</t>
        </is>
      </c>
    </row>
    <row r="197">
      <c r="A197" s="19" t="n">
        <v>736736</v>
      </c>
      <c r="B197" s="31" t="n">
        <v>46195</v>
      </c>
      <c r="C197" s="19" t="inlineStr">
        <is>
          <t>DEPARTMENT OF FLEET AND FACILITY MANAGEMENT</t>
        </is>
      </c>
      <c r="D197" s="19" t="inlineStr">
        <is>
          <t>C &amp; C COMMUNICATIONS IL</t>
        </is>
      </c>
      <c r="E197" s="20" t="inlineStr">
        <is>
          <t>PSA Lead Dept.  2FM utilizes PO 102767 for the purchase and repair of comdial/vertical tier 1 phone equipment, products and technical support services.  PSA submitted RX 710994 for a TE/VLI request to DPS on 1/30/26.  The mod is currently u</t>
        </is>
      </c>
      <c r="F197" s="21" t="n">
        <v>9092.780000000001</v>
      </c>
      <c r="G197" s="19" t="inlineStr">
        <is>
          <t>2. Pending Amendment/Modification - Line Item Addition / Vendor Limit Increase / Scope Change</t>
        </is>
      </c>
      <c r="H197" s="19" t="inlineStr">
        <is>
          <t>A. Specification Development Phase</t>
        </is>
      </c>
      <c r="I197" s="19" t="inlineStr">
        <is>
          <t>APPROVED</t>
        </is>
      </c>
      <c r="J197" s="19" t="inlineStr">
        <is>
          <t>No</t>
        </is>
      </c>
      <c r="K197" s="19" t="inlineStr">
        <is>
          <t>No</t>
        </is>
      </c>
      <c r="L197" s="19" t="inlineStr"/>
      <c r="M197" s="19" t="inlineStr">
        <is>
          <t>RX710994</t>
        </is>
      </c>
      <c r="N197" s="19" t="inlineStr">
        <is>
          <t>E</t>
        </is>
      </c>
      <c r="O197" s="20" t="inlineStr">
        <is>
          <t>No linkage found in awarded contract file</t>
        </is>
      </c>
      <c r="P197" s="19" t="inlineStr"/>
      <c r="Q197" s="19" t="inlineStr"/>
      <c r="R197" s="31" t="inlineStr"/>
      <c r="S197" s="19" t="inlineStr"/>
      <c r="T197" s="19" t="inlineStr">
        <is>
          <t>No</t>
        </is>
      </c>
      <c r="U197" s="19" t="inlineStr">
        <is>
          <t>No</t>
        </is>
      </c>
      <c r="V197" s="19" t="inlineStr">
        <is>
          <t>No</t>
        </is>
      </c>
      <c r="W197" s="19" t="inlineStr">
        <is>
          <t>No</t>
        </is>
      </c>
    </row>
    <row r="198">
      <c r="A198" s="19" t="n">
        <v>741590</v>
      </c>
      <c r="B198" s="31" t="n">
        <v>46223</v>
      </c>
      <c r="C198" s="19" t="inlineStr">
        <is>
          <t>DEPARTMENT OF FLEET AND FACILITY MANAGEMENT</t>
        </is>
      </c>
      <c r="D198" s="19" t="inlineStr">
        <is>
          <t>A SAFE HAVEN FOUNDATION</t>
        </is>
      </c>
      <c r="E198" s="20" t="inlineStr">
        <is>
          <t>CDOT Lead Dept. 2FM utlized PO#30816 for Citywide Comprehensive Landscape Services for Region I. The contract expired 12/15/2023 and the vendor did not accept the time extension contract amendment. CDOT submitted a new contract request to D</t>
        </is>
      </c>
      <c r="F198" s="21" t="n">
        <v>80609.55</v>
      </c>
      <c r="G198" s="19" t="inlineStr">
        <is>
          <t>1. Pending New Contract - Original Contract Expired. New Contract in Process</t>
        </is>
      </c>
      <c r="H198" s="19" t="inlineStr">
        <is>
          <t>B. City Law Review</t>
        </is>
      </c>
      <c r="I198" s="19" t="inlineStr">
        <is>
          <t>APPROVED</t>
        </is>
      </c>
      <c r="J198" s="19" t="inlineStr">
        <is>
          <t>Yes</t>
        </is>
      </c>
      <c r="K198" s="19" t="inlineStr">
        <is>
          <t>No</t>
        </is>
      </c>
      <c r="L198" s="19" t="inlineStr"/>
      <c r="M198" s="19" t="inlineStr">
        <is>
          <t>RX596443</t>
        </is>
      </c>
      <c r="N198" s="19" t="inlineStr">
        <is>
          <t>E</t>
        </is>
      </c>
      <c r="O198" s="20" t="inlineStr">
        <is>
          <t>No linkage found in awarded contract file</t>
        </is>
      </c>
      <c r="P198" s="19" t="inlineStr"/>
      <c r="Q198" s="19" t="inlineStr"/>
      <c r="R198" s="31" t="inlineStr"/>
      <c r="S198" s="19" t="inlineStr"/>
      <c r="T198" s="19" t="inlineStr">
        <is>
          <t>No</t>
        </is>
      </c>
      <c r="U198" s="19" t="inlineStr">
        <is>
          <t>No</t>
        </is>
      </c>
      <c r="V198" s="19" t="inlineStr">
        <is>
          <t>No</t>
        </is>
      </c>
      <c r="W198" s="19" t="inlineStr">
        <is>
          <t>Yes</t>
        </is>
      </c>
    </row>
    <row r="199">
      <c r="A199" s="19" t="n">
        <v>728311</v>
      </c>
      <c r="B199" s="31" t="n">
        <v>46142</v>
      </c>
      <c r="C199" s="19" t="inlineStr">
        <is>
          <t>DEPARTMENT OF FLEET AND FACILITY MANAGEMENT</t>
        </is>
      </c>
      <c r="D199" s="19" t="inlineStr">
        <is>
          <t>KING TRANSMISSION CO INC</t>
        </is>
      </c>
      <c r="E199" s="20" t="inlineStr">
        <is>
          <t>King Transmission had a contract (PO 34964) with the City that expired 4/19/24. 2FM submitted a TE Request that was rejected by DPS due to King's inability to comply with M/WBE requirements. King requested a waiver twice and was rejected bo</t>
        </is>
      </c>
      <c r="F199" s="21" t="n">
        <v>12085</v>
      </c>
      <c r="G199" s="19" t="inlineStr">
        <is>
          <t>1. Pending New Contract - Original Contract Expired. New Contract in Process</t>
        </is>
      </c>
      <c r="H199" s="19" t="inlineStr">
        <is>
          <t>B. City Law Review</t>
        </is>
      </c>
      <c r="I199" s="19" t="inlineStr">
        <is>
          <t>APPROVED</t>
        </is>
      </c>
      <c r="J199" s="19" t="inlineStr">
        <is>
          <t>Yes</t>
        </is>
      </c>
      <c r="K199" s="19" t="inlineStr">
        <is>
          <t>No</t>
        </is>
      </c>
      <c r="L199" s="19" t="inlineStr"/>
      <c r="M199" s="19" t="inlineStr">
        <is>
          <t>RX590958</t>
        </is>
      </c>
      <c r="N199" s="19" t="inlineStr">
        <is>
          <t>E</t>
        </is>
      </c>
      <c r="O199" s="20" t="inlineStr">
        <is>
          <t>No linkage found in awarded contract file</t>
        </is>
      </c>
      <c r="P199" s="19" t="inlineStr"/>
      <c r="Q199" s="19" t="inlineStr"/>
      <c r="R199" s="31" t="inlineStr"/>
      <c r="S199" s="19" t="inlineStr"/>
      <c r="T199" s="19" t="inlineStr">
        <is>
          <t>No</t>
        </is>
      </c>
      <c r="U199" s="19" t="inlineStr">
        <is>
          <t>No</t>
        </is>
      </c>
      <c r="V199" s="19" t="inlineStr">
        <is>
          <t>No</t>
        </is>
      </c>
      <c r="W199" s="19" t="inlineStr">
        <is>
          <t>Yes</t>
        </is>
      </c>
    </row>
    <row r="200">
      <c r="A200" s="19" t="n">
        <v>728312</v>
      </c>
      <c r="B200" s="31" t="n">
        <v>46142</v>
      </c>
      <c r="C200" s="19" t="inlineStr">
        <is>
          <t>DEPARTMENT OF FLEET AND FACILITY MANAGEMENT</t>
        </is>
      </c>
      <c r="D200" s="19" t="inlineStr">
        <is>
          <t>KING TRANSMISSION CO INC</t>
        </is>
      </c>
      <c r="E200" s="20" t="inlineStr">
        <is>
          <t>King Transmission had a contract (PO 34964) with the City that expired 4/19/24. 2FM submitted a TE Request that was rejected by DPS due to King's inability to comply with M/WBE requirements. King requested a waiver twice and was rejected bo</t>
        </is>
      </c>
      <c r="F200" s="21" t="n">
        <v>22046</v>
      </c>
      <c r="G200" s="19" t="inlineStr">
        <is>
          <t>1. Pending New Contract - Original Contract Expired. New Contract in Process</t>
        </is>
      </c>
      <c r="H200" s="19" t="inlineStr">
        <is>
          <t>B. City Law Review</t>
        </is>
      </c>
      <c r="I200" s="19" t="inlineStr">
        <is>
          <t>APPROVED</t>
        </is>
      </c>
      <c r="J200" s="19" t="inlineStr">
        <is>
          <t>Yes</t>
        </is>
      </c>
      <c r="K200" s="19" t="inlineStr">
        <is>
          <t>No</t>
        </is>
      </c>
      <c r="L200" s="19" t="inlineStr"/>
      <c r="M200" s="19" t="inlineStr">
        <is>
          <t>RX590958</t>
        </is>
      </c>
      <c r="N200" s="19" t="inlineStr">
        <is>
          <t>E</t>
        </is>
      </c>
      <c r="O200" s="20" t="inlineStr">
        <is>
          <t>No linkage found in awarded contract file</t>
        </is>
      </c>
      <c r="P200" s="19" t="inlineStr"/>
      <c r="Q200" s="19" t="inlineStr"/>
      <c r="R200" s="31" t="inlineStr"/>
      <c r="S200" s="19" t="inlineStr"/>
      <c r="T200" s="19" t="inlineStr">
        <is>
          <t>No</t>
        </is>
      </c>
      <c r="U200" s="19" t="inlineStr">
        <is>
          <t>No</t>
        </is>
      </c>
      <c r="V200" s="19" t="inlineStr">
        <is>
          <t>No</t>
        </is>
      </c>
      <c r="W200" s="19" t="inlineStr">
        <is>
          <t>Yes</t>
        </is>
      </c>
    </row>
    <row r="201">
      <c r="A201" s="19" t="n">
        <v>738311</v>
      </c>
      <c r="B201" s="31" t="n">
        <v>46203</v>
      </c>
      <c r="C201" s="19" t="inlineStr">
        <is>
          <t>DEPARTMENT OF FLEET AND FACILITY MANAGEMENT</t>
        </is>
      </c>
      <c r="D201" s="19" t="inlineStr">
        <is>
          <t>WISS, JANNEY, ELSTNER, &amp; ASSOCIATES, INC.</t>
        </is>
      </c>
      <c r="E201" s="20" t="inlineStr">
        <is>
          <t>Current Spec 127930's Scope of services for this Exhibit B is outside of the current contract. Additional language was added to the new Specification for A/E, Spec#132104 Req.#607835, to address this scope gap in the future. Spec#132104 Req</t>
        </is>
      </c>
      <c r="F201" s="21" t="n">
        <v>29174.54</v>
      </c>
      <c r="G201" s="19" t="inlineStr">
        <is>
          <t>1. Pending New Contract - Original Contract Expired. New Contract in Process</t>
        </is>
      </c>
      <c r="H201" s="19" t="inlineStr">
        <is>
          <t>H. One Time Purchase</t>
        </is>
      </c>
      <c r="I201" s="19" t="inlineStr">
        <is>
          <t>APPROVED</t>
        </is>
      </c>
      <c r="J201" s="19" t="inlineStr">
        <is>
          <t>Yes</t>
        </is>
      </c>
      <c r="K201" s="19" t="inlineStr">
        <is>
          <t>No</t>
        </is>
      </c>
      <c r="L201" s="19" t="n">
        <v>203199</v>
      </c>
      <c r="M201" s="19" t="inlineStr">
        <is>
          <t>RX607835</t>
        </is>
      </c>
      <c r="N201" s="19" t="inlineStr">
        <is>
          <t>E</t>
        </is>
      </c>
      <c r="O201" s="20" t="inlineStr">
        <is>
          <t>No linkage found in awarded contract file</t>
        </is>
      </c>
      <c r="P201" s="19" t="inlineStr"/>
      <c r="Q201" s="19" t="inlineStr"/>
      <c r="R201" s="31" t="inlineStr"/>
      <c r="S201" s="19" t="inlineStr"/>
      <c r="T201" s="19" t="inlineStr">
        <is>
          <t>No</t>
        </is>
      </c>
      <c r="U201" s="19" t="inlineStr">
        <is>
          <t>No</t>
        </is>
      </c>
      <c r="V201" s="19" t="inlineStr">
        <is>
          <t>No</t>
        </is>
      </c>
      <c r="W201" s="19" t="inlineStr">
        <is>
          <t>Yes</t>
        </is>
      </c>
    </row>
    <row r="202">
      <c r="A202" s="19" t="n">
        <v>718293</v>
      </c>
      <c r="B202" s="31" t="n">
        <v>46097</v>
      </c>
      <c r="C202" s="19" t="inlineStr">
        <is>
          <t>DEPARTMENT OF FLEET AND FACILITY MANAGEMENT</t>
        </is>
      </c>
      <c r="D202" s="19" t="inlineStr">
        <is>
          <t>MURNANE PAPER COMPANY</t>
        </is>
      </c>
      <c r="E202" s="20" t="inlineStr">
        <is>
          <t>There is currently no active contract for this type of paper. The items being purchased are not part of the current Murnane contract.  The Department of Fleet and Facility Management (2FM) previously advertised Specification 1288508, RX 579</t>
        </is>
      </c>
      <c r="F202" s="21" t="n">
        <v>9160</v>
      </c>
      <c r="G202" s="19" t="inlineStr">
        <is>
          <t>1. Pending New Contract - Original Contract Expired. New Contract in Process</t>
        </is>
      </c>
      <c r="H202" s="19" t="inlineStr">
        <is>
          <t>A. Specification Development Phase</t>
        </is>
      </c>
      <c r="I202" s="19" t="inlineStr">
        <is>
          <t>APPROVED</t>
        </is>
      </c>
      <c r="J202" s="19" t="inlineStr">
        <is>
          <t>No</t>
        </is>
      </c>
      <c r="K202" s="19" t="inlineStr">
        <is>
          <t>No</t>
        </is>
      </c>
      <c r="L202" s="19" t="inlineStr"/>
      <c r="M202" s="19" t="inlineStr">
        <is>
          <t>RX600854</t>
        </is>
      </c>
      <c r="N202" s="19" t="inlineStr">
        <is>
          <t>E</t>
        </is>
      </c>
      <c r="O202" s="20" t="inlineStr">
        <is>
          <t>No linkage found in awarded contract file</t>
        </is>
      </c>
      <c r="P202" s="19" t="inlineStr"/>
      <c r="Q202" s="19" t="inlineStr"/>
      <c r="R202" s="31" t="inlineStr"/>
      <c r="S202" s="19" t="inlineStr"/>
      <c r="T202" s="19" t="inlineStr">
        <is>
          <t>No</t>
        </is>
      </c>
      <c r="U202" s="19" t="inlineStr">
        <is>
          <t>No</t>
        </is>
      </c>
      <c r="V202" s="19" t="inlineStr">
        <is>
          <t>No</t>
        </is>
      </c>
      <c r="W202" s="19" t="inlineStr">
        <is>
          <t>No</t>
        </is>
      </c>
    </row>
    <row r="203">
      <c r="A203" s="19" t="n">
        <v>736033</v>
      </c>
      <c r="B203" s="31" t="n">
        <v>46189</v>
      </c>
      <c r="C203" s="19" t="inlineStr">
        <is>
          <t>DEPARTMENT OF FLEET AND FACILITY MANAGEMENT</t>
        </is>
      </c>
      <c r="D203" s="19" t="inlineStr">
        <is>
          <t>MURNANE PAPER COMPANY</t>
        </is>
      </c>
      <c r="E203" s="20" t="inlineStr">
        <is>
          <t>There is currently no active contract for this type of paper. The items being purchased are not part of the current Murnane contract.  The Department of Fleet and Facility Management (2FM) previously advertised Specification 1288508, RX 579</t>
        </is>
      </c>
      <c r="F203" s="21" t="n">
        <v>23659.2</v>
      </c>
      <c r="G203" s="19" t="inlineStr">
        <is>
          <t>1. Pending New Contract - Original Contract Expired. New Contract in Process</t>
        </is>
      </c>
      <c r="H203" s="19" t="inlineStr">
        <is>
          <t>A. Specification Development Phase</t>
        </is>
      </c>
      <c r="I203" s="19" t="inlineStr">
        <is>
          <t>APPROVED</t>
        </is>
      </c>
      <c r="J203" s="19" t="inlineStr">
        <is>
          <t>No</t>
        </is>
      </c>
      <c r="K203" s="19" t="inlineStr">
        <is>
          <t>No</t>
        </is>
      </c>
      <c r="L203" s="19" t="inlineStr"/>
      <c r="M203" s="19" t="inlineStr">
        <is>
          <t>RX600854</t>
        </is>
      </c>
      <c r="N203" s="19" t="inlineStr">
        <is>
          <t>E</t>
        </is>
      </c>
      <c r="O203" s="20" t="inlineStr">
        <is>
          <t>No linkage found in awarded contract file</t>
        </is>
      </c>
      <c r="P203" s="19" t="inlineStr"/>
      <c r="Q203" s="19" t="inlineStr"/>
      <c r="R203" s="31" t="inlineStr"/>
      <c r="S203" s="19" t="inlineStr"/>
      <c r="T203" s="19" t="inlineStr">
        <is>
          <t>No</t>
        </is>
      </c>
      <c r="U203" s="19" t="inlineStr">
        <is>
          <t>No</t>
        </is>
      </c>
      <c r="V203" s="19" t="inlineStr">
        <is>
          <t>No</t>
        </is>
      </c>
      <c r="W203" s="19" t="inlineStr">
        <is>
          <t>No</t>
        </is>
      </c>
    </row>
    <row r="204">
      <c r="A204" s="19" t="n">
        <v>737849</v>
      </c>
      <c r="B204" s="31" t="n">
        <v>46203</v>
      </c>
      <c r="C204" s="19" t="inlineStr">
        <is>
          <t>DEPARTMENT OF FLEET AND FACILITY MANAGEMENT</t>
        </is>
      </c>
      <c r="D204" s="19" t="inlineStr">
        <is>
          <t>RUSH TRUCK CENTERS OF ILLINOIS INC</t>
        </is>
      </c>
      <c r="E204" s="20" t="inlineStr">
        <is>
          <t>The work was completed under PO 20335 by Freeway Ford prior to the company ceasing operations on 12/4/2023 and being acquired by Rush Trucks, which issued the final invoice. Because there is no current contract with Rush Trucks for these se</t>
        </is>
      </c>
      <c r="F204" s="21" t="n">
        <v>924.13</v>
      </c>
      <c r="G204" s="19" t="inlineStr">
        <is>
          <t>1. Pending New Contract - Original Contract Expired. New Contract in Process</t>
        </is>
      </c>
      <c r="H204" s="19" t="inlineStr">
        <is>
          <t>B. City Law Review</t>
        </is>
      </c>
      <c r="I204" s="19" t="inlineStr">
        <is>
          <t>APPROVED</t>
        </is>
      </c>
      <c r="J204" s="19" t="inlineStr">
        <is>
          <t>Yes</t>
        </is>
      </c>
      <c r="K204" s="19" t="inlineStr">
        <is>
          <t>No</t>
        </is>
      </c>
      <c r="L204" s="19" t="inlineStr"/>
      <c r="M204" s="19" t="inlineStr">
        <is>
          <t>RX590958</t>
        </is>
      </c>
      <c r="N204" s="19" t="inlineStr">
        <is>
          <t>E</t>
        </is>
      </c>
      <c r="O204" s="20" t="inlineStr">
        <is>
          <t>No linkage found in awarded contract file</t>
        </is>
      </c>
      <c r="P204" s="19" t="inlineStr"/>
      <c r="Q204" s="19" t="inlineStr"/>
      <c r="R204" s="31" t="inlineStr"/>
      <c r="S204" s="19" t="inlineStr"/>
      <c r="T204" s="19" t="inlineStr">
        <is>
          <t>No</t>
        </is>
      </c>
      <c r="U204" s="19" t="inlineStr">
        <is>
          <t>No</t>
        </is>
      </c>
      <c r="V204" s="19" t="inlineStr">
        <is>
          <t>No</t>
        </is>
      </c>
      <c r="W204" s="19" t="inlineStr">
        <is>
          <t>Yes</t>
        </is>
      </c>
    </row>
    <row r="205">
      <c r="A205" s="19" t="n">
        <v>727119</v>
      </c>
      <c r="B205" s="31" t="n">
        <v>46147</v>
      </c>
      <c r="C205" s="19" t="inlineStr">
        <is>
          <t>DEPARTMENT OF FLEET AND FACILITY MANAGEMENT</t>
        </is>
      </c>
      <c r="D205" s="19" t="inlineStr">
        <is>
          <t>C &amp; C COMMUNICATIONS IL</t>
        </is>
      </c>
      <c r="E205" s="20" t="inlineStr">
        <is>
          <t>PSA Lead Dept.  2FM utilizes PO 102767 for the purchase and repair of comdial/vertical tier 1 phone equipment, products and technical support services.  PSA submitted RX 710994 for a TE/VLI request to DPS on 1/30/26.  The mod is currently u</t>
        </is>
      </c>
      <c r="F205" s="21" t="n">
        <v>2801.9</v>
      </c>
      <c r="G205" s="19" t="inlineStr">
        <is>
          <t>2. Pending Amendment/Modification - Line Item Addition / Vendor Limit Increase / Scope Change</t>
        </is>
      </c>
      <c r="H205" s="19" t="inlineStr">
        <is>
          <t>A. Specification Development Phase</t>
        </is>
      </c>
      <c r="I205" s="19" t="inlineStr">
        <is>
          <t>APPROVED</t>
        </is>
      </c>
      <c r="J205" s="19" t="inlineStr">
        <is>
          <t>No</t>
        </is>
      </c>
      <c r="K205" s="19" t="inlineStr">
        <is>
          <t>No</t>
        </is>
      </c>
      <c r="L205" s="19" t="inlineStr"/>
      <c r="M205" s="19" t="inlineStr">
        <is>
          <t>RX710994</t>
        </is>
      </c>
      <c r="N205" s="19" t="inlineStr">
        <is>
          <t>E</t>
        </is>
      </c>
      <c r="O205" s="20" t="inlineStr">
        <is>
          <t>No linkage found in awarded contract file</t>
        </is>
      </c>
      <c r="P205" s="19" t="inlineStr"/>
      <c r="Q205" s="19" t="inlineStr"/>
      <c r="R205" s="31" t="inlineStr"/>
      <c r="S205" s="19" t="inlineStr"/>
      <c r="T205" s="19" t="inlineStr">
        <is>
          <t>No</t>
        </is>
      </c>
      <c r="U205" s="19" t="inlineStr">
        <is>
          <t>No</t>
        </is>
      </c>
      <c r="V205" s="19" t="inlineStr">
        <is>
          <t>No</t>
        </is>
      </c>
      <c r="W205" s="19" t="inlineStr">
        <is>
          <t>No</t>
        </is>
      </c>
    </row>
    <row r="206">
      <c r="A206" s="19" t="n">
        <v>724609</v>
      </c>
      <c r="B206" s="31" t="n">
        <v>46133</v>
      </c>
      <c r="C206" s="19" t="inlineStr">
        <is>
          <t>DEPARTMENT OF FLEET AND FACILITY MANAGEMENT</t>
        </is>
      </c>
      <c r="D206" s="19" t="inlineStr">
        <is>
          <t>INDUSTRIAL FENCE INC.</t>
        </is>
      </c>
      <c r="E206" s="20" t="inlineStr">
        <is>
          <t>CDA Lead Dept.  2FM utilized PO 61840 for Maintenance, Repair &amp; Installation of Various Fencing, Guardrail &amp; Related Equipment,  The contract is expired as of 4/21/24.  CDA submitted a modification request for a time extension and VLI under</t>
        </is>
      </c>
      <c r="F206" s="21" t="n">
        <v>1117.28</v>
      </c>
      <c r="G206" s="19" t="inlineStr">
        <is>
          <t>1. Pending New Contract - Original Contract Expired. New Contract in Process</t>
        </is>
      </c>
      <c r="H206" s="19" t="inlineStr">
        <is>
          <t>A. Specification Development Phase</t>
        </is>
      </c>
      <c r="I206" s="19" t="inlineStr">
        <is>
          <t>APPROVED</t>
        </is>
      </c>
      <c r="J206" s="19" t="inlineStr">
        <is>
          <t>No</t>
        </is>
      </c>
      <c r="K206" s="19" t="inlineStr">
        <is>
          <t>No</t>
        </is>
      </c>
      <c r="L206" s="19" t="inlineStr">
        <is>
          <t>TBD</t>
        </is>
      </c>
      <c r="M206" s="19" t="inlineStr">
        <is>
          <t>RX596048</t>
        </is>
      </c>
      <c r="N206" s="19" t="inlineStr">
        <is>
          <t>E</t>
        </is>
      </c>
      <c r="O206" s="20" t="inlineStr">
        <is>
          <t>No linkage found in awarded contract file</t>
        </is>
      </c>
      <c r="P206" s="19" t="inlineStr"/>
      <c r="Q206" s="19" t="inlineStr"/>
      <c r="R206" s="31" t="inlineStr"/>
      <c r="S206" s="19" t="inlineStr"/>
      <c r="T206" s="19" t="inlineStr">
        <is>
          <t>No</t>
        </is>
      </c>
      <c r="U206" s="19" t="inlineStr">
        <is>
          <t>No</t>
        </is>
      </c>
      <c r="V206" s="19" t="inlineStr">
        <is>
          <t>No</t>
        </is>
      </c>
      <c r="W206" s="19" t="inlineStr">
        <is>
          <t>No</t>
        </is>
      </c>
    </row>
    <row r="207">
      <c r="A207" s="19" t="n">
        <v>724074</v>
      </c>
      <c r="B207" s="31" t="n">
        <v>46133</v>
      </c>
      <c r="C207" s="19" t="inlineStr">
        <is>
          <t>DEPARTMENT OF FLEET AND FACILITY MANAGEMENT</t>
        </is>
      </c>
      <c r="D207" s="19" t="inlineStr">
        <is>
          <t>ARLINGTON GLASS &amp; MIRROR</t>
        </is>
      </c>
      <c r="E207" s="20" t="inlineStr">
        <is>
          <t>Arlington did not want to proceed with the contract  extension unless they had their price increases. CDA put forth 3 price increases for 5% each. DPS would not approve all 3 price increases at 5%. They would give only 1  but at approx. 3%,</t>
        </is>
      </c>
      <c r="F207" s="21" t="n">
        <v>101</v>
      </c>
      <c r="G207" s="19" t="inlineStr">
        <is>
          <t>1. Pending New Contract - Original Contract Expired. New Contract in Process</t>
        </is>
      </c>
      <c r="H207" s="19" t="inlineStr">
        <is>
          <t>A. Specification Development Phase</t>
        </is>
      </c>
      <c r="I207" s="19" t="inlineStr">
        <is>
          <t>APPROVED</t>
        </is>
      </c>
      <c r="J207" s="19" t="inlineStr">
        <is>
          <t>Yes</t>
        </is>
      </c>
      <c r="K207" s="19" t="inlineStr">
        <is>
          <t>No</t>
        </is>
      </c>
      <c r="L207" s="19" t="inlineStr"/>
      <c r="M207" s="19" t="inlineStr">
        <is>
          <t>RX647383</t>
        </is>
      </c>
      <c r="N207" s="19" t="inlineStr">
        <is>
          <t>E</t>
        </is>
      </c>
      <c r="O207" s="20" t="inlineStr">
        <is>
          <t>No linkage found in awarded contract file</t>
        </is>
      </c>
      <c r="P207" s="19" t="inlineStr"/>
      <c r="Q207" s="19" t="inlineStr"/>
      <c r="R207" s="31" t="inlineStr"/>
      <c r="S207" s="19" t="inlineStr"/>
      <c r="T207" s="19" t="inlineStr">
        <is>
          <t>No</t>
        </is>
      </c>
      <c r="U207" s="19" t="inlineStr">
        <is>
          <t>No</t>
        </is>
      </c>
      <c r="V207" s="19" t="inlineStr">
        <is>
          <t>No</t>
        </is>
      </c>
      <c r="W207" s="19" t="inlineStr">
        <is>
          <t>Yes</t>
        </is>
      </c>
    </row>
    <row r="208">
      <c r="A208" s="19" t="n">
        <v>737989</v>
      </c>
      <c r="B208" s="31" t="n">
        <v>46203</v>
      </c>
      <c r="C208" s="19" t="inlineStr">
        <is>
          <t>CHICAGO ANIMAL CARE AND CONTROL</t>
        </is>
      </c>
      <c r="D208" s="19" t="inlineStr">
        <is>
          <t>LEGEND &amp; WHITE ANIMAL HEALTH</t>
        </is>
      </c>
      <c r="E208" s="20" t="inlineStr">
        <is>
          <t>animal food contract still pending - to post on 7/1/26</t>
        </is>
      </c>
      <c r="F208" s="21" t="n">
        <v>39246.9</v>
      </c>
      <c r="G208" s="19" t="inlineStr">
        <is>
          <t>1. Pending New Contract - Original Contract Expired. New Contract in Process</t>
        </is>
      </c>
      <c r="H208" s="19" t="inlineStr">
        <is>
          <t>C. Solicitation or Bidding Phase</t>
        </is>
      </c>
      <c r="I208" s="19" t="inlineStr">
        <is>
          <t>APPROVED</t>
        </is>
      </c>
      <c r="J208" s="19" t="inlineStr">
        <is>
          <t>Yes</t>
        </is>
      </c>
      <c r="K208" s="19" t="inlineStr">
        <is>
          <t>No</t>
        </is>
      </c>
      <c r="L208" s="19" t="inlineStr"/>
      <c r="M208" s="19" t="inlineStr">
        <is>
          <t>RX643941</t>
        </is>
      </c>
      <c r="N208" s="19" t="inlineStr">
        <is>
          <t>E</t>
        </is>
      </c>
      <c r="O208" s="20" t="inlineStr">
        <is>
          <t>No linkage found in awarded contract file</t>
        </is>
      </c>
      <c r="P208" s="19" t="inlineStr"/>
      <c r="Q208" s="19" t="inlineStr"/>
      <c r="R208" s="31" t="inlineStr"/>
      <c r="S208" s="19" t="inlineStr"/>
      <c r="T208" s="19" t="inlineStr">
        <is>
          <t>No</t>
        </is>
      </c>
      <c r="U208" s="19" t="inlineStr">
        <is>
          <t>No</t>
        </is>
      </c>
      <c r="V208" s="19" t="inlineStr">
        <is>
          <t>No</t>
        </is>
      </c>
      <c r="W208" s="19" t="inlineStr">
        <is>
          <t>Yes</t>
        </is>
      </c>
    </row>
    <row r="209">
      <c r="A209" s="19" t="n">
        <v>725216</v>
      </c>
      <c r="B209" s="31" t="n">
        <v>46131</v>
      </c>
      <c r="C209" s="19" t="inlineStr">
        <is>
          <t>CHICAGO DEPARTMENT OF TRANSPORTATION</t>
        </is>
      </c>
      <c r="D209" s="19" t="inlineStr">
        <is>
          <t>RI-DEL MFG. INC.</t>
        </is>
      </c>
      <c r="E209" s="20" t="inlineStr">
        <is>
          <t>VARIOUS STREET SIGN MAKING SUPPLIES</t>
        </is>
      </c>
      <c r="F209" s="21" t="n">
        <v>54615.75</v>
      </c>
      <c r="G209" s="19" t="inlineStr">
        <is>
          <t>1. Pending New Contract - Original Contract Expired. New Contract in Process</t>
        </is>
      </c>
      <c r="H209" s="19" t="inlineStr">
        <is>
          <t>A. Specification Development Phase</t>
        </is>
      </c>
      <c r="I209" s="19" t="inlineStr">
        <is>
          <t>APPROVED</t>
        </is>
      </c>
      <c r="J209" s="19" t="inlineStr">
        <is>
          <t>No</t>
        </is>
      </c>
      <c r="K209" s="19" t="inlineStr">
        <is>
          <t>No</t>
        </is>
      </c>
      <c r="L209" s="19" t="inlineStr"/>
      <c r="M209" s="19" t="inlineStr">
        <is>
          <t>RX693525</t>
        </is>
      </c>
      <c r="N209" s="19" t="inlineStr">
        <is>
          <t>E</t>
        </is>
      </c>
      <c r="O209" s="20" t="inlineStr">
        <is>
          <t>No linkage found in awarded contract file</t>
        </is>
      </c>
      <c r="P209" s="19" t="inlineStr"/>
      <c r="Q209" s="19" t="inlineStr"/>
      <c r="R209" s="31" t="inlineStr"/>
      <c r="S209" s="19" t="inlineStr"/>
      <c r="T209" s="19" t="inlineStr">
        <is>
          <t>No</t>
        </is>
      </c>
      <c r="U209" s="19" t="inlineStr">
        <is>
          <t>No</t>
        </is>
      </c>
      <c r="V209" s="19" t="inlineStr">
        <is>
          <t>No</t>
        </is>
      </c>
      <c r="W209" s="19" t="inlineStr">
        <is>
          <t>No</t>
        </is>
      </c>
    </row>
    <row r="210">
      <c r="A210" s="19" t="n">
        <v>725267</v>
      </c>
      <c r="B210" s="31" t="n">
        <v>46146</v>
      </c>
      <c r="C210" s="19" t="inlineStr">
        <is>
          <t>CHICAGO POLICE DEPARTMENT</t>
        </is>
      </c>
      <c r="D210" s="19" t="inlineStr">
        <is>
          <t xml:space="preserve">REPUBLIC SERVICES INC </t>
        </is>
      </c>
      <c r="E210" s="20" t="inlineStr">
        <is>
          <t>Republic Services</t>
        </is>
      </c>
      <c r="F210" s="21" t="n">
        <v>0</v>
      </c>
      <c r="G210" s="19" t="inlineStr">
        <is>
          <t>1. Pending New Contract - Original Contract Expired. New Contract in Process</t>
        </is>
      </c>
      <c r="H210" s="19" t="inlineStr">
        <is>
          <t>A. Specification Development Phase</t>
        </is>
      </c>
      <c r="I210" s="19" t="inlineStr"/>
      <c r="J210" s="19" t="inlineStr">
        <is>
          <t>Yes</t>
        </is>
      </c>
      <c r="K210" s="19" t="inlineStr">
        <is>
          <t>No</t>
        </is>
      </c>
      <c r="L210" s="19" t="inlineStr"/>
      <c r="M210" s="19" t="inlineStr">
        <is>
          <t>RX669739</t>
        </is>
      </c>
      <c r="N210" s="19" t="inlineStr">
        <is>
          <t>E</t>
        </is>
      </c>
      <c r="O210" s="20" t="inlineStr">
        <is>
          <t>No linkage found in awarded contract file</t>
        </is>
      </c>
      <c r="P210" s="19" t="inlineStr"/>
      <c r="Q210" s="19" t="inlineStr"/>
      <c r="R210" s="31" t="inlineStr"/>
      <c r="S210" s="19" t="inlineStr"/>
      <c r="T210" s="19" t="inlineStr">
        <is>
          <t>No</t>
        </is>
      </c>
      <c r="U210" s="19" t="inlineStr">
        <is>
          <t>No</t>
        </is>
      </c>
      <c r="V210" s="19" t="inlineStr">
        <is>
          <t>No</t>
        </is>
      </c>
      <c r="W210" s="19" t="inlineStr">
        <is>
          <t>Yes</t>
        </is>
      </c>
    </row>
    <row r="211">
      <c r="A211" s="19" t="n">
        <v>725182</v>
      </c>
      <c r="B211" s="31" t="n">
        <v>46126</v>
      </c>
      <c r="C211" s="19" t="inlineStr">
        <is>
          <t>CHICAGO POLICE DEPARTMENT</t>
        </is>
      </c>
      <c r="D211" s="19" t="inlineStr">
        <is>
          <t xml:space="preserve">REPUBLIC SERVICES INC </t>
        </is>
      </c>
      <c r="E211" s="20" t="inlineStr">
        <is>
          <t>Republic Services Inv# 0710-005835139</t>
        </is>
      </c>
      <c r="F211" s="21" t="n">
        <v>0</v>
      </c>
      <c r="G211" s="19" t="inlineStr">
        <is>
          <t>1. Pending New Contract - Original Contract Expired. New Contract in Process</t>
        </is>
      </c>
      <c r="H211" s="19" t="inlineStr">
        <is>
          <t>A. Specification Development Phase</t>
        </is>
      </c>
      <c r="I211" s="19" t="inlineStr"/>
      <c r="J211" s="19" t="inlineStr">
        <is>
          <t>Yes</t>
        </is>
      </c>
      <c r="K211" s="19" t="inlineStr">
        <is>
          <t>No</t>
        </is>
      </c>
      <c r="L211" s="19" t="inlineStr"/>
      <c r="M211" s="19" t="inlineStr">
        <is>
          <t>RX669739</t>
        </is>
      </c>
      <c r="N211" s="19" t="inlineStr">
        <is>
          <t>E</t>
        </is>
      </c>
      <c r="O211" s="20" t="inlineStr">
        <is>
          <t>No linkage found in awarded contract file</t>
        </is>
      </c>
      <c r="P211" s="19" t="inlineStr"/>
      <c r="Q211" s="19" t="inlineStr"/>
      <c r="R211" s="31" t="inlineStr"/>
      <c r="S211" s="19" t="inlineStr"/>
      <c r="T211" s="19" t="inlineStr">
        <is>
          <t>No</t>
        </is>
      </c>
      <c r="U211" s="19" t="inlineStr">
        <is>
          <t>No</t>
        </is>
      </c>
      <c r="V211" s="19" t="inlineStr">
        <is>
          <t>No</t>
        </is>
      </c>
      <c r="W211" s="19" t="inlineStr">
        <is>
          <t>Yes</t>
        </is>
      </c>
    </row>
    <row r="212">
      <c r="A212" s="19" t="n">
        <v>716821</v>
      </c>
      <c r="B212" s="31" t="n">
        <v>46080</v>
      </c>
      <c r="C212" s="19" t="inlineStr">
        <is>
          <t>OFFICE OF PUBLIC SAFETY ADMINISTRATION</t>
        </is>
      </c>
      <c r="D212" s="19" t="inlineStr">
        <is>
          <t>Primo Brands</t>
        </is>
      </c>
      <c r="E212" s="20" t="inlineStr">
        <is>
          <t>Water Services</t>
        </is>
      </c>
      <c r="F212" s="21" t="n">
        <v>440.55</v>
      </c>
      <c r="G212" s="19" t="inlineStr">
        <is>
          <t>1. Pending New Contract - Original Contract Expired. New Contract in Process</t>
        </is>
      </c>
      <c r="H212" s="19" t="inlineStr">
        <is>
          <t>A. Specification Development Phase</t>
        </is>
      </c>
      <c r="I212" s="19" t="inlineStr">
        <is>
          <t>APPROVED</t>
        </is>
      </c>
      <c r="J212" s="19" t="inlineStr">
        <is>
          <t>Yes</t>
        </is>
      </c>
      <c r="K212" s="19" t="inlineStr">
        <is>
          <t>No</t>
        </is>
      </c>
      <c r="L212" s="19" t="inlineStr"/>
      <c r="M212" s="19" t="inlineStr">
        <is>
          <t>RX676831</t>
        </is>
      </c>
      <c r="N212" s="19" t="inlineStr">
        <is>
          <t>E</t>
        </is>
      </c>
      <c r="O212" s="20" t="inlineStr">
        <is>
          <t>No linkage found in awarded contract file</t>
        </is>
      </c>
      <c r="P212" s="19" t="inlineStr"/>
      <c r="Q212" s="19" t="inlineStr"/>
      <c r="R212" s="31" t="inlineStr"/>
      <c r="S212" s="19" t="inlineStr"/>
      <c r="T212" s="19" t="inlineStr">
        <is>
          <t>No</t>
        </is>
      </c>
      <c r="U212" s="19" t="inlineStr">
        <is>
          <t>No</t>
        </is>
      </c>
      <c r="V212" s="19" t="inlineStr">
        <is>
          <t>No</t>
        </is>
      </c>
      <c r="W212" s="19" t="inlineStr">
        <is>
          <t>Yes</t>
        </is>
      </c>
    </row>
    <row r="213">
      <c r="A213" s="19" t="n">
        <v>723926</v>
      </c>
      <c r="B213" s="31" t="n">
        <v>46133</v>
      </c>
      <c r="C213" s="19" t="inlineStr">
        <is>
          <t>OFFICE OF PUBLIC SAFETY ADMINISTRATION</t>
        </is>
      </c>
      <c r="D213" s="19" t="inlineStr">
        <is>
          <t>Primo Brands</t>
        </is>
      </c>
      <c r="E213" s="20" t="inlineStr">
        <is>
          <t>Water Services</t>
        </is>
      </c>
      <c r="F213" s="21" t="n">
        <v>1261.83</v>
      </c>
      <c r="G213" s="19" t="inlineStr">
        <is>
          <t>1. Pending New Contract - Original Contract Expired. New Contract in Process</t>
        </is>
      </c>
      <c r="H213" s="19" t="inlineStr">
        <is>
          <t>A. Specification Development Phase</t>
        </is>
      </c>
      <c r="I213" s="19" t="inlineStr">
        <is>
          <t>APPROVED</t>
        </is>
      </c>
      <c r="J213" s="19" t="inlineStr">
        <is>
          <t>Yes</t>
        </is>
      </c>
      <c r="K213" s="19" t="inlineStr">
        <is>
          <t>No</t>
        </is>
      </c>
      <c r="L213" s="19" t="inlineStr"/>
      <c r="M213" s="19" t="inlineStr">
        <is>
          <t>RX676831</t>
        </is>
      </c>
      <c r="N213" s="19" t="inlineStr">
        <is>
          <t>E</t>
        </is>
      </c>
      <c r="O213" s="20" t="inlineStr">
        <is>
          <t>No linkage found in awarded contract file</t>
        </is>
      </c>
      <c r="P213" s="19" t="inlineStr"/>
      <c r="Q213" s="19" t="inlineStr"/>
      <c r="R213" s="31" t="inlineStr"/>
      <c r="S213" s="19" t="inlineStr"/>
      <c r="T213" s="19" t="inlineStr">
        <is>
          <t>No</t>
        </is>
      </c>
      <c r="U213" s="19" t="inlineStr">
        <is>
          <t>No</t>
        </is>
      </c>
      <c r="V213" s="19" t="inlineStr">
        <is>
          <t>No</t>
        </is>
      </c>
      <c r="W213" s="19" t="inlineStr">
        <is>
          <t>Yes</t>
        </is>
      </c>
    </row>
    <row r="214">
      <c r="A214" s="19" t="n">
        <v>718594</v>
      </c>
      <c r="B214" s="31" t="n">
        <v>46097</v>
      </c>
      <c r="C214" s="19" t="inlineStr">
        <is>
          <t>DEPARTMENT OF WATER MANAGEMENT</t>
        </is>
      </c>
      <c r="D214" s="19" t="inlineStr">
        <is>
          <t>USALCO</t>
        </is>
      </c>
      <c r="E214" s="20" t="inlineStr">
        <is>
          <t>Liquid Aluminum Sulfate (Iron Free)</t>
        </is>
      </c>
      <c r="F214" s="21" t="n">
        <v>302914.4</v>
      </c>
      <c r="G214" s="19" t="inlineStr">
        <is>
          <t>1. Pending New Contract - Original Contract Expired. New Contract in Process</t>
        </is>
      </c>
      <c r="H214" s="19" t="inlineStr">
        <is>
          <t>D. Solicitation Response Under Evaluation</t>
        </is>
      </c>
      <c r="I214" s="19" t="inlineStr">
        <is>
          <t>APPROVED</t>
        </is>
      </c>
      <c r="J214" s="19" t="inlineStr">
        <is>
          <t>Yes</t>
        </is>
      </c>
      <c r="K214" s="19" t="inlineStr">
        <is>
          <t>No</t>
        </is>
      </c>
      <c r="L214" s="19" t="inlineStr"/>
      <c r="M214" s="19" t="inlineStr">
        <is>
          <t>RX661351</t>
        </is>
      </c>
      <c r="N214" s="19" t="inlineStr">
        <is>
          <t>E</t>
        </is>
      </c>
      <c r="O214" s="20" t="inlineStr">
        <is>
          <t>No linkage found in awarded contract file</t>
        </is>
      </c>
      <c r="P214" s="19" t="inlineStr"/>
      <c r="Q214" s="19" t="inlineStr"/>
      <c r="R214" s="31" t="inlineStr"/>
      <c r="S214" s="19" t="inlineStr"/>
      <c r="T214" s="19" t="inlineStr">
        <is>
          <t>No</t>
        </is>
      </c>
      <c r="U214" s="19" t="inlineStr">
        <is>
          <t>No</t>
        </is>
      </c>
      <c r="V214" s="19" t="inlineStr">
        <is>
          <t>No</t>
        </is>
      </c>
      <c r="W214" s="19" t="inlineStr">
        <is>
          <t>Yes</t>
        </is>
      </c>
    </row>
    <row r="215">
      <c r="A215" s="19" t="n">
        <v>713625</v>
      </c>
      <c r="B215" s="31" t="n">
        <v>46073</v>
      </c>
      <c r="C215" s="19" t="inlineStr">
        <is>
          <t>CHICAGO DEPARTMENT OF PUBLIC HEALTH</t>
        </is>
      </c>
      <c r="D215" s="19" t="inlineStr">
        <is>
          <t>Electronic Knowledge Interchange</t>
        </is>
      </c>
      <c r="E215" s="20" t="inlineStr">
        <is>
          <t>TIER 2 SUPPORT - QUANT 16 SERVICES</t>
        </is>
      </c>
      <c r="F215" s="21" t="n">
        <v>100000</v>
      </c>
      <c r="G215" s="19" t="inlineStr">
        <is>
          <t>3. One Time Purchase</t>
        </is>
      </c>
      <c r="H215" s="19" t="inlineStr">
        <is>
          <t>H. One Time Purchase</t>
        </is>
      </c>
      <c r="I215" s="19" t="inlineStr">
        <is>
          <t>APPROVED</t>
        </is>
      </c>
      <c r="J215" s="19" t="inlineStr">
        <is>
          <t>No</t>
        </is>
      </c>
      <c r="K215" s="19" t="inlineStr">
        <is>
          <t>No</t>
        </is>
      </c>
      <c r="L215" s="19" t="inlineStr"/>
      <c r="M215" s="19" t="inlineStr">
        <is>
          <t>VDELECTRONIC KNOWLEDGE INTERCH</t>
        </is>
      </c>
      <c r="N215" s="19" t="inlineStr">
        <is>
          <t>E</t>
        </is>
      </c>
      <c r="O215" s="20" t="inlineStr">
        <is>
          <t>No linkage found in awarded contract file</t>
        </is>
      </c>
      <c r="P215" s="19" t="inlineStr"/>
      <c r="Q215" s="19" t="inlineStr"/>
      <c r="R215" s="31" t="inlineStr"/>
      <c r="S215" s="19" t="inlineStr"/>
      <c r="T215" s="19" t="inlineStr">
        <is>
          <t>No</t>
        </is>
      </c>
      <c r="U215" s="19" t="inlineStr">
        <is>
          <t>No</t>
        </is>
      </c>
      <c r="V215" s="19" t="inlineStr">
        <is>
          <t>No</t>
        </is>
      </c>
      <c r="W215" s="19" t="inlineStr">
        <is>
          <t>No</t>
        </is>
      </c>
    </row>
    <row r="216">
      <c r="A216" s="19" t="n">
        <v>708400</v>
      </c>
      <c r="B216" s="31" t="n">
        <v>46035</v>
      </c>
      <c r="C216" s="19" t="inlineStr">
        <is>
          <t>CHICAGO DEPARTMENT OF TRANSPORTATION</t>
        </is>
      </c>
      <c r="D216" s="19" t="inlineStr">
        <is>
          <t>CHRISTY WEBBER LANDSCAPES</t>
        </is>
      </c>
      <c r="E216" s="20" t="inlineStr">
        <is>
          <t>Landscaping Services Regions 2 and 6</t>
        </is>
      </c>
      <c r="F216" s="21" t="n">
        <v>4463.8</v>
      </c>
      <c r="G216" s="19" t="inlineStr">
        <is>
          <t>1. Pending New Contract - Original Contract Expired. New Contract in Process</t>
        </is>
      </c>
      <c r="H216" s="19" t="inlineStr">
        <is>
          <t>B. City Law Review</t>
        </is>
      </c>
      <c r="I216" s="19" t="inlineStr">
        <is>
          <t>APPROVED</t>
        </is>
      </c>
      <c r="J216" s="19" t="inlineStr">
        <is>
          <t>Yes</t>
        </is>
      </c>
      <c r="K216" s="19" t="inlineStr">
        <is>
          <t>No</t>
        </is>
      </c>
      <c r="L216" s="19" t="inlineStr">
        <is>
          <t>na</t>
        </is>
      </c>
      <c r="M216" s="19" t="inlineStr">
        <is>
          <t>RX652655</t>
        </is>
      </c>
      <c r="N216" s="19" t="inlineStr">
        <is>
          <t>E</t>
        </is>
      </c>
      <c r="O216" s="20" t="inlineStr">
        <is>
          <t>No linkage found in awarded contract file</t>
        </is>
      </c>
      <c r="P216" s="19" t="inlineStr"/>
      <c r="Q216" s="19" t="inlineStr"/>
      <c r="R216" s="31" t="inlineStr"/>
      <c r="S216" s="19" t="inlineStr"/>
      <c r="T216" s="19" t="inlineStr">
        <is>
          <t>No</t>
        </is>
      </c>
      <c r="U216" s="19" t="inlineStr">
        <is>
          <t>No</t>
        </is>
      </c>
      <c r="V216" s="19" t="inlineStr">
        <is>
          <t>No</t>
        </is>
      </c>
      <c r="W216" s="19" t="inlineStr">
        <is>
          <t>Yes</t>
        </is>
      </c>
    </row>
    <row r="217">
      <c r="A217" s="19" t="n">
        <v>708390</v>
      </c>
      <c r="B217" s="31" t="n">
        <v>46035</v>
      </c>
      <c r="C217" s="19" t="inlineStr">
        <is>
          <t>CHICAGO DEPARTMENT OF TRANSPORTATION</t>
        </is>
      </c>
      <c r="D217" s="19" t="inlineStr">
        <is>
          <t>A SAFE HAVEN FOUNDATION</t>
        </is>
      </c>
      <c r="E217" s="20" t="inlineStr">
        <is>
          <t>Landscape Maintenance Services</t>
        </is>
      </c>
      <c r="F217" s="21" t="n">
        <v>16227.84</v>
      </c>
      <c r="G217" s="19" t="inlineStr">
        <is>
          <t>1. Pending New Contract - Original Contract Expired. New Contract in Process</t>
        </is>
      </c>
      <c r="H217" s="19" t="inlineStr">
        <is>
          <t>B. City Law Review</t>
        </is>
      </c>
      <c r="I217" s="19" t="inlineStr">
        <is>
          <t>APPROVED</t>
        </is>
      </c>
      <c r="J217" s="19" t="inlineStr">
        <is>
          <t>Yes</t>
        </is>
      </c>
      <c r="K217" s="19" t="inlineStr">
        <is>
          <t>No</t>
        </is>
      </c>
      <c r="L217" s="19" t="inlineStr">
        <is>
          <t>na</t>
        </is>
      </c>
      <c r="M217" s="19" t="inlineStr">
        <is>
          <t>RX596443</t>
        </is>
      </c>
      <c r="N217" s="19" t="inlineStr">
        <is>
          <t>E</t>
        </is>
      </c>
      <c r="O217" s="20" t="inlineStr">
        <is>
          <t>No linkage found in awarded contract file</t>
        </is>
      </c>
      <c r="P217" s="19" t="inlineStr"/>
      <c r="Q217" s="19" t="inlineStr"/>
      <c r="R217" s="31" t="inlineStr"/>
      <c r="S217" s="19" t="inlineStr"/>
      <c r="T217" s="19" t="inlineStr">
        <is>
          <t>No</t>
        </is>
      </c>
      <c r="U217" s="19" t="inlineStr">
        <is>
          <t>No</t>
        </is>
      </c>
      <c r="V217" s="19" t="inlineStr">
        <is>
          <t>No</t>
        </is>
      </c>
      <c r="W217" s="19" t="inlineStr">
        <is>
          <t>Yes</t>
        </is>
      </c>
    </row>
    <row r="218">
      <c r="A218" s="19" t="n">
        <v>711241</v>
      </c>
      <c r="B218" s="31" t="n">
        <v>46052</v>
      </c>
      <c r="C218" s="19" t="inlineStr">
        <is>
          <t>CHICAGO DEPARTMENT OF TRANSPORTATION</t>
        </is>
      </c>
      <c r="D218" s="19" t="inlineStr">
        <is>
          <t>Yellowstone Landscape, Inc</t>
        </is>
      </c>
      <c r="E218" s="20" t="inlineStr">
        <is>
          <t>Landscape Services North &amp; South LSD</t>
        </is>
      </c>
      <c r="F218" s="21" t="n">
        <v>60814.2</v>
      </c>
      <c r="G218" s="19" t="inlineStr">
        <is>
          <t>1. Pending New Contract - Original Contract Expired. New Contract in Process</t>
        </is>
      </c>
      <c r="H218" s="19" t="inlineStr">
        <is>
          <t>B. City Law Review</t>
        </is>
      </c>
      <c r="I218" s="19" t="inlineStr">
        <is>
          <t>APPROVED</t>
        </is>
      </c>
      <c r="J218" s="19" t="inlineStr">
        <is>
          <t>Yes</t>
        </is>
      </c>
      <c r="K218" s="19" t="inlineStr">
        <is>
          <t>No</t>
        </is>
      </c>
      <c r="L218" s="19" t="inlineStr">
        <is>
          <t>na</t>
        </is>
      </c>
      <c r="M218" s="19" t="inlineStr">
        <is>
          <t>RX635010</t>
        </is>
      </c>
      <c r="N218" s="19" t="inlineStr">
        <is>
          <t>E</t>
        </is>
      </c>
      <c r="O218" s="20" t="inlineStr">
        <is>
          <t>No linkage found in awarded contract file</t>
        </is>
      </c>
      <c r="P218" s="19" t="inlineStr"/>
      <c r="Q218" s="19" t="inlineStr"/>
      <c r="R218" s="31" t="inlineStr"/>
      <c r="S218" s="19" t="inlineStr"/>
      <c r="T218" s="19" t="inlineStr">
        <is>
          <t>No</t>
        </is>
      </c>
      <c r="U218" s="19" t="inlineStr">
        <is>
          <t>No</t>
        </is>
      </c>
      <c r="V218" s="19" t="inlineStr">
        <is>
          <t>No</t>
        </is>
      </c>
      <c r="W218" s="19" t="inlineStr">
        <is>
          <t>Yes</t>
        </is>
      </c>
    </row>
    <row r="219">
      <c r="A219" s="19" t="n">
        <v>724656</v>
      </c>
      <c r="B219" s="31" t="n">
        <v>46133</v>
      </c>
      <c r="C219" s="19" t="inlineStr">
        <is>
          <t>CHICAGO POLICE DEPARTMENT</t>
        </is>
      </c>
      <c r="D219" s="19" t="inlineStr">
        <is>
          <t>Primo Brands</t>
        </is>
      </c>
      <c r="E219" s="20" t="inlineStr">
        <is>
          <t>Water Services</t>
        </is>
      </c>
      <c r="F219" s="21" t="n">
        <v>113.9</v>
      </c>
      <c r="G219" s="19" t="inlineStr">
        <is>
          <t>1. Pending New Contract - Original Contract Expired. New Contract in Process</t>
        </is>
      </c>
      <c r="H219" s="19" t="inlineStr">
        <is>
          <t>A. Specification Development Phase</t>
        </is>
      </c>
      <c r="I219" s="19" t="inlineStr">
        <is>
          <t>APPROVED</t>
        </is>
      </c>
      <c r="J219" s="19" t="inlineStr">
        <is>
          <t>Yes</t>
        </is>
      </c>
      <c r="K219" s="19" t="inlineStr">
        <is>
          <t>No</t>
        </is>
      </c>
      <c r="L219" s="19" t="inlineStr"/>
      <c r="M219" s="19" t="inlineStr">
        <is>
          <t>RX676831</t>
        </is>
      </c>
      <c r="N219" s="19" t="inlineStr">
        <is>
          <t>E</t>
        </is>
      </c>
      <c r="O219" s="20" t="inlineStr">
        <is>
          <t>No linkage found in awarded contract file</t>
        </is>
      </c>
      <c r="P219" s="19" t="inlineStr"/>
      <c r="Q219" s="19" t="inlineStr"/>
      <c r="R219" s="31" t="inlineStr"/>
      <c r="S219" s="19" t="inlineStr"/>
      <c r="T219" s="19" t="inlineStr">
        <is>
          <t>No</t>
        </is>
      </c>
      <c r="U219" s="19" t="inlineStr">
        <is>
          <t>No</t>
        </is>
      </c>
      <c r="V219" s="19" t="inlineStr">
        <is>
          <t>No</t>
        </is>
      </c>
      <c r="W219" s="19" t="inlineStr">
        <is>
          <t>Yes</t>
        </is>
      </c>
    </row>
    <row r="220">
      <c r="A220" s="19" t="n">
        <v>744236</v>
      </c>
      <c r="B220" s="31" t="n">
        <v>46238</v>
      </c>
      <c r="C220" s="19" t="inlineStr">
        <is>
          <t>CHICAGO POLICE DEPARTMENT</t>
        </is>
      </c>
      <c r="D220" s="19" t="inlineStr">
        <is>
          <t xml:space="preserve">REPUBLIC SERVICES INC </t>
        </is>
      </c>
      <c r="E220" s="20" t="inlineStr">
        <is>
          <t>Republic Service Inv# 0710-005914497</t>
        </is>
      </c>
      <c r="F220" s="21" t="n">
        <v>4891.34</v>
      </c>
      <c r="G220" s="19" t="inlineStr">
        <is>
          <t>1. Pending New Contract - Original Contract Expired. New Contract in Process</t>
        </is>
      </c>
      <c r="H220" s="19" t="inlineStr">
        <is>
          <t>A. Specification Development Phase</t>
        </is>
      </c>
      <c r="I220" s="19" t="inlineStr">
        <is>
          <t>APPROVED</t>
        </is>
      </c>
      <c r="J220" s="19" t="inlineStr">
        <is>
          <t>Yes</t>
        </is>
      </c>
      <c r="K220" s="19" t="inlineStr">
        <is>
          <t>No</t>
        </is>
      </c>
      <c r="L220" s="19" t="inlineStr"/>
      <c r="M220" s="19" t="inlineStr">
        <is>
          <t>RX739465</t>
        </is>
      </c>
      <c r="N220" s="19" t="inlineStr">
        <is>
          <t>E</t>
        </is>
      </c>
      <c r="O220" s="20" t="inlineStr">
        <is>
          <t>No linkage found in awarded contract file</t>
        </is>
      </c>
      <c r="P220" s="19" t="inlineStr"/>
      <c r="Q220" s="19" t="inlineStr"/>
      <c r="R220" s="31" t="inlineStr"/>
      <c r="S220" s="19" t="inlineStr"/>
      <c r="T220" s="19" t="inlineStr">
        <is>
          <t>No</t>
        </is>
      </c>
      <c r="U220" s="19" t="inlineStr">
        <is>
          <t>No</t>
        </is>
      </c>
      <c r="V220" s="19" t="inlineStr">
        <is>
          <t>No</t>
        </is>
      </c>
      <c r="W220" s="19" t="inlineStr">
        <is>
          <t>Yes</t>
        </is>
      </c>
    </row>
    <row r="221">
      <c r="A221" s="19" t="n">
        <v>716092</v>
      </c>
      <c r="B221" s="31" t="n">
        <v>46078</v>
      </c>
      <c r="C221" s="19" t="inlineStr">
        <is>
          <t>CHICAGO DEPARTMENT OF PUBLIC HEALTH</t>
        </is>
      </c>
      <c r="D221" s="19" t="inlineStr">
        <is>
          <t>FLOWERS COMMUNICATIONS GROUP</t>
        </is>
      </c>
      <c r="E221" s="20" t="inlineStr">
        <is>
          <t>Emergency Preparedness Kits</t>
        </is>
      </c>
      <c r="F221" s="21" t="n">
        <v>152418</v>
      </c>
      <c r="G221" s="19" t="inlineStr">
        <is>
          <t>3. One Time Purchase</t>
        </is>
      </c>
      <c r="H221" s="19" t="inlineStr">
        <is>
          <t>H. One Time Purchase</t>
        </is>
      </c>
      <c r="I221" s="19" t="inlineStr">
        <is>
          <t>APPROVED</t>
        </is>
      </c>
      <c r="J221" s="19" t="inlineStr">
        <is>
          <t>No</t>
        </is>
      </c>
      <c r="K221" s="19" t="inlineStr">
        <is>
          <t>No</t>
        </is>
      </c>
      <c r="L221" s="19" t="inlineStr"/>
      <c r="M221" s="19" t="inlineStr">
        <is>
          <t>VDFLOWERS COMMUNICATIONS</t>
        </is>
      </c>
      <c r="N221" s="19" t="inlineStr">
        <is>
          <t>E</t>
        </is>
      </c>
      <c r="O221" s="20" t="inlineStr">
        <is>
          <t>No linkage found in awarded contract file</t>
        </is>
      </c>
      <c r="P221" s="19" t="inlineStr"/>
      <c r="Q221" s="19" t="inlineStr"/>
      <c r="R221" s="31" t="inlineStr"/>
      <c r="S221" s="19" t="inlineStr"/>
      <c r="T221" s="19" t="inlineStr">
        <is>
          <t>No</t>
        </is>
      </c>
      <c r="U221" s="19" t="inlineStr">
        <is>
          <t>No</t>
        </is>
      </c>
      <c r="V221" s="19" t="inlineStr">
        <is>
          <t>No</t>
        </is>
      </c>
      <c r="W221" s="19" t="inlineStr">
        <is>
          <t>No</t>
        </is>
      </c>
    </row>
    <row r="222">
      <c r="A222" s="19" t="n">
        <v>714574</v>
      </c>
      <c r="B222" s="31" t="n">
        <v>46077</v>
      </c>
      <c r="C222" s="19" t="inlineStr">
        <is>
          <t>CHICAGO DEPARTMENT OF AVIATION</t>
        </is>
      </c>
      <c r="D222" s="19" t="inlineStr">
        <is>
          <t>DTN, LLC</t>
        </is>
      </c>
      <c r="E222" s="20" t="inlineStr">
        <is>
          <t>Invoice# 210-00227250 Acct# 1750627 for Service Period: 10/01/2025 - 10/31/2025 WEATHER FORECASTING SERVICE - O'HARE</t>
        </is>
      </c>
      <c r="F222" s="21" t="n">
        <v>3105</v>
      </c>
      <c r="G222" s="19" t="inlineStr">
        <is>
          <t>5. User Dept. Decision - Elects to Purchase Smaller Goods or Services not Covered by Existing Contract</t>
        </is>
      </c>
      <c r="H222" s="19" t="inlineStr">
        <is>
          <t>A. Specification Development Phase</t>
        </is>
      </c>
      <c r="I222" s="19" t="inlineStr">
        <is>
          <t>APPROVED</t>
        </is>
      </c>
      <c r="J222" s="19" t="inlineStr">
        <is>
          <t>Yes</t>
        </is>
      </c>
      <c r="K222" s="19" t="inlineStr">
        <is>
          <t>No</t>
        </is>
      </c>
      <c r="L222" s="19" t="inlineStr"/>
      <c r="M222" s="19" t="inlineStr">
        <is>
          <t>RX656425</t>
        </is>
      </c>
      <c r="N222" s="19" t="inlineStr">
        <is>
          <t>E</t>
        </is>
      </c>
      <c r="O222" s="20" t="inlineStr">
        <is>
          <t>No linkage found in awarded contract file</t>
        </is>
      </c>
      <c r="P222" s="19" t="inlineStr"/>
      <c r="Q222" s="19" t="inlineStr"/>
      <c r="R222" s="31" t="inlineStr"/>
      <c r="S222" s="19" t="inlineStr"/>
      <c r="T222" s="19" t="inlineStr">
        <is>
          <t>No</t>
        </is>
      </c>
      <c r="U222" s="19" t="inlineStr">
        <is>
          <t>No</t>
        </is>
      </c>
      <c r="V222" s="19" t="inlineStr">
        <is>
          <t>No</t>
        </is>
      </c>
      <c r="W222" s="19" t="inlineStr">
        <is>
          <t>Yes</t>
        </is>
      </c>
    </row>
    <row r="223">
      <c r="A223" s="19" t="n">
        <v>720837</v>
      </c>
      <c r="B223" s="31" t="n">
        <v>46107</v>
      </c>
      <c r="C223" s="19" t="inlineStr">
        <is>
          <t>OFFICE OF CITY CLERK</t>
        </is>
      </c>
      <c r="D223" s="19" t="inlineStr">
        <is>
          <t>TAYLOR COMMUNICATIONS INC</t>
        </is>
      </c>
      <c r="E223" s="20" t="inlineStr">
        <is>
          <t>Passenger City Stickers</t>
        </is>
      </c>
      <c r="F223" s="21" t="n">
        <v>43131.9</v>
      </c>
      <c r="G223" s="19" t="inlineStr">
        <is>
          <t>1. Pending New Contract - Original Contract Expired. New Contract in Process</t>
        </is>
      </c>
      <c r="H223" s="19" t="inlineStr">
        <is>
          <t>A. Specification Development Phase</t>
        </is>
      </c>
      <c r="I223" s="19" t="inlineStr">
        <is>
          <t>APPROVED</t>
        </is>
      </c>
      <c r="J223" s="19" t="inlineStr">
        <is>
          <t>Yes</t>
        </is>
      </c>
      <c r="K223" s="19" t="inlineStr">
        <is>
          <t>No</t>
        </is>
      </c>
      <c r="L223" s="19" t="inlineStr"/>
      <c r="M223" s="19" t="inlineStr">
        <is>
          <t>RX712876</t>
        </is>
      </c>
      <c r="N223" s="19" t="inlineStr">
        <is>
          <t>E</t>
        </is>
      </c>
      <c r="O223" s="20" t="inlineStr">
        <is>
          <t>No linkage found in awarded contract file</t>
        </is>
      </c>
      <c r="P223" s="19" t="inlineStr"/>
      <c r="Q223" s="19" t="inlineStr"/>
      <c r="R223" s="31" t="inlineStr"/>
      <c r="S223" s="19" t="inlineStr"/>
      <c r="T223" s="19" t="inlineStr">
        <is>
          <t>No</t>
        </is>
      </c>
      <c r="U223" s="19" t="inlineStr">
        <is>
          <t>No</t>
        </is>
      </c>
      <c r="V223" s="19" t="inlineStr">
        <is>
          <t>No</t>
        </is>
      </c>
      <c r="W223" s="19" t="inlineStr">
        <is>
          <t>Yes</t>
        </is>
      </c>
    </row>
    <row r="224">
      <c r="A224" s="19" t="n">
        <v>746018</v>
      </c>
      <c r="B224" s="31" t="n">
        <v>46251</v>
      </c>
      <c r="C224" s="19" t="inlineStr">
        <is>
          <t>DEPARTMENT OF STREETS AND SANITATION</t>
        </is>
      </c>
      <c r="D224" s="19" t="inlineStr">
        <is>
          <t>CHICAGO UNITED INDUSTRIES, LTD</t>
        </is>
      </c>
      <c r="E224" s="20" t="inlineStr">
        <is>
          <t>TARP - SALT TARPING</t>
        </is>
      </c>
      <c r="F224" s="21" t="n">
        <v>327473.06</v>
      </c>
      <c r="G224" s="19" t="inlineStr">
        <is>
          <t>1. Pending New Contract - Original Contract Expired. New Contract in Process</t>
        </is>
      </c>
      <c r="H224" s="19" t="inlineStr">
        <is>
          <t>A. Specification Development Phase</t>
        </is>
      </c>
      <c r="I224" s="19" t="inlineStr">
        <is>
          <t>DENIED</t>
        </is>
      </c>
      <c r="J224" s="19" t="inlineStr">
        <is>
          <t>Yes</t>
        </is>
      </c>
      <c r="K224" s="19" t="inlineStr">
        <is>
          <t>No</t>
        </is>
      </c>
      <c r="L224" s="19" t="inlineStr"/>
      <c r="M224" s="19" t="inlineStr">
        <is>
          <t>RX511569</t>
        </is>
      </c>
      <c r="N224" s="19" t="inlineStr">
        <is>
          <t>E</t>
        </is>
      </c>
      <c r="O224" s="20" t="inlineStr">
        <is>
          <t>No linkage found in awarded contract file</t>
        </is>
      </c>
      <c r="P224" s="19" t="inlineStr"/>
      <c r="Q224" s="19" t="inlineStr"/>
      <c r="R224" s="31" t="inlineStr"/>
      <c r="S224" s="19" t="inlineStr"/>
      <c r="T224" s="19" t="inlineStr">
        <is>
          <t>No</t>
        </is>
      </c>
      <c r="U224" s="19" t="inlineStr">
        <is>
          <t>No</t>
        </is>
      </c>
      <c r="V224" s="19" t="inlineStr">
        <is>
          <t>No</t>
        </is>
      </c>
      <c r="W224" s="19" t="inlineStr">
        <is>
          <t>Yes</t>
        </is>
      </c>
    </row>
    <row r="225">
      <c r="A225" s="19" t="n">
        <v>727833</v>
      </c>
      <c r="B225" s="31" t="n">
        <v>46141</v>
      </c>
      <c r="C225" s="19" t="inlineStr">
        <is>
          <t>DEPARTMENT OF FLEET AND FACILITY MANAGEMENT</t>
        </is>
      </c>
      <c r="D225" s="19" t="inlineStr">
        <is>
          <t>C &amp; C COMMUNICATIONS IL</t>
        </is>
      </c>
      <c r="E225" s="20" t="inlineStr">
        <is>
          <t>TB/CC/INVOICE #3373/$676.35</t>
        </is>
      </c>
      <c r="F225" s="21" t="n">
        <v>676.35</v>
      </c>
      <c r="G225" s="19" t="inlineStr">
        <is>
          <t>2. Pending Amendment/Modification - Line Item Addition / Vendor Limit Increase / Scope Change</t>
        </is>
      </c>
      <c r="H225" s="19" t="inlineStr">
        <is>
          <t>A. Specification Development Phase</t>
        </is>
      </c>
      <c r="I225" s="19" t="inlineStr">
        <is>
          <t>APPROVED</t>
        </is>
      </c>
      <c r="J225" s="19" t="inlineStr">
        <is>
          <t>No</t>
        </is>
      </c>
      <c r="K225" s="19" t="inlineStr">
        <is>
          <t>No</t>
        </is>
      </c>
      <c r="L225" s="19" t="inlineStr"/>
      <c r="M225" s="19" t="inlineStr">
        <is>
          <t>RX710994</t>
        </is>
      </c>
      <c r="N225" s="19" t="inlineStr">
        <is>
          <t>E</t>
        </is>
      </c>
      <c r="O225" s="20" t="inlineStr">
        <is>
          <t>No linkage found in awarded contract file</t>
        </is>
      </c>
      <c r="P225" s="19" t="inlineStr"/>
      <c r="Q225" s="19" t="inlineStr"/>
      <c r="R225" s="31" t="inlineStr"/>
      <c r="S225" s="19" t="inlineStr"/>
      <c r="T225" s="19" t="inlineStr">
        <is>
          <t>No</t>
        </is>
      </c>
      <c r="U225" s="19" t="inlineStr">
        <is>
          <t>No</t>
        </is>
      </c>
      <c r="V225" s="19" t="inlineStr">
        <is>
          <t>No</t>
        </is>
      </c>
      <c r="W225" s="19" t="inlineStr">
        <is>
          <t>No</t>
        </is>
      </c>
    </row>
    <row r="226">
      <c r="A226" s="19" t="n">
        <v>742405</v>
      </c>
      <c r="B226" s="31" t="n">
        <v>46226</v>
      </c>
      <c r="C226" s="19" t="inlineStr">
        <is>
          <t>DEPARTMENT OF FLEET AND FACILITY MANAGEMENT</t>
        </is>
      </c>
      <c r="D226" s="19" t="inlineStr">
        <is>
          <t>A SAFE HAVEN FOUNDATION</t>
        </is>
      </c>
      <c r="E226" s="20" t="inlineStr">
        <is>
          <t>TB/VJ/5 INVOICES/$73,077.69</t>
        </is>
      </c>
      <c r="F226" s="21" t="n">
        <v>73077.69</v>
      </c>
      <c r="G226" s="19" t="inlineStr">
        <is>
          <t>1. Pending New Contract - Original Contract Expired. New Contract in Process</t>
        </is>
      </c>
      <c r="H226" s="19" t="inlineStr">
        <is>
          <t>B. City Law Review</t>
        </is>
      </c>
      <c r="I226" s="19" t="inlineStr">
        <is>
          <t>APPROVED</t>
        </is>
      </c>
      <c r="J226" s="19" t="inlineStr">
        <is>
          <t>Yes</t>
        </is>
      </c>
      <c r="K226" s="19" t="inlineStr">
        <is>
          <t>No</t>
        </is>
      </c>
      <c r="L226" s="19" t="inlineStr"/>
      <c r="M226" s="19" t="inlineStr">
        <is>
          <t>RX596443</t>
        </is>
      </c>
      <c r="N226" s="19" t="inlineStr">
        <is>
          <t>E</t>
        </is>
      </c>
      <c r="O226" s="20" t="inlineStr">
        <is>
          <t>No linkage found in awarded contract file</t>
        </is>
      </c>
      <c r="P226" s="19" t="inlineStr"/>
      <c r="Q226" s="19" t="inlineStr"/>
      <c r="R226" s="31" t="inlineStr"/>
      <c r="S226" s="19" t="inlineStr"/>
      <c r="T226" s="19" t="inlineStr">
        <is>
          <t>No</t>
        </is>
      </c>
      <c r="U226" s="19" t="inlineStr">
        <is>
          <t>No</t>
        </is>
      </c>
      <c r="V226" s="19" t="inlineStr">
        <is>
          <t>No</t>
        </is>
      </c>
      <c r="W226" s="19" t="inlineStr">
        <is>
          <t>Yes</t>
        </is>
      </c>
    </row>
    <row r="227">
      <c r="A227" s="19" t="n">
        <v>734415</v>
      </c>
      <c r="B227" s="31" t="n">
        <v>46181</v>
      </c>
      <c r="C227" s="19" t="inlineStr">
        <is>
          <t>DEPARTMENT OF FLEET AND FACILITY MANAGEMENT</t>
        </is>
      </c>
      <c r="D227" s="19" t="inlineStr">
        <is>
          <t>ACORN GARAGE INC</t>
        </is>
      </c>
      <c r="E227" s="20" t="inlineStr">
        <is>
          <t>TB/MM/3 INVOICES/$234.00</t>
        </is>
      </c>
      <c r="F227" s="21" t="n">
        <v>234</v>
      </c>
      <c r="G227" s="19" t="inlineStr">
        <is>
          <t>1. Pending New Contract - Original Contract Expired. New Contract in Process</t>
        </is>
      </c>
      <c r="H227" s="19" t="inlineStr">
        <is>
          <t>B. City Law Review</t>
        </is>
      </c>
      <c r="I227" s="19" t="inlineStr">
        <is>
          <t>APPROVED</t>
        </is>
      </c>
      <c r="J227" s="19" t="inlineStr">
        <is>
          <t>Yes</t>
        </is>
      </c>
      <c r="K227" s="19" t="inlineStr">
        <is>
          <t>No</t>
        </is>
      </c>
      <c r="L227" s="19" t="inlineStr"/>
      <c r="M227" s="19" t="inlineStr">
        <is>
          <t>RX636139</t>
        </is>
      </c>
      <c r="N227" s="19" t="inlineStr">
        <is>
          <t>E</t>
        </is>
      </c>
      <c r="O227" s="20" t="inlineStr">
        <is>
          <t>No linkage found in awarded contract file</t>
        </is>
      </c>
      <c r="P227" s="19" t="inlineStr"/>
      <c r="Q227" s="19" t="inlineStr"/>
      <c r="R227" s="31" t="inlineStr"/>
      <c r="S227" s="19" t="inlineStr"/>
      <c r="T227" s="19" t="inlineStr">
        <is>
          <t>No</t>
        </is>
      </c>
      <c r="U227" s="19" t="inlineStr">
        <is>
          <t>No</t>
        </is>
      </c>
      <c r="V227" s="19" t="inlineStr">
        <is>
          <t>No</t>
        </is>
      </c>
      <c r="W227" s="19" t="inlineStr">
        <is>
          <t>Yes</t>
        </is>
      </c>
    </row>
    <row r="228">
      <c r="A228" s="19" t="n">
        <v>711567</v>
      </c>
      <c r="B228" s="31" t="n">
        <v>46052</v>
      </c>
      <c r="C228" s="19" t="inlineStr">
        <is>
          <t>DEPARTMENT OF FLEET AND FACILITY MANAGEMENT</t>
        </is>
      </c>
      <c r="D228" s="19" t="inlineStr">
        <is>
          <t>INDUSTRIAL FENCE INC.</t>
        </is>
      </c>
      <c r="E228" s="20" t="inlineStr">
        <is>
          <t>TB/INV #25443 / $1824.50</t>
        </is>
      </c>
      <c r="F228" s="21" t="n">
        <v>1824.5</v>
      </c>
      <c r="G228" s="19" t="inlineStr">
        <is>
          <t>1. Pending New Contract - Original Contract Expired. New Contract in Process</t>
        </is>
      </c>
      <c r="H228" s="19" t="inlineStr">
        <is>
          <t>A. Specification Development Phase</t>
        </is>
      </c>
      <c r="I228" s="19" t="inlineStr">
        <is>
          <t>APPROVED</t>
        </is>
      </c>
      <c r="J228" s="19" t="inlineStr">
        <is>
          <t>No</t>
        </is>
      </c>
      <c r="K228" s="19" t="inlineStr">
        <is>
          <t>No</t>
        </is>
      </c>
      <c r="L228" s="19" t="inlineStr">
        <is>
          <t>TBD</t>
        </is>
      </c>
      <c r="M228" s="19" t="inlineStr">
        <is>
          <t>RX596048</t>
        </is>
      </c>
      <c r="N228" s="19" t="inlineStr">
        <is>
          <t>E</t>
        </is>
      </c>
      <c r="O228" s="20" t="inlineStr">
        <is>
          <t>No linkage found in awarded contract file</t>
        </is>
      </c>
      <c r="P228" s="19" t="inlineStr"/>
      <c r="Q228" s="19" t="inlineStr"/>
      <c r="R228" s="31" t="inlineStr"/>
      <c r="S228" s="19" t="inlineStr"/>
      <c r="T228" s="19" t="inlineStr">
        <is>
          <t>No</t>
        </is>
      </c>
      <c r="U228" s="19" t="inlineStr">
        <is>
          <t>No</t>
        </is>
      </c>
      <c r="V228" s="19" t="inlineStr">
        <is>
          <t>No</t>
        </is>
      </c>
      <c r="W228" s="19" t="inlineStr">
        <is>
          <t>No</t>
        </is>
      </c>
    </row>
    <row r="229">
      <c r="A229" s="19" t="n">
        <v>746625</v>
      </c>
      <c r="B229" s="31" t="n">
        <v>46253</v>
      </c>
      <c r="C229" s="19" t="inlineStr">
        <is>
          <t>DEPARTMENT OF FLEET AND FACILITY MANAGEMENT</t>
        </is>
      </c>
      <c r="D229" s="19" t="inlineStr">
        <is>
          <t>CHARLES EQUIPMENT ENERGY SYSTEMS LLC</t>
        </is>
      </c>
      <c r="E229" s="20" t="inlineStr">
        <is>
          <t>TB/CE/10 INVOICES/$38,778.12</t>
        </is>
      </c>
      <c r="F229" s="21" t="n">
        <v>38778.12</v>
      </c>
      <c r="G229" s="19" t="inlineStr">
        <is>
          <t>1. Pending New Contract - Original Contract Expired. New Contract in Process</t>
        </is>
      </c>
      <c r="H229" s="19" t="inlineStr">
        <is>
          <t>A. Specification Development Phase</t>
        </is>
      </c>
      <c r="I229" s="19" t="inlineStr">
        <is>
          <t>APPROVED</t>
        </is>
      </c>
      <c r="J229" s="19" t="inlineStr">
        <is>
          <t>Yes</t>
        </is>
      </c>
      <c r="K229" s="19" t="inlineStr">
        <is>
          <t>No</t>
        </is>
      </c>
      <c r="L229" s="19" t="inlineStr"/>
      <c r="M229" s="19" t="inlineStr">
        <is>
          <t>RX622326</t>
        </is>
      </c>
      <c r="N229" s="19" t="inlineStr">
        <is>
          <t>E</t>
        </is>
      </c>
      <c r="O229" s="20" t="inlineStr">
        <is>
          <t>No linkage found in awarded contract file</t>
        </is>
      </c>
      <c r="P229" s="19" t="inlineStr"/>
      <c r="Q229" s="19" t="inlineStr"/>
      <c r="R229" s="31" t="inlineStr"/>
      <c r="S229" s="19" t="inlineStr"/>
      <c r="T229" s="19" t="inlineStr">
        <is>
          <t>No</t>
        </is>
      </c>
      <c r="U229" s="19" t="inlineStr">
        <is>
          <t>No</t>
        </is>
      </c>
      <c r="V229" s="19" t="inlineStr">
        <is>
          <t>No</t>
        </is>
      </c>
      <c r="W229" s="19" t="inlineStr">
        <is>
          <t>Yes</t>
        </is>
      </c>
    </row>
    <row r="230">
      <c r="A230" s="19" t="n">
        <v>727975</v>
      </c>
      <c r="B230" s="31" t="n">
        <v>46141</v>
      </c>
      <c r="C230" s="19" t="inlineStr">
        <is>
          <t>DEPARTMENT OF FLEET AND FACILITY MANAGEMENT</t>
        </is>
      </c>
      <c r="D230" s="19" t="inlineStr">
        <is>
          <t>ARLINGTON GLASS &amp; MIRROR</t>
        </is>
      </c>
      <c r="E230" s="20" t="inlineStr">
        <is>
          <t>TB/AO/INVOICE #74570/$8486.40</t>
        </is>
      </c>
      <c r="F230" s="21" t="n">
        <v>8486.4</v>
      </c>
      <c r="G230" s="19" t="inlineStr">
        <is>
          <t>1. Pending New Contract - Original Contract Expired. New Contract in Process</t>
        </is>
      </c>
      <c r="H230" s="19" t="inlineStr">
        <is>
          <t>A. Specification Development Phase</t>
        </is>
      </c>
      <c r="I230" s="19" t="inlineStr">
        <is>
          <t>APPROVED</t>
        </is>
      </c>
      <c r="J230" s="19" t="inlineStr">
        <is>
          <t>Yes</t>
        </is>
      </c>
      <c r="K230" s="19" t="inlineStr">
        <is>
          <t>No</t>
        </is>
      </c>
      <c r="L230" s="19" t="inlineStr"/>
      <c r="M230" s="19" t="inlineStr">
        <is>
          <t>RX647383</t>
        </is>
      </c>
      <c r="N230" s="19" t="inlineStr">
        <is>
          <t>E</t>
        </is>
      </c>
      <c r="O230" s="20" t="inlineStr">
        <is>
          <t>No linkage found in awarded contract file</t>
        </is>
      </c>
      <c r="P230" s="19" t="inlineStr"/>
      <c r="Q230" s="19" t="inlineStr"/>
      <c r="R230" s="31" t="inlineStr"/>
      <c r="S230" s="19" t="inlineStr"/>
      <c r="T230" s="19" t="inlineStr">
        <is>
          <t>No</t>
        </is>
      </c>
      <c r="U230" s="19" t="inlineStr">
        <is>
          <t>No</t>
        </is>
      </c>
      <c r="V230" s="19" t="inlineStr">
        <is>
          <t>No</t>
        </is>
      </c>
      <c r="W230" s="19" t="inlineStr">
        <is>
          <t>Yes</t>
        </is>
      </c>
    </row>
    <row r="231">
      <c r="A231" s="19" t="n">
        <v>721902</v>
      </c>
      <c r="B231" s="31" t="n">
        <v>46107</v>
      </c>
      <c r="C231" s="19" t="inlineStr">
        <is>
          <t>DEPARTMENT OF FLEET AND FACILITY MANAGEMENT</t>
        </is>
      </c>
      <c r="D231" s="19" t="inlineStr">
        <is>
          <t>ARLINGTON GLASS &amp; MIRROR</t>
        </is>
      </c>
      <c r="E231" s="20" t="inlineStr">
        <is>
          <t>TB/AO/INV #75144/$491.90</t>
        </is>
      </c>
      <c r="F231" s="21" t="n">
        <v>491.9</v>
      </c>
      <c r="G231" s="19" t="inlineStr">
        <is>
          <t>1. Pending New Contract - Original Contract Expired. New Contract in Process</t>
        </is>
      </c>
      <c r="H231" s="19" t="inlineStr">
        <is>
          <t>A. Specification Development Phase</t>
        </is>
      </c>
      <c r="I231" s="19" t="inlineStr">
        <is>
          <t>APPROVED</t>
        </is>
      </c>
      <c r="J231" s="19" t="inlineStr">
        <is>
          <t>Yes</t>
        </is>
      </c>
      <c r="K231" s="19" t="inlineStr">
        <is>
          <t>No</t>
        </is>
      </c>
      <c r="L231" s="19" t="inlineStr"/>
      <c r="M231" s="19" t="inlineStr">
        <is>
          <t>RX647383</t>
        </is>
      </c>
      <c r="N231" s="19" t="inlineStr">
        <is>
          <t>E</t>
        </is>
      </c>
      <c r="O231" s="20" t="inlineStr">
        <is>
          <t>No linkage found in awarded contract file</t>
        </is>
      </c>
      <c r="P231" s="19" t="inlineStr"/>
      <c r="Q231" s="19" t="inlineStr"/>
      <c r="R231" s="31" t="inlineStr"/>
      <c r="S231" s="19" t="inlineStr"/>
      <c r="T231" s="19" t="inlineStr">
        <is>
          <t>No</t>
        </is>
      </c>
      <c r="U231" s="19" t="inlineStr">
        <is>
          <t>No</t>
        </is>
      </c>
      <c r="V231" s="19" t="inlineStr">
        <is>
          <t>No</t>
        </is>
      </c>
      <c r="W231" s="19" t="inlineStr">
        <is>
          <t>Yes</t>
        </is>
      </c>
    </row>
    <row r="232">
      <c r="A232" s="19" t="n">
        <v>741504</v>
      </c>
      <c r="B232" s="31" t="n">
        <v>46223</v>
      </c>
      <c r="C232" s="19" t="inlineStr">
        <is>
          <t>DEPARTMENT OF FLEET AND FACILITY MANAGEMENT</t>
        </is>
      </c>
      <c r="D232" s="19" t="inlineStr">
        <is>
          <t>JACOB PRESS' SONS INC</t>
        </is>
      </c>
      <c r="E232" s="20" t="inlineStr">
        <is>
          <t>TB/MM/INVOICE #598718/$777.99</t>
        </is>
      </c>
      <c r="F232" s="21" t="n">
        <v>777.99</v>
      </c>
      <c r="G232" s="19" t="inlineStr">
        <is>
          <t>1. Pending New Contract - Original Contract Expired. New Contract in Process</t>
        </is>
      </c>
      <c r="H232" s="19" t="inlineStr">
        <is>
          <t>B. City Law Review</t>
        </is>
      </c>
      <c r="I232" s="19" t="inlineStr">
        <is>
          <t>APPROVED</t>
        </is>
      </c>
      <c r="J232" s="19" t="inlineStr">
        <is>
          <t>Yes</t>
        </is>
      </c>
      <c r="K232" s="19" t="inlineStr">
        <is>
          <t>No</t>
        </is>
      </c>
      <c r="L232" s="19" t="inlineStr"/>
      <c r="M232" s="19" t="inlineStr">
        <is>
          <t>RX590958</t>
        </is>
      </c>
      <c r="N232" s="19" t="inlineStr">
        <is>
          <t>E</t>
        </is>
      </c>
      <c r="O232" s="20" t="inlineStr">
        <is>
          <t>No linkage found in awarded contract file</t>
        </is>
      </c>
      <c r="P232" s="19" t="inlineStr"/>
      <c r="Q232" s="19" t="inlineStr"/>
      <c r="R232" s="31" t="inlineStr"/>
      <c r="S232" s="19" t="inlineStr"/>
      <c r="T232" s="19" t="inlineStr">
        <is>
          <t>No</t>
        </is>
      </c>
      <c r="U232" s="19" t="inlineStr">
        <is>
          <t>No</t>
        </is>
      </c>
      <c r="V232" s="19" t="inlineStr">
        <is>
          <t>No</t>
        </is>
      </c>
      <c r="W232" s="19" t="inlineStr">
        <is>
          <t>Yes</t>
        </is>
      </c>
    </row>
    <row r="233">
      <c r="A233" s="19" t="n">
        <v>728257</v>
      </c>
      <c r="B233" s="31" t="n">
        <v>46142</v>
      </c>
      <c r="C233" s="19" t="inlineStr">
        <is>
          <t>DEPARTMENT OF FLEET AND FACILITY MANAGEMENT</t>
        </is>
      </c>
      <c r="D233" s="19" t="inlineStr">
        <is>
          <t>IRON MOUNTAIN RECORDS</t>
        </is>
      </c>
      <c r="E233" s="20" t="inlineStr">
        <is>
          <t>TB/MS/INVOICE #KZYC095/$22,116.03</t>
        </is>
      </c>
      <c r="F233" s="21" t="n">
        <v>22116.03</v>
      </c>
      <c r="G233" s="19" t="inlineStr">
        <is>
          <t>1. Pending New Contract - Original Contract Expired. New Contract in Process</t>
        </is>
      </c>
      <c r="H233" s="19" t="inlineStr">
        <is>
          <t>E. ROA - (Recommendation of Award)</t>
        </is>
      </c>
      <c r="I233" s="19" t="inlineStr">
        <is>
          <t>APPROVED</t>
        </is>
      </c>
      <c r="J233" s="19" t="inlineStr">
        <is>
          <t>Yes</t>
        </is>
      </c>
      <c r="K233" s="19" t="inlineStr">
        <is>
          <t>No</t>
        </is>
      </c>
      <c r="L233" s="19" t="inlineStr">
        <is>
          <t>NO</t>
        </is>
      </c>
      <c r="M233" s="19" t="inlineStr">
        <is>
          <t>RX425669</t>
        </is>
      </c>
      <c r="N233" s="19" t="inlineStr">
        <is>
          <t>E</t>
        </is>
      </c>
      <c r="O233" s="20" t="inlineStr">
        <is>
          <t>No linkage found in awarded contract file</t>
        </is>
      </c>
      <c r="P233" s="19" t="inlineStr"/>
      <c r="Q233" s="19" t="inlineStr"/>
      <c r="R233" s="31" t="inlineStr"/>
      <c r="S233" s="19" t="inlineStr"/>
      <c r="T233" s="19" t="inlineStr">
        <is>
          <t>No</t>
        </is>
      </c>
      <c r="U233" s="19" t="inlineStr">
        <is>
          <t>No</t>
        </is>
      </c>
      <c r="V233" s="19" t="inlineStr">
        <is>
          <t>No</t>
        </is>
      </c>
      <c r="W233" s="19" t="inlineStr">
        <is>
          <t>Yes</t>
        </is>
      </c>
    </row>
    <row r="234">
      <c r="A234" s="19" t="n">
        <v>737595</v>
      </c>
      <c r="B234" s="31" t="n">
        <v>46197</v>
      </c>
      <c r="C234" s="19" t="inlineStr">
        <is>
          <t>DEPARTMENT OF FLEET AND FACILITY MANAGEMENT</t>
        </is>
      </c>
      <c r="D234" s="19" t="inlineStr">
        <is>
          <t>ABC Humane Wildlife Control &amp; Prevention, Inc.</t>
        </is>
      </c>
      <c r="E234" s="20" t="inlineStr">
        <is>
          <t>TB/VJ/5 INVOICES/$18,228.93</t>
        </is>
      </c>
      <c r="F234" s="21" t="n">
        <v>18228.93</v>
      </c>
      <c r="G234" s="19" t="inlineStr">
        <is>
          <t>1. Pending New Contract - Original Contract Expired. New Contract in Process</t>
        </is>
      </c>
      <c r="H234" s="19" t="inlineStr">
        <is>
          <t>A. Specification Development Phase</t>
        </is>
      </c>
      <c r="I234" s="19" t="inlineStr">
        <is>
          <t>APPROVED</t>
        </is>
      </c>
      <c r="J234" s="19" t="inlineStr">
        <is>
          <t>No</t>
        </is>
      </c>
      <c r="K234" s="19" t="inlineStr">
        <is>
          <t>No</t>
        </is>
      </c>
      <c r="L234" s="19" t="inlineStr"/>
      <c r="M234" s="19" t="inlineStr">
        <is>
          <t>RX682957</t>
        </is>
      </c>
      <c r="N234" s="19" t="inlineStr">
        <is>
          <t>E</t>
        </is>
      </c>
      <c r="O234" s="20" t="inlineStr">
        <is>
          <t>No linkage found in awarded contract file</t>
        </is>
      </c>
      <c r="P234" s="19" t="inlineStr"/>
      <c r="Q234" s="19" t="inlineStr"/>
      <c r="R234" s="31" t="inlineStr"/>
      <c r="S234" s="19" t="inlineStr"/>
      <c r="T234" s="19" t="inlineStr">
        <is>
          <t>No</t>
        </is>
      </c>
      <c r="U234" s="19" t="inlineStr">
        <is>
          <t>No</t>
        </is>
      </c>
      <c r="V234" s="19" t="inlineStr">
        <is>
          <t>No</t>
        </is>
      </c>
      <c r="W234" s="19" t="inlineStr">
        <is>
          <t>No</t>
        </is>
      </c>
    </row>
    <row r="235">
      <c r="A235" s="19" t="n">
        <v>711986</v>
      </c>
      <c r="B235" s="31" t="n">
        <v>46056</v>
      </c>
      <c r="C235" s="19" t="inlineStr">
        <is>
          <t>DEPARTMENT OF FLEET AND FACILITY MANAGEMENT</t>
        </is>
      </c>
      <c r="D235" s="19" t="inlineStr">
        <is>
          <t>ABC Humane Wildlife Control &amp; Prevention, Inc.</t>
        </is>
      </c>
      <c r="E235" s="20" t="inlineStr">
        <is>
          <t>TB/AH/ 4 INVOICES / $17,394.79</t>
        </is>
      </c>
      <c r="F235" s="21" t="n">
        <v>17394.79</v>
      </c>
      <c r="G235" s="19" t="inlineStr">
        <is>
          <t>1. Pending New Contract - Original Contract Expired. New Contract in Process</t>
        </is>
      </c>
      <c r="H235" s="19" t="inlineStr">
        <is>
          <t>A. Specification Development Phase</t>
        </is>
      </c>
      <c r="I235" s="19" t="inlineStr">
        <is>
          <t>APPROVED</t>
        </is>
      </c>
      <c r="J235" s="19" t="inlineStr">
        <is>
          <t>No</t>
        </is>
      </c>
      <c r="K235" s="19" t="inlineStr">
        <is>
          <t>No</t>
        </is>
      </c>
      <c r="L235" s="19" t="inlineStr"/>
      <c r="M235" s="19" t="inlineStr">
        <is>
          <t>RX682957</t>
        </is>
      </c>
      <c r="N235" s="19" t="inlineStr">
        <is>
          <t>E</t>
        </is>
      </c>
      <c r="O235" s="20" t="inlineStr">
        <is>
          <t>No linkage found in awarded contract file</t>
        </is>
      </c>
      <c r="P235" s="19" t="inlineStr"/>
      <c r="Q235" s="19" t="inlineStr"/>
      <c r="R235" s="31" t="inlineStr"/>
      <c r="S235" s="19" t="inlineStr"/>
      <c r="T235" s="19" t="inlineStr">
        <is>
          <t>No</t>
        </is>
      </c>
      <c r="U235" s="19" t="inlineStr">
        <is>
          <t>No</t>
        </is>
      </c>
      <c r="V235" s="19" t="inlineStr">
        <is>
          <t>No</t>
        </is>
      </c>
      <c r="W235" s="19" t="inlineStr">
        <is>
          <t>No</t>
        </is>
      </c>
    </row>
    <row r="236">
      <c r="A236" s="19" t="n">
        <v>708095</v>
      </c>
      <c r="B236" s="31" t="n">
        <v>46034</v>
      </c>
      <c r="C236" s="19" t="inlineStr">
        <is>
          <t>DEPARTMENT OF FLEET AND FACILITY MANAGEMENT</t>
        </is>
      </c>
      <c r="D236" s="19" t="inlineStr">
        <is>
          <t>5410 Car Wash LLC</t>
        </is>
      </c>
      <c r="E236" s="20" t="inlineStr">
        <is>
          <t>TB/INV#11302025/$1770.00</t>
        </is>
      </c>
      <c r="F236" s="21" t="n">
        <v>1770</v>
      </c>
      <c r="G236" s="19" t="inlineStr">
        <is>
          <t>1. Pending New Contract - Original Contract Expired. New Contract in Process</t>
        </is>
      </c>
      <c r="H236" s="19" t="inlineStr">
        <is>
          <t>A. Specification Development Phase</t>
        </is>
      </c>
      <c r="I236" s="19" t="inlineStr">
        <is>
          <t>APPROVED</t>
        </is>
      </c>
      <c r="J236" s="19" t="inlineStr">
        <is>
          <t>Yes</t>
        </is>
      </c>
      <c r="K236" s="19" t="inlineStr">
        <is>
          <t>No</t>
        </is>
      </c>
      <c r="L236" s="19" t="inlineStr"/>
      <c r="M236" s="19" t="inlineStr">
        <is>
          <t>RX689540</t>
        </is>
      </c>
      <c r="N236" s="19" t="inlineStr">
        <is>
          <t>E</t>
        </is>
      </c>
      <c r="O236" s="20" t="inlineStr">
        <is>
          <t>No linkage found in awarded contract file</t>
        </is>
      </c>
      <c r="P236" s="19" t="inlineStr"/>
      <c r="Q236" s="19" t="inlineStr"/>
      <c r="R236" s="31" t="inlineStr"/>
      <c r="S236" s="19" t="inlineStr"/>
      <c r="T236" s="19" t="inlineStr">
        <is>
          <t>No</t>
        </is>
      </c>
      <c r="U236" s="19" t="inlineStr">
        <is>
          <t>No</t>
        </is>
      </c>
      <c r="V236" s="19" t="inlineStr">
        <is>
          <t>No</t>
        </is>
      </c>
      <c r="W236" s="19" t="inlineStr">
        <is>
          <t>Yes</t>
        </is>
      </c>
    </row>
    <row r="237">
      <c r="A237" s="19" t="n">
        <v>725162</v>
      </c>
      <c r="B237" s="31" t="n">
        <v>46135</v>
      </c>
      <c r="C237" s="19" t="inlineStr">
        <is>
          <t>DEPARTMENT OF FLEET AND FACILITY MANAGEMENT</t>
        </is>
      </c>
      <c r="D237" s="19" t="inlineStr">
        <is>
          <t>HOLLYWOOD AUTO SPA</t>
        </is>
      </c>
      <c r="E237" s="20" t="inlineStr">
        <is>
          <t>TB/INV#8000011/$414.00</t>
        </is>
      </c>
      <c r="F237" s="21" t="n">
        <v>414</v>
      </c>
      <c r="G237" s="19" t="inlineStr">
        <is>
          <t>1. Pending New Contract - Original Contract Expired. New Contract in Process</t>
        </is>
      </c>
      <c r="H237" s="19" t="inlineStr">
        <is>
          <t>A. Specification Development Phase</t>
        </is>
      </c>
      <c r="I237" s="19" t="inlineStr">
        <is>
          <t>APPROVED</t>
        </is>
      </c>
      <c r="J237" s="19" t="inlineStr">
        <is>
          <t>Yes</t>
        </is>
      </c>
      <c r="K237" s="19" t="inlineStr">
        <is>
          <t>No</t>
        </is>
      </c>
      <c r="L237" s="19" t="inlineStr"/>
      <c r="M237" s="19" t="inlineStr">
        <is>
          <t>RX710856</t>
        </is>
      </c>
      <c r="N237" s="19" t="inlineStr">
        <is>
          <t>E</t>
        </is>
      </c>
      <c r="O237" s="20" t="inlineStr">
        <is>
          <t>No linkage found in awarded contract file</t>
        </is>
      </c>
      <c r="P237" s="19" t="inlineStr"/>
      <c r="Q237" s="19" t="inlineStr"/>
      <c r="R237" s="31" t="inlineStr"/>
      <c r="S237" s="19" t="inlineStr"/>
      <c r="T237" s="19" t="inlineStr">
        <is>
          <t>No</t>
        </is>
      </c>
      <c r="U237" s="19" t="inlineStr">
        <is>
          <t>No</t>
        </is>
      </c>
      <c r="V237" s="19" t="inlineStr">
        <is>
          <t>No</t>
        </is>
      </c>
      <c r="W237" s="19" t="inlineStr">
        <is>
          <t>Yes</t>
        </is>
      </c>
    </row>
    <row r="238">
      <c r="A238" s="19" t="n">
        <v>729850</v>
      </c>
      <c r="B238" s="31" t="n">
        <v>46150</v>
      </c>
      <c r="C238" s="19" t="inlineStr">
        <is>
          <t>DEPARTMENT OF FLEET AND FACILITY MANAGEMENT</t>
        </is>
      </c>
      <c r="D238" s="19" t="inlineStr">
        <is>
          <t>Combined Roofing Services, LLC</t>
        </is>
      </c>
      <c r="E238" s="20" t="inlineStr">
        <is>
          <t>TB/VJ/3 INVOICES/$8449.16</t>
        </is>
      </c>
      <c r="F238" s="21" t="n">
        <v>8449.16</v>
      </c>
      <c r="G238" s="19" t="inlineStr">
        <is>
          <t>1. Pending New Contract - Original Contract Expired. New Contract in Process</t>
        </is>
      </c>
      <c r="H238" s="19" t="inlineStr">
        <is>
          <t>A. Specification Development Phase</t>
        </is>
      </c>
      <c r="I238" s="19" t="inlineStr">
        <is>
          <t>APPROVED</t>
        </is>
      </c>
      <c r="J238" s="19" t="inlineStr">
        <is>
          <t>No</t>
        </is>
      </c>
      <c r="K238" s="19" t="inlineStr">
        <is>
          <t>No</t>
        </is>
      </c>
      <c r="L238" s="19" t="inlineStr"/>
      <c r="M238" s="19" t="inlineStr">
        <is>
          <t>RX627877</t>
        </is>
      </c>
      <c r="N238" s="19" t="inlineStr">
        <is>
          <t>E</t>
        </is>
      </c>
      <c r="O238" s="20" t="inlineStr">
        <is>
          <t>No linkage found in awarded contract file</t>
        </is>
      </c>
      <c r="P238" s="19" t="inlineStr"/>
      <c r="Q238" s="19" t="inlineStr"/>
      <c r="R238" s="31" t="inlineStr"/>
      <c r="S238" s="19" t="inlineStr"/>
      <c r="T238" s="19" t="inlineStr">
        <is>
          <t>No</t>
        </is>
      </c>
      <c r="U238" s="19" t="inlineStr">
        <is>
          <t>No</t>
        </is>
      </c>
      <c r="V238" s="19" t="inlineStr">
        <is>
          <t>No</t>
        </is>
      </c>
      <c r="W238" s="19" t="inlineStr">
        <is>
          <t>No</t>
        </is>
      </c>
    </row>
    <row r="239">
      <c r="A239" s="19" t="n">
        <v>710768</v>
      </c>
      <c r="B239" s="31" t="n">
        <v>46062</v>
      </c>
      <c r="C239" s="19" t="inlineStr">
        <is>
          <t>CHICAGO DEPARTMENT OF PUBLIC HEALTH</t>
        </is>
      </c>
      <c r="D239" s="19" t="inlineStr">
        <is>
          <t>SUNBELT STAFFING LLC</t>
        </is>
      </c>
      <c r="E239" s="20" t="inlineStr">
        <is>
          <t>Sunbelt Outstanding Invoices</t>
        </is>
      </c>
      <c r="F239" s="21" t="n">
        <v>228575</v>
      </c>
      <c r="G239" s="19" t="inlineStr">
        <is>
          <t>1. Pending New Contract - Original Contract Expired. New Contract in Process</t>
        </is>
      </c>
      <c r="H239" s="19" t="inlineStr">
        <is>
          <t>F. SC - (Signature Cycle)</t>
        </is>
      </c>
      <c r="I239" s="19" t="inlineStr">
        <is>
          <t>APPROVED</t>
        </is>
      </c>
      <c r="J239" s="19" t="inlineStr">
        <is>
          <t>Yes</t>
        </is>
      </c>
      <c r="K239" s="19" t="inlineStr">
        <is>
          <t>No</t>
        </is>
      </c>
      <c r="L239" s="19" t="inlineStr">
        <is>
          <t>na</t>
        </is>
      </c>
      <c r="M239" s="19" t="inlineStr">
        <is>
          <t>VDSUNBELT STAFFING</t>
        </is>
      </c>
      <c r="N239" s="19" t="inlineStr">
        <is>
          <t>E</t>
        </is>
      </c>
      <c r="O239" s="20" t="inlineStr">
        <is>
          <t>No linkage found in awarded contract file</t>
        </is>
      </c>
      <c r="P239" s="19" t="inlineStr"/>
      <c r="Q239" s="19" t="inlineStr"/>
      <c r="R239" s="31" t="inlineStr"/>
      <c r="S239" s="19" t="inlineStr"/>
      <c r="T239" s="19" t="inlineStr">
        <is>
          <t>No</t>
        </is>
      </c>
      <c r="U239" s="19" t="inlineStr">
        <is>
          <t>No</t>
        </is>
      </c>
      <c r="V239" s="19" t="inlineStr">
        <is>
          <t>No</t>
        </is>
      </c>
      <c r="W239" s="19" t="inlineStr">
        <is>
          <t>Yes</t>
        </is>
      </c>
    </row>
    <row r="240">
      <c r="A240" s="19" t="n">
        <v>724291</v>
      </c>
      <c r="B240" s="31" t="n">
        <v>46142</v>
      </c>
      <c r="C240" s="19" t="inlineStr">
        <is>
          <t>DEPARTMENT OF HUMAN RESOURCES</t>
        </is>
      </c>
      <c r="D240" s="19" t="inlineStr">
        <is>
          <t>FRANK COONEY CO, INC. DBA EDUCATIONAL ENVIRONMENTS</t>
        </is>
      </c>
      <c r="E240" s="20" t="inlineStr">
        <is>
          <t>FRANK COONEY, INV# 7005, INVOICE DATE 2/18/26, AMOUNT $2,893.75</t>
        </is>
      </c>
      <c r="F240" s="21" t="n">
        <v>2893.75</v>
      </c>
      <c r="G240" s="19" t="inlineStr">
        <is>
          <t>3. One Time Purchase</t>
        </is>
      </c>
      <c r="H240" s="19" t="inlineStr">
        <is>
          <t>H. One Time Purchase</t>
        </is>
      </c>
      <c r="I240" s="19" t="inlineStr">
        <is>
          <t>APPROVED</t>
        </is>
      </c>
      <c r="J240" s="19" t="inlineStr">
        <is>
          <t>No</t>
        </is>
      </c>
      <c r="K240" s="19" t="inlineStr">
        <is>
          <t>Yes</t>
        </is>
      </c>
      <c r="L240" s="19" t="inlineStr">
        <is>
          <t>YES</t>
        </is>
      </c>
      <c r="M240" s="19" t="inlineStr">
        <is>
          <t>VDFRANK COONEY DBA EDUCATIONAL</t>
        </is>
      </c>
      <c r="N240" s="19" t="inlineStr">
        <is>
          <t>E</t>
        </is>
      </c>
      <c r="O240" s="20" t="inlineStr">
        <is>
          <t>No linkage found in awarded contract file</t>
        </is>
      </c>
      <c r="P240" s="19" t="inlineStr"/>
      <c r="Q240" s="19" t="inlineStr"/>
      <c r="R240" s="31" t="inlineStr"/>
      <c r="S240" s="19" t="inlineStr"/>
      <c r="T240" s="19" t="inlineStr">
        <is>
          <t>No</t>
        </is>
      </c>
      <c r="U240" s="19" t="inlineStr">
        <is>
          <t>No</t>
        </is>
      </c>
      <c r="V240" s="19" t="inlineStr">
        <is>
          <t>No</t>
        </is>
      </c>
      <c r="W240" s="19" t="inlineStr">
        <is>
          <t>No</t>
        </is>
      </c>
    </row>
    <row r="241">
      <c r="A241" s="19" t="n">
        <v>716043</v>
      </c>
      <c r="B241" s="31" t="n">
        <v>46078</v>
      </c>
      <c r="C241" s="19" t="inlineStr">
        <is>
          <t>DEPARTMENT OF PROCUREMENT SERVICES</t>
        </is>
      </c>
      <c r="D241" s="19" t="inlineStr">
        <is>
          <t>Service Sanitation Inc.</t>
        </is>
      </c>
      <c r="E241" s="20" t="inlineStr">
        <is>
          <t>RENTAL AND MAINTENANCE OF PORTABLE CHEMICAL TOILETS, SINKS, WASTE WATER BARRELS, PORTABLE WATERLESS HAND SANITIZER DISPENSERS, FRESH WATER TRAILER AND PORTABLE SHOWERS at 10101 S Stony Island Ave Dec 2025</t>
        </is>
      </c>
      <c r="F241" s="21" t="n">
        <v>225</v>
      </c>
      <c r="G241" s="19" t="inlineStr">
        <is>
          <t>2. Pending Amendment/Modification - Line Item Addition / Vendor Limit Increase / Scope Change</t>
        </is>
      </c>
      <c r="H241" s="19" t="inlineStr">
        <is>
          <t>F. SC - (Signature Cycle)</t>
        </is>
      </c>
      <c r="I241" s="19" t="inlineStr">
        <is>
          <t>APPROVED</t>
        </is>
      </c>
      <c r="J241" s="19" t="inlineStr">
        <is>
          <t>Yes</t>
        </is>
      </c>
      <c r="K241" s="19" t="inlineStr">
        <is>
          <t>No</t>
        </is>
      </c>
      <c r="L241" s="19" t="n">
        <v>104512</v>
      </c>
      <c r="M241" s="19" t="inlineStr">
        <is>
          <t>RX701842</t>
        </is>
      </c>
      <c r="N241" s="19" t="inlineStr">
        <is>
          <t>B</t>
        </is>
      </c>
      <c r="O241" s="20" t="inlineStr">
        <is>
          <t>Vendor match + commodity overlap (similarity 0.50)</t>
        </is>
      </c>
      <c r="P241" s="19" t="inlineStr">
        <is>
          <t>381051</t>
        </is>
      </c>
      <c r="Q241" s="19" t="inlineStr">
        <is>
          <t>Service Sanitation Inc.</t>
        </is>
      </c>
      <c r="R241" s="31" t="n">
        <v>46203</v>
      </c>
      <c r="S241" s="19" t="inlineStr">
        <is>
          <t>BID</t>
        </is>
      </c>
      <c r="T241" s="19" t="inlineStr">
        <is>
          <t>Yes</t>
        </is>
      </c>
      <c r="U241" s="19" t="inlineStr">
        <is>
          <t>Yes</t>
        </is>
      </c>
      <c r="V241" s="19" t="inlineStr">
        <is>
          <t>No</t>
        </is>
      </c>
      <c r="W241" s="19" t="inlineStr">
        <is>
          <t>Yes</t>
        </is>
      </c>
    </row>
    <row r="242">
      <c r="A242" s="19" t="n">
        <v>745303</v>
      </c>
      <c r="B242" s="31" t="n">
        <v>46246</v>
      </c>
      <c r="C242" s="19" t="inlineStr">
        <is>
          <t>CHICAGO DEPARTMENT OF PUBLIC HEALTH</t>
        </is>
      </c>
      <c r="D242" s="19" t="inlineStr">
        <is>
          <t>INTEGRATED SOLUTIONS CONSULTING CORPORATION</t>
        </is>
      </c>
      <c r="E242" s="20" t="inlineStr">
        <is>
          <t>OES:Odysseus Licensing FeeAnnual Licensing and Hosting Fee: June 2026</t>
        </is>
      </c>
      <c r="F242" s="21" t="n">
        <v>833</v>
      </c>
      <c r="G242" s="19" t="inlineStr">
        <is>
          <t>1. Pending New Contract - Original Contract Expired. New Contract in Process</t>
        </is>
      </c>
      <c r="H242" s="19" t="inlineStr">
        <is>
          <t>H. One Time Purchase</t>
        </is>
      </c>
      <c r="I242" s="19" t="inlineStr">
        <is>
          <t>APPROVED</t>
        </is>
      </c>
      <c r="J242" s="19" t="inlineStr">
        <is>
          <t>Yes</t>
        </is>
      </c>
      <c r="K242" s="19" t="inlineStr">
        <is>
          <t>No</t>
        </is>
      </c>
      <c r="L242" s="19" t="n">
        <v>331452</v>
      </c>
      <c r="M242" s="19" t="inlineStr">
        <is>
          <t>RX657660</t>
        </is>
      </c>
      <c r="N242" s="19" t="inlineStr">
        <is>
          <t>A</t>
        </is>
      </c>
      <c r="O242" s="20" t="inlineStr">
        <is>
          <t>Requisition ID link: Exhibit B new-contract RX = awarded REQ</t>
        </is>
      </c>
      <c r="P242" s="19" t="inlineStr">
        <is>
          <t>386925</t>
        </is>
      </c>
      <c r="Q242" s="19" t="inlineStr">
        <is>
          <t>INTEGRATED SOLUTIONS CONSULTING CORPORATION</t>
        </is>
      </c>
      <c r="R242" s="31" t="n">
        <v>46220</v>
      </c>
      <c r="S242" s="19" t="inlineStr">
        <is>
          <t>SOLE SOURCE</t>
        </is>
      </c>
      <c r="T242" s="19" t="inlineStr">
        <is>
          <t>No</t>
        </is>
      </c>
      <c r="U242" s="19" t="inlineStr">
        <is>
          <t>No</t>
        </is>
      </c>
      <c r="V242" s="19" t="inlineStr">
        <is>
          <t>Yes</t>
        </is>
      </c>
      <c r="W242" s="19" t="inlineStr">
        <is>
          <t>Yes</t>
        </is>
      </c>
    </row>
    <row r="243">
      <c r="A243" s="19" t="n">
        <v>724221</v>
      </c>
      <c r="B243" s="31" t="n">
        <v>46136</v>
      </c>
      <c r="C243" s="19" t="inlineStr">
        <is>
          <t>CHICAGO DEPARTMENT OF PUBLIC HEALTH</t>
        </is>
      </c>
      <c r="D243" s="19" t="inlineStr">
        <is>
          <t>FLOWERS COMMUNICATIONS GROUP</t>
        </is>
      </c>
      <c r="E243" s="20" t="inlineStr">
        <is>
          <t>CDPH Emergency Kits, Storage &amp; Program Media Campaign</t>
        </is>
      </c>
      <c r="F243" s="21" t="n">
        <v>130000</v>
      </c>
      <c r="G243" s="19" t="inlineStr">
        <is>
          <t>3. One Time Purchase</t>
        </is>
      </c>
      <c r="H243" s="19" t="inlineStr">
        <is>
          <t>H. One Time Purchase</t>
        </is>
      </c>
      <c r="I243" s="19" t="inlineStr">
        <is>
          <t>APPROVED</t>
        </is>
      </c>
      <c r="J243" s="19" t="inlineStr">
        <is>
          <t>No</t>
        </is>
      </c>
      <c r="K243" s="19" t="inlineStr">
        <is>
          <t>No</t>
        </is>
      </c>
      <c r="L243" s="19" t="inlineStr">
        <is>
          <t>N/a</t>
        </is>
      </c>
      <c r="M243" s="19" t="inlineStr">
        <is>
          <t>VDFLOWERS COMMUNICATIONS</t>
        </is>
      </c>
      <c r="N243" s="19" t="inlineStr">
        <is>
          <t>E</t>
        </is>
      </c>
      <c r="O243" s="20" t="inlineStr">
        <is>
          <t>No linkage found in awarded contract file</t>
        </is>
      </c>
      <c r="P243" s="19" t="inlineStr"/>
      <c r="Q243" s="19" t="inlineStr"/>
      <c r="R243" s="31" t="inlineStr"/>
      <c r="S243" s="19" t="inlineStr"/>
      <c r="T243" s="19" t="inlineStr">
        <is>
          <t>No</t>
        </is>
      </c>
      <c r="U243" s="19" t="inlineStr">
        <is>
          <t>No</t>
        </is>
      </c>
      <c r="V243" s="19" t="inlineStr">
        <is>
          <t>No</t>
        </is>
      </c>
      <c r="W243" s="19" t="inlineStr">
        <is>
          <t>No</t>
        </is>
      </c>
    </row>
    <row r="244">
      <c r="A244" s="19" t="n">
        <v>731439</v>
      </c>
      <c r="B244" s="31" t="n">
        <v>46164</v>
      </c>
      <c r="C244" s="19" t="inlineStr">
        <is>
          <t>CHICAGO DEPARTMENT OF PUBLIC HEALTH</t>
        </is>
      </c>
      <c r="D244" s="19" t="inlineStr">
        <is>
          <t>CIS Support, Inc.</t>
        </is>
      </c>
      <c r="E244" s="20" t="inlineStr">
        <is>
          <t>CIS Maintenance (May 2026)/Support &amp; Customization/Premier Support - April 2026</t>
        </is>
      </c>
      <c r="F244" s="21" t="n">
        <v>6075</v>
      </c>
      <c r="G244" s="19" t="inlineStr">
        <is>
          <t>1. Pending New Contract - Original Contract Expired. New Contract in Process</t>
        </is>
      </c>
      <c r="H244" s="19" t="inlineStr">
        <is>
          <t>H. One Time Purchase</t>
        </is>
      </c>
      <c r="I244" s="19" t="inlineStr">
        <is>
          <t>APPROVED</t>
        </is>
      </c>
      <c r="J244" s="19" t="inlineStr">
        <is>
          <t>Yes</t>
        </is>
      </c>
      <c r="K244" s="19" t="inlineStr">
        <is>
          <t>No</t>
        </is>
      </c>
      <c r="L244" s="19" t="inlineStr"/>
      <c r="M244" s="19" t="inlineStr">
        <is>
          <t>VDCIS SUPPORT</t>
        </is>
      </c>
      <c r="N244" s="19" t="inlineStr">
        <is>
          <t>E</t>
        </is>
      </c>
      <c r="O244" s="20" t="inlineStr">
        <is>
          <t>No linkage found in awarded contract file</t>
        </is>
      </c>
      <c r="P244" s="19" t="inlineStr"/>
      <c r="Q244" s="19" t="inlineStr"/>
      <c r="R244" s="31" t="inlineStr"/>
      <c r="S244" s="19" t="inlineStr"/>
      <c r="T244" s="19" t="inlineStr">
        <is>
          <t>No</t>
        </is>
      </c>
      <c r="U244" s="19" t="inlineStr">
        <is>
          <t>No</t>
        </is>
      </c>
      <c r="V244" s="19" t="inlineStr">
        <is>
          <t>No</t>
        </is>
      </c>
      <c r="W244" s="19" t="inlineStr">
        <is>
          <t>Yes</t>
        </is>
      </c>
    </row>
    <row r="245">
      <c r="A245" s="19" t="n">
        <v>707921</v>
      </c>
      <c r="B245" s="31" t="n">
        <v>46031</v>
      </c>
      <c r="C245" s="19" t="inlineStr">
        <is>
          <t>CHICAGO DEPARTMENT OF AVIATION</t>
        </is>
      </c>
      <c r="D245" s="19" t="inlineStr">
        <is>
          <t>PALM ELECTRIC COMPANY</t>
        </is>
      </c>
      <c r="E245" s="20" t="inlineStr">
        <is>
          <t>Invoice# 40635  $537,580.13  Transferred from APRF No. 507902.  DV - Exhibit B needed to fund services &amp; materials provided by Palm Electric Inc.</t>
        </is>
      </c>
      <c r="F245" s="21" t="n">
        <v>537580.13</v>
      </c>
      <c r="G245" s="19" t="inlineStr">
        <is>
          <t>1. Pending New Contract - Original Contract Expired. New Contract in Process</t>
        </is>
      </c>
      <c r="H245" s="19" t="inlineStr">
        <is>
          <t>B. City Law Review</t>
        </is>
      </c>
      <c r="I245" s="19" t="inlineStr">
        <is>
          <t>APPROVED</t>
        </is>
      </c>
      <c r="J245" s="19" t="inlineStr">
        <is>
          <t>Yes</t>
        </is>
      </c>
      <c r="K245" s="19" t="inlineStr">
        <is>
          <t>No</t>
        </is>
      </c>
      <c r="L245" s="19" t="inlineStr"/>
      <c r="M245" s="19" t="inlineStr">
        <is>
          <t>RX650171</t>
        </is>
      </c>
      <c r="N245" s="19" t="inlineStr">
        <is>
          <t>E</t>
        </is>
      </c>
      <c r="O245" s="20" t="inlineStr">
        <is>
          <t>No linkage found in awarded contract file</t>
        </is>
      </c>
      <c r="P245" s="19" t="inlineStr"/>
      <c r="Q245" s="19" t="inlineStr"/>
      <c r="R245" s="31" t="inlineStr"/>
      <c r="S245" s="19" t="inlineStr"/>
      <c r="T245" s="19" t="inlineStr">
        <is>
          <t>No</t>
        </is>
      </c>
      <c r="U245" s="19" t="inlineStr">
        <is>
          <t>No</t>
        </is>
      </c>
      <c r="V245" s="19" t="inlineStr">
        <is>
          <t>No</t>
        </is>
      </c>
      <c r="W245" s="19" t="inlineStr">
        <is>
          <t>Yes</t>
        </is>
      </c>
    </row>
    <row r="246">
      <c r="A246" s="19" t="n">
        <v>707665</v>
      </c>
      <c r="B246" s="31" t="n">
        <v>46058</v>
      </c>
      <c r="C246" s="19" t="inlineStr">
        <is>
          <t>CHICAGO DEPARTMENT OF AVIATION</t>
        </is>
      </c>
      <c r="D246" s="19" t="inlineStr">
        <is>
          <t>P.W.S. ENVIRONMENTAL, INC.</t>
        </is>
      </c>
      <c r="E246" s="20" t="inlineStr">
        <is>
          <t>#4 Invoices $10,558.002025 Midway Snow Equipment &amp; Snow Vehicles washing (Services 11/9, 11/10, 11/30 to 12/2 &amp; 12/7 to 12/8) to pay invoice numbers:110730,110832,110844 &amp; 110851 totaling $10,558.00.</t>
        </is>
      </c>
      <c r="F246" s="21" t="n">
        <v>0</v>
      </c>
      <c r="G246" s="19" t="inlineStr">
        <is>
          <t>1. Pending New Contract - Original Contract Expired. New Contract in Process</t>
        </is>
      </c>
      <c r="H246" s="19" t="inlineStr">
        <is>
          <t>D. Solicitation Response Under Evaluation</t>
        </is>
      </c>
      <c r="I246" s="19" t="inlineStr"/>
      <c r="J246" s="19" t="inlineStr">
        <is>
          <t>No</t>
        </is>
      </c>
      <c r="K246" s="19" t="inlineStr">
        <is>
          <t>No</t>
        </is>
      </c>
      <c r="L246" s="19" t="inlineStr"/>
      <c r="M246" s="19" t="inlineStr">
        <is>
          <t>RX530823</t>
        </is>
      </c>
      <c r="N246" s="19" t="inlineStr">
        <is>
          <t>A</t>
        </is>
      </c>
      <c r="O246" s="20" t="inlineStr">
        <is>
          <t>Requisition ID link: Exhibit B new-contract RX = awarded REQ</t>
        </is>
      </c>
      <c r="P246" s="19" t="inlineStr">
        <is>
          <t>375509</t>
        </is>
      </c>
      <c r="Q246" s="19" t="inlineStr">
        <is>
          <t>Halliday Technologies</t>
        </is>
      </c>
      <c r="R246" s="31" t="n">
        <v>46106</v>
      </c>
      <c r="S246" s="19" t="inlineStr">
        <is>
          <t>BID</t>
        </is>
      </c>
      <c r="T246" s="19" t="inlineStr">
        <is>
          <t>Yes</t>
        </is>
      </c>
      <c r="U246" s="19" t="inlineStr">
        <is>
          <t>Yes</t>
        </is>
      </c>
      <c r="V246" s="19" t="inlineStr">
        <is>
          <t>No</t>
        </is>
      </c>
      <c r="W246" s="19" t="inlineStr">
        <is>
          <t>No</t>
        </is>
      </c>
    </row>
    <row r="247">
      <c r="A247" s="19" t="n">
        <v>739397</v>
      </c>
      <c r="B247" s="31" t="n">
        <v>46210</v>
      </c>
      <c r="C247" s="19" t="inlineStr">
        <is>
          <t>DEPARTMENT OF FLEET AND FACILITY MANAGEMENT</t>
        </is>
      </c>
      <c r="D247" s="19" t="inlineStr">
        <is>
          <t>A &amp; R JANITORIAL SERVICE, INC.</t>
        </is>
      </c>
      <c r="E247" s="20" t="inlineStr">
        <is>
          <t>A &amp; R Janitorial 1027555 A  JS/ VJ/ 3-Invoices/ $551,375.90/ Feb &amp; Mar 2026/</t>
        </is>
      </c>
      <c r="F247" s="21" t="n">
        <v>551375.9</v>
      </c>
      <c r="G247" s="19" t="inlineStr">
        <is>
          <t>1. Pending New Contract - Original Contract Expired. New Contract in Process</t>
        </is>
      </c>
      <c r="H247" s="19" t="inlineStr">
        <is>
          <t>A. Specification Development Phase</t>
        </is>
      </c>
      <c r="I247" s="19" t="inlineStr">
        <is>
          <t>APPROVED</t>
        </is>
      </c>
      <c r="J247" s="19" t="inlineStr">
        <is>
          <t>Yes</t>
        </is>
      </c>
      <c r="K247" s="19" t="inlineStr">
        <is>
          <t>No</t>
        </is>
      </c>
      <c r="L247" s="19" t="inlineStr"/>
      <c r="M247" s="19" t="inlineStr">
        <is>
          <t>RX624331</t>
        </is>
      </c>
      <c r="N247" s="19" t="inlineStr">
        <is>
          <t>E</t>
        </is>
      </c>
      <c r="O247" s="20" t="inlineStr">
        <is>
          <t>No linkage found in awarded contract file</t>
        </is>
      </c>
      <c r="P247" s="19" t="inlineStr"/>
      <c r="Q247" s="19" t="inlineStr"/>
      <c r="R247" s="31" t="inlineStr"/>
      <c r="S247" s="19" t="inlineStr"/>
      <c r="T247" s="19" t="inlineStr">
        <is>
          <t>No</t>
        </is>
      </c>
      <c r="U247" s="19" t="inlineStr">
        <is>
          <t>No</t>
        </is>
      </c>
      <c r="V247" s="19" t="inlineStr">
        <is>
          <t>No</t>
        </is>
      </c>
      <c r="W247" s="19" t="inlineStr">
        <is>
          <t>Yes</t>
        </is>
      </c>
    </row>
    <row r="248">
      <c r="A248" s="19" t="n">
        <v>712881</v>
      </c>
      <c r="B248" s="31" t="n">
        <v>46063</v>
      </c>
      <c r="C248" s="19" t="inlineStr">
        <is>
          <t>DEPARTMENT OF FLEET AND FACILITY MANAGEMENT</t>
        </is>
      </c>
      <c r="D248" s="19" t="inlineStr">
        <is>
          <t>INDUSTRIAL FENCE INC.</t>
        </is>
      </c>
      <c r="E248" s="20" t="inlineStr">
        <is>
          <t>Industrial Fence 1064164 A  JS/ AH/ Invoice # 25460/ $12,331.06/ Oct 25/ Main Hvy Dty/ E-25428/5242783/ Z3</t>
        </is>
      </c>
      <c r="F248" s="21" t="n">
        <v>12331.06</v>
      </c>
      <c r="G248" s="19" t="inlineStr">
        <is>
          <t>1. Pending New Contract - Original Contract Expired. New Contract in Process</t>
        </is>
      </c>
      <c r="H248" s="19" t="inlineStr">
        <is>
          <t>A. Specification Development Phase</t>
        </is>
      </c>
      <c r="I248" s="19" t="inlineStr">
        <is>
          <t>APPROVED</t>
        </is>
      </c>
      <c r="J248" s="19" t="inlineStr">
        <is>
          <t>No</t>
        </is>
      </c>
      <c r="K248" s="19" t="inlineStr">
        <is>
          <t>No</t>
        </is>
      </c>
      <c r="L248" s="19" t="inlineStr">
        <is>
          <t>TBD</t>
        </is>
      </c>
      <c r="M248" s="19" t="inlineStr">
        <is>
          <t>RX596048</t>
        </is>
      </c>
      <c r="N248" s="19" t="inlineStr">
        <is>
          <t>E</t>
        </is>
      </c>
      <c r="O248" s="20" t="inlineStr">
        <is>
          <t>No linkage found in awarded contract file</t>
        </is>
      </c>
      <c r="P248" s="19" t="inlineStr"/>
      <c r="Q248" s="19" t="inlineStr"/>
      <c r="R248" s="31" t="inlineStr"/>
      <c r="S248" s="19" t="inlineStr"/>
      <c r="T248" s="19" t="inlineStr">
        <is>
          <t>No</t>
        </is>
      </c>
      <c r="U248" s="19" t="inlineStr">
        <is>
          <t>No</t>
        </is>
      </c>
      <c r="V248" s="19" t="inlineStr">
        <is>
          <t>No</t>
        </is>
      </c>
      <c r="W248" s="19" t="inlineStr">
        <is>
          <t>No</t>
        </is>
      </c>
    </row>
    <row r="249">
      <c r="A249" s="19" t="n">
        <v>742352</v>
      </c>
      <c r="B249" s="31" t="n">
        <v>46238</v>
      </c>
      <c r="C249" s="19" t="inlineStr">
        <is>
          <t>DEPARTMENT OF FLEET AND FACILITY MANAGEMENT</t>
        </is>
      </c>
      <c r="D249" s="19" t="inlineStr">
        <is>
          <t>P. R. STREICH &amp; SONS</t>
        </is>
      </c>
      <c r="E249" s="20" t="inlineStr">
        <is>
          <t>P.R. Streich  832755 A A  JS/ MM/ Invoice # 57502/ $3,655.30/ DEPT38/ WO 2628100</t>
        </is>
      </c>
      <c r="F249" s="21" t="n">
        <v>3655.3</v>
      </c>
      <c r="G249" s="19" t="inlineStr">
        <is>
          <t>1. Pending New Contract - Original Contract Expired. New Contract in Process</t>
        </is>
      </c>
      <c r="H249" s="19" t="inlineStr">
        <is>
          <t>B. City Law Review</t>
        </is>
      </c>
      <c r="I249" s="19" t="inlineStr">
        <is>
          <t>APPROVED</t>
        </is>
      </c>
      <c r="J249" s="19" t="inlineStr">
        <is>
          <t>Yes</t>
        </is>
      </c>
      <c r="K249" s="19" t="inlineStr">
        <is>
          <t>No</t>
        </is>
      </c>
      <c r="L249" s="19" t="inlineStr">
        <is>
          <t>TBD</t>
        </is>
      </c>
      <c r="M249" s="19" t="inlineStr">
        <is>
          <t>RX679901</t>
        </is>
      </c>
      <c r="N249" s="19" t="inlineStr">
        <is>
          <t>E</t>
        </is>
      </c>
      <c r="O249" s="20" t="inlineStr">
        <is>
          <t>No linkage found in awarded contract file</t>
        </is>
      </c>
      <c r="P249" s="19" t="inlineStr"/>
      <c r="Q249" s="19" t="inlineStr"/>
      <c r="R249" s="31" t="inlineStr"/>
      <c r="S249" s="19" t="inlineStr"/>
      <c r="T249" s="19" t="inlineStr">
        <is>
          <t>No</t>
        </is>
      </c>
      <c r="U249" s="19" t="inlineStr">
        <is>
          <t>No</t>
        </is>
      </c>
      <c r="V249" s="19" t="inlineStr">
        <is>
          <t>No</t>
        </is>
      </c>
      <c r="W249" s="19" t="inlineStr">
        <is>
          <t>Yes</t>
        </is>
      </c>
    </row>
    <row r="250">
      <c r="A250" s="19" t="n">
        <v>711535</v>
      </c>
      <c r="B250" s="31" t="n">
        <v>46052</v>
      </c>
      <c r="C250" s="19" t="inlineStr">
        <is>
          <t>DEPARTMENT OF FLEET AND FACILITY MANAGEMENT</t>
        </is>
      </c>
      <c r="D250" s="19" t="inlineStr">
        <is>
          <t>CHARLES EQUIPMENT ENERGY SYSTEMS LLC</t>
        </is>
      </c>
      <c r="E250" s="20" t="inlineStr">
        <is>
          <t>Charles Equipment  157247 A  JS/ AH/ INVOICE # 18140/ $3,943.51/ APR 25/ CPD Marine/ Z0/5206525/Q4529</t>
        </is>
      </c>
      <c r="F250" s="21" t="n">
        <v>3943.51</v>
      </c>
      <c r="G250" s="19" t="inlineStr">
        <is>
          <t>1. Pending New Contract - Original Contract Expired. New Contract in Process</t>
        </is>
      </c>
      <c r="H250" s="19" t="inlineStr">
        <is>
          <t>A. Specification Development Phase</t>
        </is>
      </c>
      <c r="I250" s="19" t="inlineStr">
        <is>
          <t>APPROVED</t>
        </is>
      </c>
      <c r="J250" s="19" t="inlineStr">
        <is>
          <t>Yes</t>
        </is>
      </c>
      <c r="K250" s="19" t="inlineStr">
        <is>
          <t>No</t>
        </is>
      </c>
      <c r="L250" s="19" t="inlineStr"/>
      <c r="M250" s="19" t="inlineStr">
        <is>
          <t>RX622326</t>
        </is>
      </c>
      <c r="N250" s="19" t="inlineStr">
        <is>
          <t>E</t>
        </is>
      </c>
      <c r="O250" s="20" t="inlineStr">
        <is>
          <t>No linkage found in awarded contract file</t>
        </is>
      </c>
      <c r="P250" s="19" t="inlineStr"/>
      <c r="Q250" s="19" t="inlineStr"/>
      <c r="R250" s="31" t="inlineStr"/>
      <c r="S250" s="19" t="inlineStr"/>
      <c r="T250" s="19" t="inlineStr">
        <is>
          <t>No</t>
        </is>
      </c>
      <c r="U250" s="19" t="inlineStr">
        <is>
          <t>No</t>
        </is>
      </c>
      <c r="V250" s="19" t="inlineStr">
        <is>
          <t>No</t>
        </is>
      </c>
      <c r="W250" s="19" t="inlineStr">
        <is>
          <t>Yes</t>
        </is>
      </c>
    </row>
    <row r="251">
      <c r="A251" s="19" t="n">
        <v>734190</v>
      </c>
      <c r="B251" s="31" t="n">
        <v>46181</v>
      </c>
      <c r="C251" s="19" t="inlineStr">
        <is>
          <t>DEPARTMENT OF FLEET AND FACILITY MANAGEMENT</t>
        </is>
      </c>
      <c r="D251" s="19" t="inlineStr">
        <is>
          <t>TOTAL FACILITY MAINTENANCE</t>
        </is>
      </c>
      <c r="E251" s="20" t="inlineStr">
        <is>
          <t>Total Facility Maintenance 1041255 A JS/ VJ/ Invoice # 139441/ $159,592.16/ APR 2026</t>
        </is>
      </c>
      <c r="F251" s="21" t="n">
        <v>159592.16</v>
      </c>
      <c r="G251" s="19" t="inlineStr">
        <is>
          <t>1. Pending New Contract - Original Contract Expired. New Contract in Process</t>
        </is>
      </c>
      <c r="H251" s="19" t="inlineStr">
        <is>
          <t>B. City Law Review</t>
        </is>
      </c>
      <c r="I251" s="19" t="inlineStr">
        <is>
          <t>APPROVED</t>
        </is>
      </c>
      <c r="J251" s="19" t="inlineStr">
        <is>
          <t>Yes</t>
        </is>
      </c>
      <c r="K251" s="19" t="inlineStr">
        <is>
          <t>No</t>
        </is>
      </c>
      <c r="L251" s="19" t="inlineStr"/>
      <c r="M251" s="19" t="inlineStr">
        <is>
          <t>RX624331</t>
        </is>
      </c>
      <c r="N251" s="19" t="inlineStr">
        <is>
          <t>E</t>
        </is>
      </c>
      <c r="O251" s="20" t="inlineStr">
        <is>
          <t>No linkage found in awarded contract file</t>
        </is>
      </c>
      <c r="P251" s="19" t="inlineStr"/>
      <c r="Q251" s="19" t="inlineStr"/>
      <c r="R251" s="31" t="inlineStr"/>
      <c r="S251" s="19" t="inlineStr"/>
      <c r="T251" s="19" t="inlineStr">
        <is>
          <t>No</t>
        </is>
      </c>
      <c r="U251" s="19" t="inlineStr">
        <is>
          <t>No</t>
        </is>
      </c>
      <c r="V251" s="19" t="inlineStr">
        <is>
          <t>No</t>
        </is>
      </c>
      <c r="W251" s="19" t="inlineStr">
        <is>
          <t>Yes</t>
        </is>
      </c>
    </row>
    <row r="252">
      <c r="A252" s="19" t="n">
        <v>720706</v>
      </c>
      <c r="B252" s="31" t="n">
        <v>46104</v>
      </c>
      <c r="C252" s="19" t="inlineStr">
        <is>
          <t>DEPARTMENT OF FLEET AND FACILITY MANAGEMENT</t>
        </is>
      </c>
      <c r="D252" s="19" t="inlineStr">
        <is>
          <t>ABM INDUSTRY GROUPS, LLC</t>
        </is>
      </c>
      <c r="E252" s="20" t="inlineStr">
        <is>
          <t>ABM 1062984 A  JS/ AH/ 10-INV/ $226,301.00/ JAN 2FM Snow</t>
        </is>
      </c>
      <c r="F252" s="21" t="n">
        <v>226301</v>
      </c>
      <c r="G252" s="19" t="inlineStr">
        <is>
          <t>1. Pending New Contract - Original Contract Expired. New Contract in Process</t>
        </is>
      </c>
      <c r="H252" s="19" t="inlineStr">
        <is>
          <t>A. Specification Development Phase</t>
        </is>
      </c>
      <c r="I252" s="19" t="inlineStr">
        <is>
          <t>APPROVED</t>
        </is>
      </c>
      <c r="J252" s="19" t="inlineStr">
        <is>
          <t>Yes</t>
        </is>
      </c>
      <c r="K252" s="19" t="inlineStr">
        <is>
          <t>No</t>
        </is>
      </c>
      <c r="L252" s="19" t="inlineStr"/>
      <c r="M252" s="19" t="inlineStr">
        <is>
          <t>RX624331</t>
        </is>
      </c>
      <c r="N252" s="19" t="inlineStr">
        <is>
          <t>E</t>
        </is>
      </c>
      <c r="O252" s="20" t="inlineStr">
        <is>
          <t>No linkage found in awarded contract file</t>
        </is>
      </c>
      <c r="P252" s="19" t="inlineStr"/>
      <c r="Q252" s="19" t="inlineStr"/>
      <c r="R252" s="31" t="inlineStr"/>
      <c r="S252" s="19" t="inlineStr"/>
      <c r="T252" s="19" t="inlineStr">
        <is>
          <t>No</t>
        </is>
      </c>
      <c r="U252" s="19" t="inlineStr">
        <is>
          <t>No</t>
        </is>
      </c>
      <c r="V252" s="19" t="inlineStr">
        <is>
          <t>No</t>
        </is>
      </c>
      <c r="W252" s="19" t="inlineStr">
        <is>
          <t>Yes</t>
        </is>
      </c>
    </row>
    <row r="253">
      <c r="A253" s="19" t="n">
        <v>711543</v>
      </c>
      <c r="B253" s="31" t="n">
        <v>46055</v>
      </c>
      <c r="C253" s="19" t="inlineStr">
        <is>
          <t>DEPARTMENT OF FLEET AND FACILITY MANAGEMENT</t>
        </is>
      </c>
      <c r="D253" s="19" t="inlineStr">
        <is>
          <t>ABM INDUSTRY GROUPS, LLC</t>
        </is>
      </c>
      <c r="E253" s="20" t="inlineStr">
        <is>
          <t>ABM  1062984 A  JS/ AH/ 10-INVOICES/ $218,134.97/ Snow Removal</t>
        </is>
      </c>
      <c r="F253" s="21" t="n">
        <v>218134.97</v>
      </c>
      <c r="G253" s="19" t="inlineStr">
        <is>
          <t>1. Pending New Contract - Original Contract Expired. New Contract in Process</t>
        </is>
      </c>
      <c r="H253" s="19" t="inlineStr">
        <is>
          <t>A. Specification Development Phase</t>
        </is>
      </c>
      <c r="I253" s="19" t="inlineStr">
        <is>
          <t>APPROVED</t>
        </is>
      </c>
      <c r="J253" s="19" t="inlineStr">
        <is>
          <t>Yes</t>
        </is>
      </c>
      <c r="K253" s="19" t="inlineStr">
        <is>
          <t>No</t>
        </is>
      </c>
      <c r="L253" s="19" t="inlineStr">
        <is>
          <t>No</t>
        </is>
      </c>
      <c r="M253" s="19" t="inlineStr">
        <is>
          <t>RX624331</t>
        </is>
      </c>
      <c r="N253" s="19" t="inlineStr">
        <is>
          <t>E</t>
        </is>
      </c>
      <c r="O253" s="20" t="inlineStr">
        <is>
          <t>No linkage found in awarded contract file</t>
        </is>
      </c>
      <c r="P253" s="19" t="inlineStr"/>
      <c r="Q253" s="19" t="inlineStr"/>
      <c r="R253" s="31" t="inlineStr"/>
      <c r="S253" s="19" t="inlineStr"/>
      <c r="T253" s="19" t="inlineStr">
        <is>
          <t>No</t>
        </is>
      </c>
      <c r="U253" s="19" t="inlineStr">
        <is>
          <t>No</t>
        </is>
      </c>
      <c r="V253" s="19" t="inlineStr">
        <is>
          <t>No</t>
        </is>
      </c>
      <c r="W253" s="19" t="inlineStr">
        <is>
          <t>Yes</t>
        </is>
      </c>
    </row>
    <row r="254">
      <c r="A254" s="19" t="n">
        <v>720611</v>
      </c>
      <c r="B254" s="31" t="n">
        <v>46107</v>
      </c>
      <c r="C254" s="19" t="inlineStr">
        <is>
          <t>DEPARTMENT OF FLEET AND FACILITY MANAGEMENT</t>
        </is>
      </c>
      <c r="D254" s="19" t="inlineStr">
        <is>
          <t>PRESSURE WASHING SYSTEMS</t>
        </is>
      </c>
      <c r="E254" s="20" t="inlineStr">
        <is>
          <t>PRESSURE WASHING 1064296  B  JS/ MM/ 4-INV/ $30,196.00/ DEPT85/ WO2611050/ OH</t>
        </is>
      </c>
      <c r="F254" s="21" t="n">
        <v>30196</v>
      </c>
      <c r="G254" s="19" t="inlineStr">
        <is>
          <t>1. Pending New Contract - Original Contract Expired. New Contract in Process</t>
        </is>
      </c>
      <c r="H254" s="19" t="inlineStr">
        <is>
          <t>A. Specification Development Phase</t>
        </is>
      </c>
      <c r="I254" s="19" t="inlineStr">
        <is>
          <t>APPROVED</t>
        </is>
      </c>
      <c r="J254" s="19" t="inlineStr">
        <is>
          <t>Yes</t>
        </is>
      </c>
      <c r="K254" s="19" t="inlineStr">
        <is>
          <t>No</t>
        </is>
      </c>
      <c r="L254" s="19" t="inlineStr"/>
      <c r="M254" s="19" t="inlineStr">
        <is>
          <t>RX708700</t>
        </is>
      </c>
      <c r="N254" s="19" t="inlineStr">
        <is>
          <t>E</t>
        </is>
      </c>
      <c r="O254" s="20" t="inlineStr">
        <is>
          <t>No linkage found in awarded contract file</t>
        </is>
      </c>
      <c r="P254" s="19" t="inlineStr"/>
      <c r="Q254" s="19" t="inlineStr"/>
      <c r="R254" s="31" t="inlineStr"/>
      <c r="S254" s="19" t="inlineStr"/>
      <c r="T254" s="19" t="inlineStr">
        <is>
          <t>No</t>
        </is>
      </c>
      <c r="U254" s="19" t="inlineStr">
        <is>
          <t>No</t>
        </is>
      </c>
      <c r="V254" s="19" t="inlineStr">
        <is>
          <t>No</t>
        </is>
      </c>
      <c r="W254" s="19" t="inlineStr">
        <is>
          <t>Yes</t>
        </is>
      </c>
    </row>
    <row r="255">
      <c r="A255" s="19" t="n">
        <v>711471</v>
      </c>
      <c r="B255" s="31" t="n">
        <v>46052</v>
      </c>
      <c r="C255" s="19" t="inlineStr">
        <is>
          <t>DEPARTMENT OF FLEET AND FACILITY MANAGEMENT</t>
        </is>
      </c>
      <c r="D255" s="19" t="inlineStr">
        <is>
          <t>PRESSURE WASHING SYSTEMS</t>
        </is>
      </c>
      <c r="E255" s="20" t="inlineStr">
        <is>
          <t>PWS 1064296 B  JS/ MM/ INVOICE: INV110691/ $1,874.00/ DEPT85/ WO 2594667/ OHARE</t>
        </is>
      </c>
      <c r="F255" s="21" t="n">
        <v>1874</v>
      </c>
      <c r="G255" s="19" t="inlineStr">
        <is>
          <t>1. Pending New Contract - Original Contract Expired. New Contract in Process</t>
        </is>
      </c>
      <c r="H255" s="19" t="inlineStr">
        <is>
          <t>A. Specification Development Phase</t>
        </is>
      </c>
      <c r="I255" s="19" t="inlineStr">
        <is>
          <t>APPROVED</t>
        </is>
      </c>
      <c r="J255" s="19" t="inlineStr">
        <is>
          <t>Yes</t>
        </is>
      </c>
      <c r="K255" s="19" t="inlineStr">
        <is>
          <t>No</t>
        </is>
      </c>
      <c r="L255" s="19" t="inlineStr"/>
      <c r="M255" s="19" t="inlineStr">
        <is>
          <t>RX708700</t>
        </is>
      </c>
      <c r="N255" s="19" t="inlineStr">
        <is>
          <t>E</t>
        </is>
      </c>
      <c r="O255" s="20" t="inlineStr">
        <is>
          <t>No linkage found in awarded contract file</t>
        </is>
      </c>
      <c r="P255" s="19" t="inlineStr"/>
      <c r="Q255" s="19" t="inlineStr"/>
      <c r="R255" s="31" t="inlineStr"/>
      <c r="S255" s="19" t="inlineStr"/>
      <c r="T255" s="19" t="inlineStr">
        <is>
          <t>No</t>
        </is>
      </c>
      <c r="U255" s="19" t="inlineStr">
        <is>
          <t>No</t>
        </is>
      </c>
      <c r="V255" s="19" t="inlineStr">
        <is>
          <t>No</t>
        </is>
      </c>
      <c r="W255" s="19" t="inlineStr">
        <is>
          <t>Yes</t>
        </is>
      </c>
    </row>
    <row r="256">
      <c r="A256" s="19" t="n">
        <v>718158</v>
      </c>
      <c r="B256" s="31" t="n">
        <v>46097</v>
      </c>
      <c r="C256" s="19" t="inlineStr">
        <is>
          <t>DEPARTMENT OF FLEET AND FACILITY MANAGEMENT</t>
        </is>
      </c>
      <c r="D256" s="19" t="inlineStr">
        <is>
          <t>CROWLEYS YACHT YARD LAKESIDE LLC</t>
        </is>
      </c>
      <c r="E256" s="20" t="inlineStr">
        <is>
          <t>Crowleys Yacht Yard  53001122 A JS/ BJ/ 4-INVS/ $9,393.85/ PD9991/ WO 2583580/ ASR</t>
        </is>
      </c>
      <c r="F256" s="21" t="n">
        <v>9393.85</v>
      </c>
      <c r="G256" s="19" t="inlineStr">
        <is>
          <t>1. Pending New Contract - Original Contract Expired. New Contract in Process</t>
        </is>
      </c>
      <c r="H256" s="19" t="inlineStr">
        <is>
          <t>A. Specification Development Phase</t>
        </is>
      </c>
      <c r="I256" s="19" t="inlineStr">
        <is>
          <t>APPROVED</t>
        </is>
      </c>
      <c r="J256" s="19" t="inlineStr">
        <is>
          <t>No</t>
        </is>
      </c>
      <c r="K256" s="19" t="inlineStr">
        <is>
          <t>No</t>
        </is>
      </c>
      <c r="L256" s="19" t="inlineStr">
        <is>
          <t>No</t>
        </is>
      </c>
      <c r="M256" s="19" t="inlineStr">
        <is>
          <t>RX689541</t>
        </is>
      </c>
      <c r="N256" s="19" t="inlineStr">
        <is>
          <t>E</t>
        </is>
      </c>
      <c r="O256" s="20" t="inlineStr">
        <is>
          <t>No linkage found in awarded contract file</t>
        </is>
      </c>
      <c r="P256" s="19" t="inlineStr"/>
      <c r="Q256" s="19" t="inlineStr"/>
      <c r="R256" s="31" t="inlineStr"/>
      <c r="S256" s="19" t="inlineStr"/>
      <c r="T256" s="19" t="inlineStr">
        <is>
          <t>No</t>
        </is>
      </c>
      <c r="U256" s="19" t="inlineStr">
        <is>
          <t>No</t>
        </is>
      </c>
      <c r="V256" s="19" t="inlineStr">
        <is>
          <t>No</t>
        </is>
      </c>
      <c r="W256" s="19" t="inlineStr">
        <is>
          <t>No</t>
        </is>
      </c>
    </row>
    <row r="257">
      <c r="A257" s="19" t="n">
        <v>726377</v>
      </c>
      <c r="B257" s="31" t="n">
        <v>46139</v>
      </c>
      <c r="C257" s="19" t="inlineStr">
        <is>
          <t>DEPARTMENT OF FLEET AND FACILITY MANAGEMENT</t>
        </is>
      </c>
      <c r="D257" s="19" t="inlineStr">
        <is>
          <t>AGAE CONTRACTORS, INC.</t>
        </is>
      </c>
      <c r="E257" s="20" t="inlineStr">
        <is>
          <t>AGAE Contractors 50570038 A  JS/ WA/ Invoice No. S3387-1/ $554.40/ WO 5255584/ Brighton Park Library</t>
        </is>
      </c>
      <c r="F257" s="21" t="n">
        <v>0</v>
      </c>
      <c r="G257" s="19" t="inlineStr">
        <is>
          <t>1. Pending New Contract - Original Contract Expired. New Contract in Process</t>
        </is>
      </c>
      <c r="H257" s="19" t="inlineStr">
        <is>
          <t>C. Solicitation or Bidding Phase</t>
        </is>
      </c>
      <c r="I257" s="19" t="inlineStr"/>
      <c r="J257" s="19" t="inlineStr">
        <is>
          <t>Yes</t>
        </is>
      </c>
      <c r="K257" s="19" t="inlineStr">
        <is>
          <t>No</t>
        </is>
      </c>
      <c r="L257" s="19" t="inlineStr"/>
      <c r="M257" s="19" t="inlineStr">
        <is>
          <t>RX607736</t>
        </is>
      </c>
      <c r="N257" s="19" t="inlineStr">
        <is>
          <t>E</t>
        </is>
      </c>
      <c r="O257" s="20" t="inlineStr">
        <is>
          <t>No linkage found in awarded contract file</t>
        </is>
      </c>
      <c r="P257" s="19" t="inlineStr"/>
      <c r="Q257" s="19" t="inlineStr"/>
      <c r="R257" s="31" t="inlineStr"/>
      <c r="S257" s="19" t="inlineStr"/>
      <c r="T257" s="19" t="inlineStr">
        <is>
          <t>No</t>
        </is>
      </c>
      <c r="U257" s="19" t="inlineStr">
        <is>
          <t>No</t>
        </is>
      </c>
      <c r="V257" s="19" t="inlineStr">
        <is>
          <t>No</t>
        </is>
      </c>
      <c r="W257" s="19" t="inlineStr">
        <is>
          <t>Yes</t>
        </is>
      </c>
    </row>
    <row r="258">
      <c r="A258" s="19" t="n">
        <v>730922</v>
      </c>
      <c r="B258" s="31" t="n">
        <v>46163</v>
      </c>
      <c r="C258" s="19" t="inlineStr">
        <is>
          <t>DEPARTMENT OF FLEET AND FACILITY MANAGEMENT</t>
        </is>
      </c>
      <c r="D258" s="19" t="inlineStr">
        <is>
          <t>HASTINGS AIR ENERGY CONTROL</t>
        </is>
      </c>
      <c r="E258" s="20" t="inlineStr">
        <is>
          <t>HASTINGS 1033282 B   JS/ JG/ Invoice # O38604D104/ $78,693.06/ March/ Exhaust System Maint</t>
        </is>
      </c>
      <c r="F258" s="21" t="n">
        <v>78693.06</v>
      </c>
      <c r="G258" s="19" t="inlineStr">
        <is>
          <t>2. Pending Amendment/Modification - Line Item Addition / Vendor Limit Increase / Scope Change</t>
        </is>
      </c>
      <c r="H258" s="19" t="inlineStr">
        <is>
          <t>A. Specification Development Phase</t>
        </is>
      </c>
      <c r="I258" s="19" t="inlineStr">
        <is>
          <t>APPROVED</t>
        </is>
      </c>
      <c r="J258" s="19" t="inlineStr">
        <is>
          <t>No</t>
        </is>
      </c>
      <c r="K258" s="19" t="inlineStr">
        <is>
          <t>Yes</t>
        </is>
      </c>
      <c r="L258" s="19" t="n">
        <v>112351</v>
      </c>
      <c r="M258" s="19" t="inlineStr">
        <is>
          <t>RX724184</t>
        </is>
      </c>
      <c r="N258" s="19" t="inlineStr">
        <is>
          <t>E</t>
        </is>
      </c>
      <c r="O258" s="20" t="inlineStr">
        <is>
          <t>No linkage found in awarded contract file</t>
        </is>
      </c>
      <c r="P258" s="19" t="inlineStr"/>
      <c r="Q258" s="19" t="inlineStr"/>
      <c r="R258" s="31" t="inlineStr"/>
      <c r="S258" s="19" t="inlineStr"/>
      <c r="T258" s="19" t="inlineStr">
        <is>
          <t>No</t>
        </is>
      </c>
      <c r="U258" s="19" t="inlineStr">
        <is>
          <t>No</t>
        </is>
      </c>
      <c r="V258" s="19" t="inlineStr">
        <is>
          <t>No</t>
        </is>
      </c>
      <c r="W258" s="19" t="inlineStr">
        <is>
          <t>No</t>
        </is>
      </c>
    </row>
    <row r="259">
      <c r="A259" s="19" t="n">
        <v>727487</v>
      </c>
      <c r="B259" s="31" t="n">
        <v>46139</v>
      </c>
      <c r="C259" s="19" t="inlineStr">
        <is>
          <t>DEPARTMENT OF FLEET AND FACILITY MANAGEMENT</t>
        </is>
      </c>
      <c r="D259" s="19" t="inlineStr">
        <is>
          <t>AGAE CONTRACTORS, INC.</t>
        </is>
      </c>
      <c r="E259" s="20" t="inlineStr">
        <is>
          <t>AGAE CONTRACTORS 50570038 A   JS/ WA/ Invoice No. S3387-1/ $554.40/ WO 5255584/ Brighton Park Library</t>
        </is>
      </c>
      <c r="F259" s="21" t="n">
        <v>554.4</v>
      </c>
      <c r="G259" s="19" t="inlineStr">
        <is>
          <t>1. Pending New Contract - Original Contract Expired. New Contract in Process</t>
        </is>
      </c>
      <c r="H259" s="19" t="inlineStr">
        <is>
          <t>C. Solicitation or Bidding Phase</t>
        </is>
      </c>
      <c r="I259" s="19" t="inlineStr">
        <is>
          <t>APPROVED</t>
        </is>
      </c>
      <c r="J259" s="19" t="inlineStr">
        <is>
          <t>Yes</t>
        </is>
      </c>
      <c r="K259" s="19" t="inlineStr">
        <is>
          <t>No</t>
        </is>
      </c>
      <c r="L259" s="19" t="inlineStr"/>
      <c r="M259" s="19" t="inlineStr">
        <is>
          <t>RX607736</t>
        </is>
      </c>
      <c r="N259" s="19" t="inlineStr">
        <is>
          <t>E</t>
        </is>
      </c>
      <c r="O259" s="20" t="inlineStr">
        <is>
          <t>No linkage found in awarded contract file</t>
        </is>
      </c>
      <c r="P259" s="19" t="inlineStr"/>
      <c r="Q259" s="19" t="inlineStr"/>
      <c r="R259" s="31" t="inlineStr"/>
      <c r="S259" s="19" t="inlineStr"/>
      <c r="T259" s="19" t="inlineStr">
        <is>
          <t>No</t>
        </is>
      </c>
      <c r="U259" s="19" t="inlineStr">
        <is>
          <t>No</t>
        </is>
      </c>
      <c r="V259" s="19" t="inlineStr">
        <is>
          <t>No</t>
        </is>
      </c>
      <c r="W259" s="19" t="inlineStr">
        <is>
          <t>Yes</t>
        </is>
      </c>
    </row>
    <row r="260">
      <c r="A260" s="19" t="n">
        <v>726148</v>
      </c>
      <c r="B260" s="31" t="n">
        <v>46135</v>
      </c>
      <c r="C260" s="19" t="inlineStr">
        <is>
          <t>DEPARTMENT OF FLEET AND FACILITY MANAGEMENT</t>
        </is>
      </c>
      <c r="D260" s="19" t="inlineStr">
        <is>
          <t>INDUSTRIAL FENCE INC.</t>
        </is>
      </c>
      <c r="E260" s="20" t="inlineStr">
        <is>
          <t>Industrial Fence 1064164 A  JS/ VJ/ Invoice # 26406/ $954.48/ Apr 2026/ Central Auto Pound</t>
        </is>
      </c>
      <c r="F260" s="21" t="n">
        <v>954.48</v>
      </c>
      <c r="G260" s="19" t="inlineStr">
        <is>
          <t>1. Pending New Contract - Original Contract Expired. New Contract in Process</t>
        </is>
      </c>
      <c r="H260" s="19" t="inlineStr">
        <is>
          <t>A. Specification Development Phase</t>
        </is>
      </c>
      <c r="I260" s="19" t="inlineStr">
        <is>
          <t>APPROVED</t>
        </is>
      </c>
      <c r="J260" s="19" t="inlineStr">
        <is>
          <t>No</t>
        </is>
      </c>
      <c r="K260" s="19" t="inlineStr">
        <is>
          <t>No</t>
        </is>
      </c>
      <c r="L260" s="19" t="inlineStr">
        <is>
          <t>TBD</t>
        </is>
      </c>
      <c r="M260" s="19" t="inlineStr">
        <is>
          <t>RX596048</t>
        </is>
      </c>
      <c r="N260" s="19" t="inlineStr">
        <is>
          <t>E</t>
        </is>
      </c>
      <c r="O260" s="20" t="inlineStr">
        <is>
          <t>No linkage found in awarded contract file</t>
        </is>
      </c>
      <c r="P260" s="19" t="inlineStr"/>
      <c r="Q260" s="19" t="inlineStr"/>
      <c r="R260" s="31" t="inlineStr"/>
      <c r="S260" s="19" t="inlineStr"/>
      <c r="T260" s="19" t="inlineStr">
        <is>
          <t>No</t>
        </is>
      </c>
      <c r="U260" s="19" t="inlineStr">
        <is>
          <t>No</t>
        </is>
      </c>
      <c r="V260" s="19" t="inlineStr">
        <is>
          <t>No</t>
        </is>
      </c>
      <c r="W260" s="19" t="inlineStr">
        <is>
          <t>No</t>
        </is>
      </c>
    </row>
    <row r="261">
      <c r="A261" s="19" t="n">
        <v>725059</v>
      </c>
      <c r="B261" s="31" t="n">
        <v>46139</v>
      </c>
      <c r="C261" s="19" t="inlineStr">
        <is>
          <t>DEPARTMENT OF FLEET AND FACILITY MANAGEMENT</t>
        </is>
      </c>
      <c r="D261" s="19" t="inlineStr">
        <is>
          <t>DAYSPRING PROFESSIONAL JANITOR</t>
        </is>
      </c>
      <c r="E261" s="20" t="inlineStr">
        <is>
          <t>Dayspring  51588021 A  JS/ AH/ 5-Invoices/ $524,902.16/ February Monthly Service</t>
        </is>
      </c>
      <c r="F261" s="21" t="n">
        <v>524902.16</v>
      </c>
      <c r="G261" s="19" t="inlineStr">
        <is>
          <t>1. Pending New Contract - Original Contract Expired. New Contract in Process</t>
        </is>
      </c>
      <c r="H261" s="19" t="inlineStr">
        <is>
          <t>A. Specification Development Phase</t>
        </is>
      </c>
      <c r="I261" s="19" t="inlineStr">
        <is>
          <t>APPROVED</t>
        </is>
      </c>
      <c r="J261" s="19" t="inlineStr">
        <is>
          <t>Yes</t>
        </is>
      </c>
      <c r="K261" s="19" t="inlineStr">
        <is>
          <t>No</t>
        </is>
      </c>
      <c r="L261" s="19" t="inlineStr"/>
      <c r="M261" s="19" t="inlineStr">
        <is>
          <t>RX624331</t>
        </is>
      </c>
      <c r="N261" s="19" t="inlineStr">
        <is>
          <t>E</t>
        </is>
      </c>
      <c r="O261" s="20" t="inlineStr">
        <is>
          <t>No linkage found in awarded contract file</t>
        </is>
      </c>
      <c r="P261" s="19" t="inlineStr"/>
      <c r="Q261" s="19" t="inlineStr"/>
      <c r="R261" s="31" t="inlineStr"/>
      <c r="S261" s="19" t="inlineStr"/>
      <c r="T261" s="19" t="inlineStr">
        <is>
          <t>No</t>
        </is>
      </c>
      <c r="U261" s="19" t="inlineStr">
        <is>
          <t>No</t>
        </is>
      </c>
      <c r="V261" s="19" t="inlineStr">
        <is>
          <t>No</t>
        </is>
      </c>
      <c r="W261" s="19" t="inlineStr">
        <is>
          <t>Yes</t>
        </is>
      </c>
    </row>
    <row r="262">
      <c r="A262" s="19" t="n">
        <v>732279</v>
      </c>
      <c r="B262" s="31" t="n">
        <v>46163</v>
      </c>
      <c r="C262" s="19" t="inlineStr">
        <is>
          <t>DEPARTMENT OF FLEET AND FACILITY MANAGEMENT</t>
        </is>
      </c>
      <c r="D262" s="19" t="inlineStr">
        <is>
          <t>WAREHOUSE DIRECT, INC.</t>
        </is>
      </c>
      <c r="E262" s="20" t="inlineStr">
        <is>
          <t>WAREHOUSE DIRECT  390270 G  JS/ JM/ INVOICE # 6115674-0/ $258.00/</t>
        </is>
      </c>
      <c r="F262" s="21" t="n">
        <v>258</v>
      </c>
      <c r="G262" s="19" t="inlineStr">
        <is>
          <t>1. Pending New Contract - Original Contract Expired. New Contract in Process</t>
        </is>
      </c>
      <c r="H262" s="19" t="inlineStr">
        <is>
          <t>A. Specification Development Phase</t>
        </is>
      </c>
      <c r="I262" s="19" t="inlineStr">
        <is>
          <t>APPROVED</t>
        </is>
      </c>
      <c r="J262" s="19" t="inlineStr">
        <is>
          <t>Yes</t>
        </is>
      </c>
      <c r="K262" s="19" t="inlineStr">
        <is>
          <t>No</t>
        </is>
      </c>
      <c r="L262" s="19" t="inlineStr"/>
      <c r="M262" s="19" t="inlineStr">
        <is>
          <t>RX677490</t>
        </is>
      </c>
      <c r="N262" s="19" t="inlineStr">
        <is>
          <t>E</t>
        </is>
      </c>
      <c r="O262" s="20" t="inlineStr">
        <is>
          <t>No linkage found in awarded contract file</t>
        </is>
      </c>
      <c r="P262" s="19" t="inlineStr"/>
      <c r="Q262" s="19" t="inlineStr"/>
      <c r="R262" s="31" t="inlineStr"/>
      <c r="S262" s="19" t="inlineStr"/>
      <c r="T262" s="19" t="inlineStr">
        <is>
          <t>No</t>
        </is>
      </c>
      <c r="U262" s="19" t="inlineStr">
        <is>
          <t>No</t>
        </is>
      </c>
      <c r="V262" s="19" t="inlineStr">
        <is>
          <t>No</t>
        </is>
      </c>
      <c r="W262" s="19" t="inlineStr">
        <is>
          <t>Yes</t>
        </is>
      </c>
    </row>
    <row r="263">
      <c r="A263" s="19" t="n">
        <v>716265</v>
      </c>
      <c r="B263" s="31" t="n">
        <v>46079</v>
      </c>
      <c r="C263" s="19" t="inlineStr">
        <is>
          <t>CHICAGO DEPARTMENT OF AVIATION</t>
        </is>
      </c>
      <c r="D263" s="19" t="inlineStr">
        <is>
          <t>DTN, LLC</t>
        </is>
      </c>
      <c r="E263" s="20" t="inlineStr">
        <is>
          <t>NOVEMBER 2025 INVOICE FOR OÂ¿HARE AIRPORT</t>
        </is>
      </c>
      <c r="F263" s="21" t="n">
        <v>3105</v>
      </c>
      <c r="G263" s="19" t="inlineStr">
        <is>
          <t>5. User Dept. Decision - Elects to Purchase Smaller Goods or Services not Covered by Existing Contract</t>
        </is>
      </c>
      <c r="H263" s="19" t="inlineStr">
        <is>
          <t>C. Solicitation or Bidding Phase</t>
        </is>
      </c>
      <c r="I263" s="19" t="inlineStr">
        <is>
          <t>APPROVED</t>
        </is>
      </c>
      <c r="J263" s="19" t="inlineStr">
        <is>
          <t>Yes</t>
        </is>
      </c>
      <c r="K263" s="19" t="inlineStr">
        <is>
          <t>No</t>
        </is>
      </c>
      <c r="L263" s="19" t="inlineStr"/>
      <c r="M263" s="19" t="inlineStr">
        <is>
          <t>RX656425</t>
        </is>
      </c>
      <c r="N263" s="19" t="inlineStr">
        <is>
          <t>E</t>
        </is>
      </c>
      <c r="O263" s="20" t="inlineStr">
        <is>
          <t>No linkage found in awarded contract file</t>
        </is>
      </c>
      <c r="P263" s="19" t="inlineStr"/>
      <c r="Q263" s="19" t="inlineStr"/>
      <c r="R263" s="31" t="inlineStr"/>
      <c r="S263" s="19" t="inlineStr"/>
      <c r="T263" s="19" t="inlineStr">
        <is>
          <t>No</t>
        </is>
      </c>
      <c r="U263" s="19" t="inlineStr">
        <is>
          <t>No</t>
        </is>
      </c>
      <c r="V263" s="19" t="inlineStr">
        <is>
          <t>No</t>
        </is>
      </c>
      <c r="W263" s="19" t="inlineStr">
        <is>
          <t>Yes</t>
        </is>
      </c>
    </row>
    <row r="264">
      <c r="A264" s="19" t="n">
        <v>730138</v>
      </c>
      <c r="B264" s="31" t="n">
        <v>46162</v>
      </c>
      <c r="C264" s="19" t="inlineStr">
        <is>
          <t>CHICAGO DEPARTMENT OF AVIATION</t>
        </is>
      </c>
      <c r="D264" s="19" t="inlineStr">
        <is>
          <t>WASTE MANAGEMENT - METRO 01</t>
        </is>
      </c>
      <c r="E264" s="20" t="inlineStr">
        <is>
          <t>Feb 2026 Waste Management Services at Midway. To pay Invoice # 55883</t>
        </is>
      </c>
      <c r="F264" s="21" t="n">
        <v>27964.78</v>
      </c>
      <c r="G264" s="19" t="inlineStr">
        <is>
          <t>2. Pending Amendment/Modification - Line Item Addition / Vendor Limit Increase / Scope Change</t>
        </is>
      </c>
      <c r="H264" s="19" t="inlineStr">
        <is>
          <t>A. Specification Development Phase</t>
        </is>
      </c>
      <c r="I264" s="19" t="inlineStr">
        <is>
          <t>APPROVED</t>
        </is>
      </c>
      <c r="J264" s="19" t="inlineStr">
        <is>
          <t>No</t>
        </is>
      </c>
      <c r="K264" s="19" t="inlineStr">
        <is>
          <t>No</t>
        </is>
      </c>
      <c r="L264" s="19" t="inlineStr"/>
      <c r="M264" s="19" t="inlineStr">
        <is>
          <t>RX698916</t>
        </is>
      </c>
      <c r="N264" s="19" t="inlineStr">
        <is>
          <t>E</t>
        </is>
      </c>
      <c r="O264" s="20" t="inlineStr">
        <is>
          <t>No linkage found in awarded contract file</t>
        </is>
      </c>
      <c r="P264" s="19" t="inlineStr"/>
      <c r="Q264" s="19" t="inlineStr"/>
      <c r="R264" s="31" t="inlineStr"/>
      <c r="S264" s="19" t="inlineStr"/>
      <c r="T264" s="19" t="inlineStr">
        <is>
          <t>No</t>
        </is>
      </c>
      <c r="U264" s="19" t="inlineStr">
        <is>
          <t>No</t>
        </is>
      </c>
      <c r="V264" s="19" t="inlineStr">
        <is>
          <t>No</t>
        </is>
      </c>
      <c r="W264" s="19" t="inlineStr">
        <is>
          <t>No</t>
        </is>
      </c>
    </row>
    <row r="265">
      <c r="A265" s="19" t="n">
        <v>742202</v>
      </c>
      <c r="B265" s="31" t="n">
        <v>46225</v>
      </c>
      <c r="C265" s="19" t="inlineStr">
        <is>
          <t>CHICAGO POLICE DEPARTMENT</t>
        </is>
      </c>
      <c r="D265" s="19" t="inlineStr">
        <is>
          <t>Volcanic Bikes</t>
        </is>
      </c>
      <c r="E265" s="20" t="inlineStr">
        <is>
          <t>Volcanic Bike Inv-1333 $173,853</t>
        </is>
      </c>
      <c r="F265" s="21" t="n">
        <v>0</v>
      </c>
      <c r="G265" s="19" t="inlineStr">
        <is>
          <t>1. Pending New Contract - Original Contract Expired. New Contract in Process</t>
        </is>
      </c>
      <c r="H265" s="19" t="inlineStr">
        <is>
          <t>B. City Law Review</t>
        </is>
      </c>
      <c r="I265" s="19" t="inlineStr"/>
      <c r="J265" s="19" t="inlineStr">
        <is>
          <t>No</t>
        </is>
      </c>
      <c r="K265" s="19" t="inlineStr">
        <is>
          <t>No</t>
        </is>
      </c>
      <c r="L265" s="19" t="inlineStr"/>
      <c r="M265" s="19" t="inlineStr">
        <is>
          <t>RX713262</t>
        </is>
      </c>
      <c r="N265" s="19" t="inlineStr">
        <is>
          <t>E</t>
        </is>
      </c>
      <c r="O265" s="20" t="inlineStr">
        <is>
          <t>No linkage found in awarded contract file</t>
        </is>
      </c>
      <c r="P265" s="19" t="inlineStr"/>
      <c r="Q265" s="19" t="inlineStr"/>
      <c r="R265" s="31" t="inlineStr"/>
      <c r="S265" s="19" t="inlineStr"/>
      <c r="T265" s="19" t="inlineStr">
        <is>
          <t>No</t>
        </is>
      </c>
      <c r="U265" s="19" t="inlineStr">
        <is>
          <t>No</t>
        </is>
      </c>
      <c r="V265" s="19" t="inlineStr">
        <is>
          <t>No</t>
        </is>
      </c>
      <c r="W265" s="19" t="inlineStr">
        <is>
          <t>No</t>
        </is>
      </c>
    </row>
    <row r="266">
      <c r="A266" s="19" t="n">
        <v>709923</v>
      </c>
      <c r="B266" s="31" t="n">
        <v>46045</v>
      </c>
      <c r="C266" s="19" t="inlineStr">
        <is>
          <t>CHICAGO DEPARTMENT OF PUBLIC HEALTH</t>
        </is>
      </c>
      <c r="D266" s="19" t="inlineStr">
        <is>
          <t>RUSH UNIVERSITY MEDICAL CENTER</t>
        </is>
      </c>
      <c r="E266" s="20" t="inlineStr">
        <is>
          <t>Community Testing, Infection Prevention</t>
        </is>
      </c>
      <c r="F266" s="21" t="n">
        <v>32402.25</v>
      </c>
      <c r="G266" s="19" t="inlineStr">
        <is>
          <t>1. Pending New Contract - Original Contract Expired. New Contract in Process</t>
        </is>
      </c>
      <c r="H266" s="19" t="inlineStr">
        <is>
          <t>A. Specification Development Phase</t>
        </is>
      </c>
      <c r="I266" s="19" t="inlineStr">
        <is>
          <t>APPROVED</t>
        </is>
      </c>
      <c r="J266" s="19" t="inlineStr">
        <is>
          <t>Yes</t>
        </is>
      </c>
      <c r="K266" s="19" t="inlineStr">
        <is>
          <t>No</t>
        </is>
      </c>
      <c r="L266" s="19" t="inlineStr">
        <is>
          <t>na</t>
        </is>
      </c>
      <c r="M266" s="19" t="inlineStr">
        <is>
          <t>VDRUSH UNIVERSITY MEDICAL CENT</t>
        </is>
      </c>
      <c r="N266" s="19" t="inlineStr">
        <is>
          <t>E</t>
        </is>
      </c>
      <c r="O266" s="20" t="inlineStr">
        <is>
          <t>No linkage found in awarded contract file</t>
        </is>
      </c>
      <c r="P266" s="19" t="inlineStr"/>
      <c r="Q266" s="19" t="inlineStr"/>
      <c r="R266" s="31" t="inlineStr"/>
      <c r="S266" s="19" t="inlineStr"/>
      <c r="T266" s="19" t="inlineStr">
        <is>
          <t>No</t>
        </is>
      </c>
      <c r="U266" s="19" t="inlineStr">
        <is>
          <t>No</t>
        </is>
      </c>
      <c r="V266" s="19" t="inlineStr">
        <is>
          <t>No</t>
        </is>
      </c>
      <c r="W266" s="19" t="inlineStr">
        <is>
          <t>Yes</t>
        </is>
      </c>
    </row>
    <row r="267">
      <c r="A267" s="19" t="n">
        <v>721715</v>
      </c>
      <c r="B267" s="31" t="n">
        <v>46107</v>
      </c>
      <c r="C267" s="19" t="inlineStr">
        <is>
          <t>DEPARTMENT OF WATER MANAGEMENT</t>
        </is>
      </c>
      <c r="D267" s="19" t="inlineStr">
        <is>
          <t>ABC Humane Wildlife Control &amp; Prevention, Inc.</t>
        </is>
      </c>
      <c r="E267" s="20" t="inlineStr">
        <is>
          <t>ORGINAL CONTRACT EXPIRED 5/29/25. THE SOLICITATION WAS ADVERTISED ON 11/29/25 WITH A BID OPENING DATE OF 6/20/2025. HOWEVER BID WAS CANCELED AND IS SUBMITTED FOR A NEW CONTRACT REQUEST.</t>
        </is>
      </c>
      <c r="F267" s="21" t="n">
        <v>34562.66</v>
      </c>
      <c r="G267" s="19" t="inlineStr">
        <is>
          <t>1. Pending New Contract - Original Contract Expired. New Contract in Process</t>
        </is>
      </c>
      <c r="H267" s="19" t="inlineStr">
        <is>
          <t>D. Solicitation Response Under Evaluation</t>
        </is>
      </c>
      <c r="I267" s="19" t="inlineStr">
        <is>
          <t>APPROVED</t>
        </is>
      </c>
      <c r="J267" s="19" t="inlineStr">
        <is>
          <t>Yes</t>
        </is>
      </c>
      <c r="K267" s="19" t="inlineStr">
        <is>
          <t>No</t>
        </is>
      </c>
      <c r="L267" s="19" t="inlineStr">
        <is>
          <t>PO#682957</t>
        </is>
      </c>
      <c r="M267" s="19" t="inlineStr">
        <is>
          <t>RX682957</t>
        </is>
      </c>
      <c r="N267" s="19" t="inlineStr">
        <is>
          <t>E</t>
        </is>
      </c>
      <c r="O267" s="20" t="inlineStr">
        <is>
          <t>No linkage found in awarded contract file</t>
        </is>
      </c>
      <c r="P267" s="19" t="inlineStr"/>
      <c r="Q267" s="19" t="inlineStr"/>
      <c r="R267" s="31" t="inlineStr"/>
      <c r="S267" s="19" t="inlineStr"/>
      <c r="T267" s="19" t="inlineStr">
        <is>
          <t>No</t>
        </is>
      </c>
      <c r="U267" s="19" t="inlineStr">
        <is>
          <t>No</t>
        </is>
      </c>
      <c r="V267" s="19" t="inlineStr">
        <is>
          <t>No</t>
        </is>
      </c>
      <c r="W267" s="19" t="inlineStr">
        <is>
          <t>Yes</t>
        </is>
      </c>
    </row>
    <row r="268">
      <c r="A268" s="19" t="n">
        <v>723662</v>
      </c>
      <c r="B268" s="31" t="n">
        <v>46126</v>
      </c>
      <c r="C268" s="19" t="inlineStr">
        <is>
          <t>CHICAGO DEPARTMENT OF AVIATION</t>
        </is>
      </c>
      <c r="D268" s="19" t="inlineStr">
        <is>
          <t>BLUETRITON BRANDS INC</t>
        </is>
      </c>
      <c r="E268" s="20" t="inlineStr">
        <is>
          <t>Invoice Number: 06C6710421194Account Number: 6710421194CHICAGO DEPT OF AVIATIONInvoice Number: 16C0122238496account Number: 0122238496CITY OF CHICAGO DEPT OF AVIATION</t>
        </is>
      </c>
      <c r="F268" s="21" t="n">
        <v>2228.64</v>
      </c>
      <c r="G268" s="19" t="inlineStr">
        <is>
          <t>1. Pending New Contract - Original Contract Expired. New Contract in Process</t>
        </is>
      </c>
      <c r="H268" s="19" t="inlineStr">
        <is>
          <t>A. Specification Development Phase</t>
        </is>
      </c>
      <c r="I268" s="19" t="inlineStr">
        <is>
          <t>APPROVED</t>
        </is>
      </c>
      <c r="J268" s="19" t="inlineStr">
        <is>
          <t>No</t>
        </is>
      </c>
      <c r="K268" s="19" t="inlineStr">
        <is>
          <t>No</t>
        </is>
      </c>
      <c r="L268" s="19" t="inlineStr"/>
      <c r="M268" s="19" t="inlineStr">
        <is>
          <t>VDBLUETRITON BRANDS</t>
        </is>
      </c>
      <c r="N268" s="19" t="inlineStr">
        <is>
          <t>E</t>
        </is>
      </c>
      <c r="O268" s="20" t="inlineStr">
        <is>
          <t>No linkage found in awarded contract file</t>
        </is>
      </c>
      <c r="P268" s="19" t="inlineStr"/>
      <c r="Q268" s="19" t="inlineStr"/>
      <c r="R268" s="31" t="inlineStr"/>
      <c r="S268" s="19" t="inlineStr"/>
      <c r="T268" s="19" t="inlineStr">
        <is>
          <t>No</t>
        </is>
      </c>
      <c r="U268" s="19" t="inlineStr">
        <is>
          <t>No</t>
        </is>
      </c>
      <c r="V268" s="19" t="inlineStr">
        <is>
          <t>No</t>
        </is>
      </c>
      <c r="W268" s="19" t="inlineStr">
        <is>
          <t>No</t>
        </is>
      </c>
    </row>
    <row r="269">
      <c r="A269" s="19" t="n">
        <v>712649</v>
      </c>
      <c r="B269" s="31" t="n">
        <v>46063</v>
      </c>
      <c r="C269" s="19" t="inlineStr">
        <is>
          <t>CHICAGO POLICE DEPARTMENT</t>
        </is>
      </c>
      <c r="D269" s="19" t="inlineStr">
        <is>
          <t xml:space="preserve">REPUBLIC SERVICES INC </t>
        </is>
      </c>
      <c r="E269" s="20" t="inlineStr">
        <is>
          <t>Republic Services Inv# 0710-005802970 - $3,965.56Republic Services Inv# 0710-005786063 - $4,073.67</t>
        </is>
      </c>
      <c r="F269" s="21" t="n">
        <v>8039.23</v>
      </c>
      <c r="G269" s="19" t="inlineStr">
        <is>
          <t>1. Pending New Contract - Original Contract Expired. New Contract in Process</t>
        </is>
      </c>
      <c r="H269" s="19" t="inlineStr">
        <is>
          <t>A. Specification Development Phase</t>
        </is>
      </c>
      <c r="I269" s="19" t="inlineStr">
        <is>
          <t>APPROVED</t>
        </is>
      </c>
      <c r="J269" s="19" t="inlineStr">
        <is>
          <t>Yes</t>
        </is>
      </c>
      <c r="K269" s="19" t="inlineStr">
        <is>
          <t>No</t>
        </is>
      </c>
      <c r="L269" s="19" t="inlineStr"/>
      <c r="M269" s="19" t="inlineStr">
        <is>
          <t>RX669739</t>
        </is>
      </c>
      <c r="N269" s="19" t="inlineStr">
        <is>
          <t>E</t>
        </is>
      </c>
      <c r="O269" s="20" t="inlineStr">
        <is>
          <t>No linkage found in awarded contract file</t>
        </is>
      </c>
      <c r="P269" s="19" t="inlineStr"/>
      <c r="Q269" s="19" t="inlineStr"/>
      <c r="R269" s="31" t="inlineStr"/>
      <c r="S269" s="19" t="inlineStr"/>
      <c r="T269" s="19" t="inlineStr">
        <is>
          <t>No</t>
        </is>
      </c>
      <c r="U269" s="19" t="inlineStr">
        <is>
          <t>No</t>
        </is>
      </c>
      <c r="V269" s="19" t="inlineStr">
        <is>
          <t>No</t>
        </is>
      </c>
      <c r="W269" s="19" t="inlineStr">
        <is>
          <t>Yes</t>
        </is>
      </c>
    </row>
    <row r="270">
      <c r="A270" s="19" t="n">
        <v>711403</v>
      </c>
      <c r="B270" s="31" t="n">
        <v>46051</v>
      </c>
      <c r="C270" s="19" t="inlineStr">
        <is>
          <t>DEPARTMENT OF PLANNING AND DEVELOPMENT</t>
        </is>
      </c>
      <c r="D270" s="19" t="inlineStr">
        <is>
          <t>GREATER ILLINOIS TITLE CO. INC.</t>
        </is>
      </c>
      <c r="E270" s="20" t="inlineStr">
        <is>
          <t>Greater Illinois Title Company Invoices from Nov 2025 to Dec 2025</t>
        </is>
      </c>
      <c r="F270" s="21" t="n">
        <v>29075</v>
      </c>
      <c r="G270" s="19" t="inlineStr"/>
      <c r="H270" s="19" t="inlineStr"/>
      <c r="I270" s="19" t="inlineStr"/>
      <c r="J270" s="19" t="inlineStr"/>
      <c r="K270" s="19" t="inlineStr">
        <is>
          <t>No</t>
        </is>
      </c>
      <c r="L270" s="19" t="inlineStr"/>
      <c r="M270" s="19" t="inlineStr">
        <is>
          <t>VDGREATER ILLINOIS TITLE</t>
        </is>
      </c>
      <c r="N270" s="19" t="inlineStr">
        <is>
          <t>E</t>
        </is>
      </c>
      <c r="O270" s="20" t="inlineStr">
        <is>
          <t>No linkage found in awarded contract file</t>
        </is>
      </c>
      <c r="P270" s="19" t="inlineStr"/>
      <c r="Q270" s="19" t="inlineStr"/>
      <c r="R270" s="31" t="inlineStr"/>
      <c r="S270" s="19" t="inlineStr"/>
      <c r="T270" s="19" t="inlineStr">
        <is>
          <t>No</t>
        </is>
      </c>
      <c r="U270" s="19" t="inlineStr">
        <is>
          <t>No</t>
        </is>
      </c>
      <c r="V270" s="19" t="inlineStr">
        <is>
          <t>No</t>
        </is>
      </c>
      <c r="W270" s="19" t="inlineStr">
        <is>
          <t>No</t>
        </is>
      </c>
    </row>
    <row r="271">
      <c r="A271" s="19" t="n">
        <v>742067</v>
      </c>
      <c r="B271" s="31" t="n">
        <v>46226</v>
      </c>
      <c r="C271" s="19" t="inlineStr">
        <is>
          <t>DEPARTMENT OF PLANNING AND DEVELOPMENT</t>
        </is>
      </c>
      <c r="D271" s="19" t="inlineStr">
        <is>
          <t>GREATER ILLINOIS TITLE CO. INC.</t>
        </is>
      </c>
      <c r="E271" s="20" t="inlineStr">
        <is>
          <t>Greater Illinois Title Company Invoices from Mar 2026 to Jul 2026</t>
        </is>
      </c>
      <c r="F271" s="21" t="n">
        <v>35050</v>
      </c>
      <c r="G271" s="19" t="inlineStr"/>
      <c r="H271" s="19" t="inlineStr"/>
      <c r="I271" s="19" t="inlineStr">
        <is>
          <t>APPROVED</t>
        </is>
      </c>
      <c r="J271" s="19" t="inlineStr"/>
      <c r="K271" s="19" t="inlineStr">
        <is>
          <t>No</t>
        </is>
      </c>
      <c r="L271" s="19" t="inlineStr"/>
      <c r="M271" s="19" t="inlineStr">
        <is>
          <t>VDGREATER ILLINOIS TITLE</t>
        </is>
      </c>
      <c r="N271" s="19" t="inlineStr">
        <is>
          <t>E</t>
        </is>
      </c>
      <c r="O271" s="20" t="inlineStr">
        <is>
          <t>No linkage found in awarded contract file</t>
        </is>
      </c>
      <c r="P271" s="19" t="inlineStr"/>
      <c r="Q271" s="19" t="inlineStr"/>
      <c r="R271" s="31" t="inlineStr"/>
      <c r="S271" s="19" t="inlineStr"/>
      <c r="T271" s="19" t="inlineStr">
        <is>
          <t>No</t>
        </is>
      </c>
      <c r="U271" s="19" t="inlineStr">
        <is>
          <t>No</t>
        </is>
      </c>
      <c r="V271" s="19" t="inlineStr">
        <is>
          <t>No</t>
        </is>
      </c>
      <c r="W271" s="19" t="inlineStr">
        <is>
          <t>No</t>
        </is>
      </c>
    </row>
    <row r="272">
      <c r="A272" s="19" t="n">
        <v>708476</v>
      </c>
      <c r="B272" s="31" t="n">
        <v>46044</v>
      </c>
      <c r="C272" s="19" t="inlineStr">
        <is>
          <t>DEPARTMENT OF PLANNING AND DEVELOPMENT</t>
        </is>
      </c>
      <c r="D272" s="19" t="inlineStr">
        <is>
          <t>GREATER ILLINOIS TITLE CO. INC.</t>
        </is>
      </c>
      <c r="E272" s="20" t="inlineStr">
        <is>
          <t>Greater Illinois Title Company Invoices</t>
        </is>
      </c>
      <c r="F272" s="21" t="n">
        <v>2600</v>
      </c>
      <c r="G272" s="19" t="inlineStr"/>
      <c r="H272" s="19" t="inlineStr"/>
      <c r="I272" s="19" t="inlineStr">
        <is>
          <t>APPROVED</t>
        </is>
      </c>
      <c r="J272" s="19" t="inlineStr"/>
      <c r="K272" s="19" t="inlineStr">
        <is>
          <t>No</t>
        </is>
      </c>
      <c r="L272" s="19" t="inlineStr"/>
      <c r="M272" s="19" t="inlineStr">
        <is>
          <t>VDGREATER ILLINOIS TITLE</t>
        </is>
      </c>
      <c r="N272" s="19" t="inlineStr">
        <is>
          <t>E</t>
        </is>
      </c>
      <c r="O272" s="20" t="inlineStr">
        <is>
          <t>No linkage found in awarded contract file</t>
        </is>
      </c>
      <c r="P272" s="19" t="inlineStr"/>
      <c r="Q272" s="19" t="inlineStr"/>
      <c r="R272" s="31" t="inlineStr"/>
      <c r="S272" s="19" t="inlineStr"/>
      <c r="T272" s="19" t="inlineStr">
        <is>
          <t>No</t>
        </is>
      </c>
      <c r="U272" s="19" t="inlineStr">
        <is>
          <t>No</t>
        </is>
      </c>
      <c r="V272" s="19" t="inlineStr">
        <is>
          <t>No</t>
        </is>
      </c>
      <c r="W272" s="19" t="inlineStr">
        <is>
          <t>No</t>
        </is>
      </c>
    </row>
    <row r="273">
      <c r="A273" s="19" t="n">
        <v>711485</v>
      </c>
      <c r="B273" s="31" t="n">
        <v>46052</v>
      </c>
      <c r="C273" s="19" t="inlineStr">
        <is>
          <t>DEPARTMENT OF PLANNING AND DEVELOPMENT</t>
        </is>
      </c>
      <c r="D273" s="19" t="inlineStr">
        <is>
          <t>Eusebio Molina</t>
        </is>
      </c>
      <c r="E273" s="20" t="inlineStr">
        <is>
          <t>Eusebio Molina Invoice for 10/23/2025</t>
        </is>
      </c>
      <c r="F273" s="21" t="n">
        <v>2100</v>
      </c>
      <c r="G273" s="19" t="inlineStr"/>
      <c r="H273" s="19" t="inlineStr"/>
      <c r="I273" s="19" t="inlineStr">
        <is>
          <t>APPROVED</t>
        </is>
      </c>
      <c r="J273" s="19" t="inlineStr"/>
      <c r="K273" s="19" t="inlineStr">
        <is>
          <t>No</t>
        </is>
      </c>
      <c r="L273" s="19" t="inlineStr"/>
      <c r="M273" s="19" t="inlineStr">
        <is>
          <t>VDEUSEBIO MOLINA</t>
        </is>
      </c>
      <c r="N273" s="19" t="inlineStr">
        <is>
          <t>E</t>
        </is>
      </c>
      <c r="O273" s="20" t="inlineStr">
        <is>
          <t>No linkage found in awarded contract file</t>
        </is>
      </c>
      <c r="P273" s="19" t="inlineStr"/>
      <c r="Q273" s="19" t="inlineStr"/>
      <c r="R273" s="31" t="inlineStr"/>
      <c r="S273" s="19" t="inlineStr"/>
      <c r="T273" s="19" t="inlineStr">
        <is>
          <t>No</t>
        </is>
      </c>
      <c r="U273" s="19" t="inlineStr">
        <is>
          <t>No</t>
        </is>
      </c>
      <c r="V273" s="19" t="inlineStr">
        <is>
          <t>No</t>
        </is>
      </c>
      <c r="W273" s="19" t="inlineStr">
        <is>
          <t>No</t>
        </is>
      </c>
    </row>
    <row r="274">
      <c r="A274" s="19" t="n">
        <v>746639</v>
      </c>
      <c r="B274" s="31" t="n">
        <v>46253.93944444445</v>
      </c>
      <c r="C274" s="19" t="inlineStr">
        <is>
          <t>OFFICE OF THE MAYOR</t>
        </is>
      </c>
      <c r="D274" s="19" t="inlineStr">
        <is>
          <t>LKP CONSULTING LLC</t>
        </is>
      </c>
      <c r="E274" s="20" t="inlineStr">
        <is>
          <t>LKP Legislative services</t>
        </is>
      </c>
      <c r="F274" s="21" t="n">
        <v>4000</v>
      </c>
      <c r="G274" s="19" t="inlineStr">
        <is>
          <t>4. Invoice Reconciliation - Invoice Received after Contract Expiration</t>
        </is>
      </c>
      <c r="H274" s="19" t="inlineStr">
        <is>
          <t>H. One Time Purchase</t>
        </is>
      </c>
      <c r="I274" s="19" t="inlineStr"/>
      <c r="J274" s="19" t="inlineStr">
        <is>
          <t>Yes</t>
        </is>
      </c>
      <c r="K274" s="19" t="inlineStr">
        <is>
          <t>No</t>
        </is>
      </c>
      <c r="L274" s="19" t="n">
        <v>325474</v>
      </c>
      <c r="M274" s="19" t="inlineStr">
        <is>
          <t>RX741082</t>
        </is>
      </c>
      <c r="N274" s="19" t="inlineStr">
        <is>
          <t>A</t>
        </is>
      </c>
      <c r="O274" s="20" t="inlineStr">
        <is>
          <t>Contract number link: reported number = awarded PO</t>
        </is>
      </c>
      <c r="P274" s="19" t="inlineStr">
        <is>
          <t>386406</t>
        </is>
      </c>
      <c r="Q274" s="19" t="inlineStr">
        <is>
          <t>LKP CONSULTING LLC</t>
        </is>
      </c>
      <c r="R274" s="31" t="n">
        <v>46024</v>
      </c>
      <c r="S274" s="19" t="inlineStr">
        <is>
          <t>SOLE SOURCE</t>
        </is>
      </c>
      <c r="T274" s="19" t="inlineStr">
        <is>
          <t>No</t>
        </is>
      </c>
      <c r="U274" s="19" t="inlineStr">
        <is>
          <t>No</t>
        </is>
      </c>
      <c r="V274" s="19" t="inlineStr">
        <is>
          <t>Yes</t>
        </is>
      </c>
      <c r="W274" s="19" t="inlineStr">
        <is>
          <t>No</t>
        </is>
      </c>
    </row>
    <row r="275">
      <c r="A275" s="19" t="n">
        <v>711952</v>
      </c>
      <c r="B275" s="31" t="n">
        <v>46077</v>
      </c>
      <c r="C275" s="19" t="inlineStr">
        <is>
          <t>CHICAGO DEPARTMENT OF PUBLIC HEALTH</t>
        </is>
      </c>
      <c r="D275" s="19" t="inlineStr">
        <is>
          <t>UNIVERSITY OF ILLINOIS 01</t>
        </is>
      </c>
      <c r="E275" s="20" t="inlineStr">
        <is>
          <t>4/1/2025 - 4/30/2025 - COVID-19 AND OTHER PATHOGEN TESTING SERVICES IN CONGREGATE SETTINGS</t>
        </is>
      </c>
      <c r="F275" s="21" t="n">
        <v>0</v>
      </c>
      <c r="G275" s="19" t="inlineStr">
        <is>
          <t>4. Invoice Reconciliation - Invoice Received after Contract Expiration</t>
        </is>
      </c>
      <c r="H275" s="19" t="inlineStr">
        <is>
          <t>H. One Time Purchase</t>
        </is>
      </c>
      <c r="I275" s="19" t="inlineStr"/>
      <c r="J275" s="19" t="inlineStr">
        <is>
          <t>No</t>
        </is>
      </c>
      <c r="K275" s="19" t="inlineStr">
        <is>
          <t>No</t>
        </is>
      </c>
      <c r="L275" s="19" t="inlineStr">
        <is>
          <t>na</t>
        </is>
      </c>
      <c r="M275" s="19" t="inlineStr">
        <is>
          <t>VDUNIVERSITY ILLINOIS 01</t>
        </is>
      </c>
      <c r="N275" s="19" t="inlineStr">
        <is>
          <t>E</t>
        </is>
      </c>
      <c r="O275" s="20" t="inlineStr">
        <is>
          <t>No linkage found in awarded contract file</t>
        </is>
      </c>
      <c r="P275" s="19" t="inlineStr"/>
      <c r="Q275" s="19" t="inlineStr"/>
      <c r="R275" s="31" t="inlineStr"/>
      <c r="S275" s="19" t="inlineStr"/>
      <c r="T275" s="19" t="inlineStr">
        <is>
          <t>No</t>
        </is>
      </c>
      <c r="U275" s="19" t="inlineStr">
        <is>
          <t>No</t>
        </is>
      </c>
      <c r="V275" s="19" t="inlineStr">
        <is>
          <t>No</t>
        </is>
      </c>
      <c r="W275" s="19" t="inlineStr">
        <is>
          <t>No</t>
        </is>
      </c>
    </row>
    <row r="276">
      <c r="A276" s="19" t="n">
        <v>741919</v>
      </c>
      <c r="B276" s="31" t="n">
        <v>46223</v>
      </c>
      <c r="C276" s="19" t="inlineStr">
        <is>
          <t>DEPARTMENT OF FLEET AND FACILITY MANAGEMENT</t>
        </is>
      </c>
      <c r="D276" s="19" t="inlineStr">
        <is>
          <t>CHICAGO UNITED INDUSTRIES, LTD</t>
        </is>
      </c>
      <c r="E276" s="20" t="inlineStr">
        <is>
          <t>CHICAGO UNITED 171076 / JK/ MM/ INVOICE #37743 / $424.32</t>
        </is>
      </c>
      <c r="F276" s="21" t="n">
        <v>424.32</v>
      </c>
      <c r="G276" s="19" t="inlineStr">
        <is>
          <t>3. One Time Purchase</t>
        </is>
      </c>
      <c r="H276" s="19" t="inlineStr">
        <is>
          <t>H. One Time Purchase</t>
        </is>
      </c>
      <c r="I276" s="19" t="inlineStr">
        <is>
          <t>APPROVED</t>
        </is>
      </c>
      <c r="J276" s="19" t="inlineStr">
        <is>
          <t>No</t>
        </is>
      </c>
      <c r="K276" s="19" t="inlineStr">
        <is>
          <t>Yes</t>
        </is>
      </c>
      <c r="L276" s="19" t="n">
        <v>291363</v>
      </c>
      <c r="M276" s="19" t="inlineStr">
        <is>
          <t>RX569467</t>
        </is>
      </c>
      <c r="N276" s="19" t="inlineStr">
        <is>
          <t>E</t>
        </is>
      </c>
      <c r="O276" s="20" t="inlineStr">
        <is>
          <t>No linkage found in awarded contract file</t>
        </is>
      </c>
      <c r="P276" s="19" t="inlineStr"/>
      <c r="Q276" s="19" t="inlineStr"/>
      <c r="R276" s="31" t="inlineStr"/>
      <c r="S276" s="19" t="inlineStr"/>
      <c r="T276" s="19" t="inlineStr">
        <is>
          <t>No</t>
        </is>
      </c>
      <c r="U276" s="19" t="inlineStr">
        <is>
          <t>No</t>
        </is>
      </c>
      <c r="V276" s="19" t="inlineStr">
        <is>
          <t>No</t>
        </is>
      </c>
      <c r="W276" s="19" t="inlineStr">
        <is>
          <t>No</t>
        </is>
      </c>
    </row>
    <row r="277">
      <c r="A277" s="19" t="n">
        <v>739027</v>
      </c>
      <c r="B277" s="31" t="n">
        <v>46209</v>
      </c>
      <c r="C277" s="19" t="inlineStr">
        <is>
          <t>DEPARTMENT OF FLEET AND FACILITY MANAGEMENT</t>
        </is>
      </c>
      <c r="D277" s="19" t="inlineStr">
        <is>
          <t>DIVERSE FACILITY SOLUTION INC.</t>
        </is>
      </c>
      <c r="E277" s="20" t="inlineStr">
        <is>
          <t>JK/ VJ/ INV# 16813 / $323,552.44</t>
        </is>
      </c>
      <c r="F277" s="21" t="n">
        <v>323552.44</v>
      </c>
      <c r="G277" s="19" t="inlineStr">
        <is>
          <t>1. Pending New Contract - Original Contract Expired. New Contract in Process</t>
        </is>
      </c>
      <c r="H277" s="19" t="inlineStr">
        <is>
          <t>A. Specification Development Phase</t>
        </is>
      </c>
      <c r="I277" s="19" t="inlineStr">
        <is>
          <t>APPROVED</t>
        </is>
      </c>
      <c r="J277" s="19" t="inlineStr">
        <is>
          <t>Yes</t>
        </is>
      </c>
      <c r="K277" s="19" t="inlineStr">
        <is>
          <t>No</t>
        </is>
      </c>
      <c r="L277" s="19" t="inlineStr"/>
      <c r="M277" s="19" t="inlineStr">
        <is>
          <t>RX624331</t>
        </is>
      </c>
      <c r="N277" s="19" t="inlineStr">
        <is>
          <t>E</t>
        </is>
      </c>
      <c r="O277" s="20" t="inlineStr">
        <is>
          <t>No linkage found in awarded contract file</t>
        </is>
      </c>
      <c r="P277" s="19" t="inlineStr"/>
      <c r="Q277" s="19" t="inlineStr"/>
      <c r="R277" s="31" t="inlineStr"/>
      <c r="S277" s="19" t="inlineStr"/>
      <c r="T277" s="19" t="inlineStr">
        <is>
          <t>No</t>
        </is>
      </c>
      <c r="U277" s="19" t="inlineStr">
        <is>
          <t>No</t>
        </is>
      </c>
      <c r="V277" s="19" t="inlineStr">
        <is>
          <t>No</t>
        </is>
      </c>
      <c r="W277" s="19" t="inlineStr">
        <is>
          <t>Yes</t>
        </is>
      </c>
    </row>
    <row r="278">
      <c r="A278" s="19" t="n">
        <v>736992</v>
      </c>
      <c r="B278" s="31" t="n">
        <v>46197</v>
      </c>
      <c r="C278" s="19" t="inlineStr">
        <is>
          <t>CHICAGO FIRE DEPARTMENT</t>
        </is>
      </c>
      <c r="D278" s="19" t="inlineStr">
        <is>
          <t>AGAE CONTRACTORS, INC.</t>
        </is>
      </c>
      <c r="E278" s="20" t="inlineStr">
        <is>
          <t>Nameplates, Inserts &amp; Holders for CFD Ranking Staff</t>
        </is>
      </c>
      <c r="F278" s="21" t="n">
        <v>171.8</v>
      </c>
      <c r="G278" s="19" t="inlineStr">
        <is>
          <t>1. Pending New Contract - Original Contract Expired. New Contract in Process</t>
        </is>
      </c>
      <c r="H278" s="19" t="inlineStr">
        <is>
          <t>B. City Law Review</t>
        </is>
      </c>
      <c r="I278" s="19" t="inlineStr">
        <is>
          <t>APPROVED</t>
        </is>
      </c>
      <c r="J278" s="19" t="inlineStr">
        <is>
          <t>Yes</t>
        </is>
      </c>
      <c r="K278" s="19" t="inlineStr">
        <is>
          <t>No</t>
        </is>
      </c>
      <c r="L278" s="19" t="inlineStr"/>
      <c r="M278" s="19" t="inlineStr">
        <is>
          <t>RX607736</t>
        </is>
      </c>
      <c r="N278" s="19" t="inlineStr">
        <is>
          <t>E</t>
        </is>
      </c>
      <c r="O278" s="20" t="inlineStr">
        <is>
          <t>No linkage found in awarded contract file</t>
        </is>
      </c>
      <c r="P278" s="19" t="inlineStr"/>
      <c r="Q278" s="19" t="inlineStr"/>
      <c r="R278" s="31" t="inlineStr"/>
      <c r="S278" s="19" t="inlineStr"/>
      <c r="T278" s="19" t="inlineStr">
        <is>
          <t>No</t>
        </is>
      </c>
      <c r="U278" s="19" t="inlineStr">
        <is>
          <t>No</t>
        </is>
      </c>
      <c r="V278" s="19" t="inlineStr">
        <is>
          <t>No</t>
        </is>
      </c>
      <c r="W278" s="19" t="inlineStr">
        <is>
          <t>Yes</t>
        </is>
      </c>
    </row>
    <row r="279">
      <c r="A279" s="19" t="n">
        <v>708944</v>
      </c>
      <c r="B279" s="31" t="n">
        <v>46042</v>
      </c>
      <c r="C279" s="19" t="inlineStr">
        <is>
          <t>CHICAGO FIRE DEPARTMENT</t>
        </is>
      </c>
      <c r="D279" s="19" t="inlineStr">
        <is>
          <t>ACORN GARAGE INC</t>
        </is>
      </c>
      <c r="E279" s="20" t="inlineStr">
        <is>
          <t>State Required Safety Lane Inspections for Public Safety Vehicles</t>
        </is>
      </c>
      <c r="F279" s="21" t="n">
        <v>195</v>
      </c>
      <c r="G279" s="19" t="inlineStr">
        <is>
          <t>1. Pending New Contract - Original Contract Expired. New Contract in Process</t>
        </is>
      </c>
      <c r="H279" s="19" t="inlineStr">
        <is>
          <t>A. Specification Development Phase</t>
        </is>
      </c>
      <c r="I279" s="19" t="inlineStr">
        <is>
          <t>APPROVED</t>
        </is>
      </c>
      <c r="J279" s="19" t="inlineStr">
        <is>
          <t>Yes</t>
        </is>
      </c>
      <c r="K279" s="19" t="inlineStr">
        <is>
          <t>No</t>
        </is>
      </c>
      <c r="L279" s="19" t="inlineStr"/>
      <c r="M279" s="19" t="inlineStr">
        <is>
          <t>RX636139</t>
        </is>
      </c>
      <c r="N279" s="19" t="inlineStr">
        <is>
          <t>E</t>
        </is>
      </c>
      <c r="O279" s="20" t="inlineStr">
        <is>
          <t>No linkage found in awarded contract file</t>
        </is>
      </c>
      <c r="P279" s="19" t="inlineStr"/>
      <c r="Q279" s="19" t="inlineStr"/>
      <c r="R279" s="31" t="inlineStr"/>
      <c r="S279" s="19" t="inlineStr"/>
      <c r="T279" s="19" t="inlineStr">
        <is>
          <t>No</t>
        </is>
      </c>
      <c r="U279" s="19" t="inlineStr">
        <is>
          <t>No</t>
        </is>
      </c>
      <c r="V279" s="19" t="inlineStr">
        <is>
          <t>No</t>
        </is>
      </c>
      <c r="W279" s="19" t="inlineStr">
        <is>
          <t>Yes</t>
        </is>
      </c>
    </row>
    <row r="280">
      <c r="A280" s="19" t="n">
        <v>710630</v>
      </c>
      <c r="B280" s="31" t="n">
        <v>46049</v>
      </c>
      <c r="C280" s="19" t="inlineStr">
        <is>
          <t>DEPARTMENT OF TECHNOLOGY AND INNOVATION</t>
        </is>
      </c>
      <c r="D280" s="19" t="inlineStr">
        <is>
          <t>CDW GOVERNMENT, LLC.</t>
        </is>
      </c>
      <c r="E280" s="20" t="inlineStr">
        <is>
          <t>1 invoice for CDWG That was canceled by mistake after 2FM merged with IT and the PO invoice was cancel and was not paid.</t>
        </is>
      </c>
      <c r="F280" s="21" t="n">
        <v>69919.94</v>
      </c>
      <c r="G280" s="19" t="inlineStr">
        <is>
          <t>3. One Time Purchase</t>
        </is>
      </c>
      <c r="H280" s="19" t="inlineStr">
        <is>
          <t>H. One Time Purchase</t>
        </is>
      </c>
      <c r="I280" s="19" t="inlineStr">
        <is>
          <t>APPROVED</t>
        </is>
      </c>
      <c r="J280" s="19" t="inlineStr">
        <is>
          <t>No</t>
        </is>
      </c>
      <c r="K280" s="19" t="inlineStr">
        <is>
          <t>No</t>
        </is>
      </c>
      <c r="L280" s="19" t="inlineStr"/>
      <c r="M280" s="19" t="inlineStr">
        <is>
          <t>VDCDW GOVERNMENT</t>
        </is>
      </c>
      <c r="N280" s="19" t="inlineStr">
        <is>
          <t>E</t>
        </is>
      </c>
      <c r="O280" s="20" t="inlineStr">
        <is>
          <t>No linkage found in awarded contract file</t>
        </is>
      </c>
      <c r="P280" s="19" t="inlineStr"/>
      <c r="Q280" s="19" t="inlineStr"/>
      <c r="R280" s="31" t="inlineStr"/>
      <c r="S280" s="19" t="inlineStr"/>
      <c r="T280" s="19" t="inlineStr">
        <is>
          <t>No</t>
        </is>
      </c>
      <c r="U280" s="19" t="inlineStr">
        <is>
          <t>No</t>
        </is>
      </c>
      <c r="V280" s="19" t="inlineStr">
        <is>
          <t>No</t>
        </is>
      </c>
      <c r="W280" s="19" t="inlineStr">
        <is>
          <t>No</t>
        </is>
      </c>
    </row>
    <row r="281">
      <c r="A281" s="19" t="n">
        <v>721157</v>
      </c>
      <c r="B281" s="31" t="n">
        <v>46107</v>
      </c>
      <c r="C281" s="19" t="inlineStr">
        <is>
          <t>DEPARTMENT OF WATER MANAGEMENT</t>
        </is>
      </c>
      <c r="D281" s="19" t="inlineStr">
        <is>
          <t>RELIABLE CONTRACTING AND EQUIPMENT COMPANY</t>
        </is>
      </c>
      <c r="E281" s="20" t="inlineStr">
        <is>
          <t>Sewer Construction</t>
        </is>
      </c>
      <c r="F281" s="21" t="n">
        <v>6839.9</v>
      </c>
      <c r="G281" s="19" t="inlineStr">
        <is>
          <t>1. Pending New Contract - Original Contract Expired. New Contract in Process</t>
        </is>
      </c>
      <c r="H281" s="19" t="inlineStr">
        <is>
          <t>H. One Time Purchase</t>
        </is>
      </c>
      <c r="I281" s="19" t="inlineStr">
        <is>
          <t>APPROVED</t>
        </is>
      </c>
      <c r="J281" s="19" t="inlineStr">
        <is>
          <t>Yes</t>
        </is>
      </c>
      <c r="K281" s="19" t="inlineStr">
        <is>
          <t>No</t>
        </is>
      </c>
      <c r="L281" s="19" t="inlineStr"/>
      <c r="M281" s="19" t="inlineStr">
        <is>
          <t>RX493566</t>
        </is>
      </c>
      <c r="N281" s="19" t="inlineStr">
        <is>
          <t>C</t>
        </is>
      </c>
      <c r="O281" s="20" t="inlineStr">
        <is>
          <t>Vendor name match only (similarity 0.05)</t>
        </is>
      </c>
      <c r="P281" s="19" t="inlineStr">
        <is>
          <t>383808</t>
        </is>
      </c>
      <c r="Q281" s="19" t="inlineStr">
        <is>
          <t>RELIABLE CONTRACTING AND EQUIPMENT COMPANY</t>
        </is>
      </c>
      <c r="R281" s="31" t="n">
        <v>46142</v>
      </c>
      <c r="S281" s="19" t="inlineStr">
        <is>
          <t>BID</t>
        </is>
      </c>
      <c r="T281" s="19" t="inlineStr">
        <is>
          <t>Yes</t>
        </is>
      </c>
      <c r="U281" s="19" t="inlineStr">
        <is>
          <t>No</t>
        </is>
      </c>
      <c r="V281" s="19" t="inlineStr">
        <is>
          <t>No</t>
        </is>
      </c>
      <c r="W281" s="19" t="inlineStr">
        <is>
          <t>Yes</t>
        </is>
      </c>
    </row>
    <row r="282">
      <c r="A282" s="19" t="n">
        <v>739668</v>
      </c>
      <c r="B282" s="31" t="n">
        <v>46211</v>
      </c>
      <c r="C282" s="19" t="inlineStr">
        <is>
          <t>CHICAGO PUBLIC LIBRARY</t>
        </is>
      </c>
      <c r="D282" s="19" t="inlineStr">
        <is>
          <t>TORYON TECHNOLOGIES INC</t>
        </is>
      </c>
      <c r="E282" s="20" t="inlineStr">
        <is>
          <t>20261307 - T.G.</t>
        </is>
      </c>
      <c r="F282" s="21" t="n">
        <v>514.16</v>
      </c>
      <c r="G282" s="19" t="inlineStr">
        <is>
          <t>1. Pending New Contract - Original Contract Expired. New Contract in Process</t>
        </is>
      </c>
      <c r="H282" s="19" t="inlineStr">
        <is>
          <t>A. Specification Development Phase</t>
        </is>
      </c>
      <c r="I282" s="19" t="inlineStr">
        <is>
          <t>APPROVED</t>
        </is>
      </c>
      <c r="J282" s="19" t="inlineStr">
        <is>
          <t>Yes</t>
        </is>
      </c>
      <c r="K282" s="19" t="inlineStr">
        <is>
          <t>No</t>
        </is>
      </c>
      <c r="L282" s="19" t="inlineStr"/>
      <c r="M282" s="19" t="inlineStr">
        <is>
          <t>RX664572</t>
        </is>
      </c>
      <c r="N282" s="19" t="inlineStr">
        <is>
          <t>E</t>
        </is>
      </c>
      <c r="O282" s="20" t="inlineStr">
        <is>
          <t>No linkage found in awarded contract file</t>
        </is>
      </c>
      <c r="P282" s="19" t="inlineStr"/>
      <c r="Q282" s="19" t="inlineStr"/>
      <c r="R282" s="31" t="inlineStr"/>
      <c r="S282" s="19" t="inlineStr"/>
      <c r="T282" s="19" t="inlineStr">
        <is>
          <t>No</t>
        </is>
      </c>
      <c r="U282" s="19" t="inlineStr">
        <is>
          <t>No</t>
        </is>
      </c>
      <c r="V282" s="19" t="inlineStr">
        <is>
          <t>No</t>
        </is>
      </c>
      <c r="W282" s="19" t="inlineStr">
        <is>
          <t>Yes</t>
        </is>
      </c>
    </row>
    <row r="283">
      <c r="A283" s="19" t="n">
        <v>738096</v>
      </c>
      <c r="B283" s="31" t="n">
        <v>46203</v>
      </c>
      <c r="C283" s="19" t="inlineStr">
        <is>
          <t>DEPARTMENT OF FLEET AND FACILITY MANAGEMENT</t>
        </is>
      </c>
      <c r="D283" s="19" t="inlineStr">
        <is>
          <t>CAR WASH PARTNERS INC</t>
        </is>
      </c>
      <c r="E283" s="20" t="inlineStr">
        <is>
          <t>Currently, Lookin Good Car Wash (PO 124960) is the CityÂ¿s only contracted provider servicing Districts 2, 7, 8, 9, and 21; however, they do not have sufficient capacity to service the entire City fleet. A termination letter was issued on Ma</t>
        </is>
      </c>
      <c r="F283" s="21" t="n">
        <v>16871</v>
      </c>
      <c r="G283" s="19" t="inlineStr">
        <is>
          <t>1. Pending New Contract - Original Contract Expired. New Contract in Process</t>
        </is>
      </c>
      <c r="H283" s="19" t="inlineStr">
        <is>
          <t>A. Specification Development Phase</t>
        </is>
      </c>
      <c r="I283" s="19" t="inlineStr">
        <is>
          <t>APPROVED</t>
        </is>
      </c>
      <c r="J283" s="19" t="inlineStr">
        <is>
          <t>Yes</t>
        </is>
      </c>
      <c r="K283" s="19" t="inlineStr">
        <is>
          <t>No</t>
        </is>
      </c>
      <c r="L283" s="19" t="inlineStr"/>
      <c r="M283" s="19" t="inlineStr">
        <is>
          <t>RX710856</t>
        </is>
      </c>
      <c r="N283" s="19" t="inlineStr">
        <is>
          <t>E</t>
        </is>
      </c>
      <c r="O283" s="20" t="inlineStr">
        <is>
          <t>No linkage found in awarded contract file</t>
        </is>
      </c>
      <c r="P283" s="19" t="inlineStr"/>
      <c r="Q283" s="19" t="inlineStr"/>
      <c r="R283" s="31" t="inlineStr"/>
      <c r="S283" s="19" t="inlineStr"/>
      <c r="T283" s="19" t="inlineStr">
        <is>
          <t>No</t>
        </is>
      </c>
      <c r="U283" s="19" t="inlineStr">
        <is>
          <t>No</t>
        </is>
      </c>
      <c r="V283" s="19" t="inlineStr">
        <is>
          <t>No</t>
        </is>
      </c>
      <c r="W283" s="19" t="inlineStr">
        <is>
          <t>Yes</t>
        </is>
      </c>
    </row>
    <row r="284">
      <c r="A284" s="19" t="n">
        <v>741511</v>
      </c>
      <c r="B284" s="31" t="n">
        <v>46223</v>
      </c>
      <c r="C284" s="19" t="inlineStr">
        <is>
          <t>DEPARTMENT OF FLEET AND FACILITY MANAGEMENT</t>
        </is>
      </c>
      <c r="D284" s="19" t="inlineStr">
        <is>
          <t>CAR WASH PARTNERS INC</t>
        </is>
      </c>
      <c r="E284" s="20" t="inlineStr">
        <is>
          <t>WB/CA/2 INVOICES/$13862.00</t>
        </is>
      </c>
      <c r="F284" s="21" t="n">
        <v>13862</v>
      </c>
      <c r="G284" s="19" t="inlineStr">
        <is>
          <t>1. Pending New Contract - Original Contract Expired. New Contract in Process</t>
        </is>
      </c>
      <c r="H284" s="19" t="inlineStr">
        <is>
          <t>A. Specification Development Phase</t>
        </is>
      </c>
      <c r="I284" s="19" t="inlineStr">
        <is>
          <t>APPROVED</t>
        </is>
      </c>
      <c r="J284" s="19" t="inlineStr">
        <is>
          <t>Yes</t>
        </is>
      </c>
      <c r="K284" s="19" t="inlineStr">
        <is>
          <t>No</t>
        </is>
      </c>
      <c r="L284" s="19" t="inlineStr"/>
      <c r="M284" s="19" t="inlineStr">
        <is>
          <t>RX710856</t>
        </is>
      </c>
      <c r="N284" s="19" t="inlineStr">
        <is>
          <t>E</t>
        </is>
      </c>
      <c r="O284" s="20" t="inlineStr">
        <is>
          <t>No linkage found in awarded contract file</t>
        </is>
      </c>
      <c r="P284" s="19" t="inlineStr"/>
      <c r="Q284" s="19" t="inlineStr"/>
      <c r="R284" s="31" t="inlineStr"/>
      <c r="S284" s="19" t="inlineStr"/>
      <c r="T284" s="19" t="inlineStr">
        <is>
          <t>No</t>
        </is>
      </c>
      <c r="U284" s="19" t="inlineStr">
        <is>
          <t>No</t>
        </is>
      </c>
      <c r="V284" s="19" t="inlineStr">
        <is>
          <t>No</t>
        </is>
      </c>
      <c r="W284" s="19" t="inlineStr">
        <is>
          <t>Yes</t>
        </is>
      </c>
    </row>
    <row r="285">
      <c r="A285" s="19" t="n">
        <v>742458</v>
      </c>
      <c r="B285" s="31" t="n">
        <v>46226</v>
      </c>
      <c r="C285" s="19" t="inlineStr">
        <is>
          <t>DEPARTMENT OF FLEET AND FACILITY MANAGEMENT</t>
        </is>
      </c>
      <c r="D285" s="19" t="inlineStr">
        <is>
          <t>QUALITY CAR WASH, INC.</t>
        </is>
      </c>
      <c r="E285" s="20" t="inlineStr">
        <is>
          <t>WB/CA/9INVOICES/$12167.03</t>
        </is>
      </c>
      <c r="F285" s="21" t="n">
        <v>12167.03</v>
      </c>
      <c r="G285" s="19" t="inlineStr">
        <is>
          <t>1. Pending New Contract - Original Contract Expired. New Contract in Process</t>
        </is>
      </c>
      <c r="H285" s="19" t="inlineStr">
        <is>
          <t>A. Specification Development Phase</t>
        </is>
      </c>
      <c r="I285" s="19" t="inlineStr">
        <is>
          <t>APPROVED</t>
        </is>
      </c>
      <c r="J285" s="19" t="inlineStr">
        <is>
          <t>Yes</t>
        </is>
      </c>
      <c r="K285" s="19" t="inlineStr">
        <is>
          <t>No</t>
        </is>
      </c>
      <c r="L285" s="19" t="inlineStr"/>
      <c r="M285" s="19" t="inlineStr">
        <is>
          <t>RX710856</t>
        </is>
      </c>
      <c r="N285" s="19" t="inlineStr">
        <is>
          <t>E</t>
        </is>
      </c>
      <c r="O285" s="20" t="inlineStr">
        <is>
          <t>No linkage found in awarded contract file</t>
        </is>
      </c>
      <c r="P285" s="19" t="inlineStr"/>
      <c r="Q285" s="19" t="inlineStr"/>
      <c r="R285" s="31" t="inlineStr"/>
      <c r="S285" s="19" t="inlineStr"/>
      <c r="T285" s="19" t="inlineStr">
        <is>
          <t>No</t>
        </is>
      </c>
      <c r="U285" s="19" t="inlineStr">
        <is>
          <t>No</t>
        </is>
      </c>
      <c r="V285" s="19" t="inlineStr">
        <is>
          <t>No</t>
        </is>
      </c>
      <c r="W285" s="19" t="inlineStr">
        <is>
          <t>Yes</t>
        </is>
      </c>
    </row>
    <row r="286">
      <c r="A286" s="19" t="n">
        <v>744292</v>
      </c>
      <c r="B286" s="31" t="n">
        <v>46238</v>
      </c>
      <c r="C286" s="19" t="inlineStr">
        <is>
          <t>DEPARTMENT OF FLEET AND FACILITY MANAGEMENT</t>
        </is>
      </c>
      <c r="D286" s="19" t="inlineStr">
        <is>
          <t>PRESSURE WASHING SYSTEMS</t>
        </is>
      </c>
      <c r="E286" s="20" t="inlineStr">
        <is>
          <t>WB/MM/INV112883/$540.00</t>
        </is>
      </c>
      <c r="F286" s="21" t="n">
        <v>540</v>
      </c>
      <c r="G286" s="19" t="inlineStr">
        <is>
          <t>1. Pending New Contract - Original Contract Expired. New Contract in Process</t>
        </is>
      </c>
      <c r="H286" s="19" t="inlineStr">
        <is>
          <t>B. City Law Review</t>
        </is>
      </c>
      <c r="I286" s="19" t="inlineStr">
        <is>
          <t>APPROVED</t>
        </is>
      </c>
      <c r="J286" s="19" t="inlineStr">
        <is>
          <t>Yes</t>
        </is>
      </c>
      <c r="K286" s="19" t="inlineStr">
        <is>
          <t>No</t>
        </is>
      </c>
      <c r="L286" s="19" t="inlineStr"/>
      <c r="M286" s="19" t="inlineStr">
        <is>
          <t>RX717990</t>
        </is>
      </c>
      <c r="N286" s="19" t="inlineStr">
        <is>
          <t>E</t>
        </is>
      </c>
      <c r="O286" s="20" t="inlineStr">
        <is>
          <t>No linkage found in awarded contract file</t>
        </is>
      </c>
      <c r="P286" s="19" t="inlineStr"/>
      <c r="Q286" s="19" t="inlineStr"/>
      <c r="R286" s="31" t="inlineStr"/>
      <c r="S286" s="19" t="inlineStr"/>
      <c r="T286" s="19" t="inlineStr">
        <is>
          <t>No</t>
        </is>
      </c>
      <c r="U286" s="19" t="inlineStr">
        <is>
          <t>No</t>
        </is>
      </c>
      <c r="V286" s="19" t="inlineStr">
        <is>
          <t>No</t>
        </is>
      </c>
      <c r="W286" s="19" t="inlineStr">
        <is>
          <t>Yes</t>
        </is>
      </c>
    </row>
    <row r="287">
      <c r="A287" s="19" t="n">
        <v>744414</v>
      </c>
      <c r="B287" s="31" t="n">
        <v>46241</v>
      </c>
      <c r="C287" s="19" t="inlineStr">
        <is>
          <t>DEPARTMENT OF FLEET AND FACILITY MANAGEMENT</t>
        </is>
      </c>
      <c r="D287" s="19" t="inlineStr">
        <is>
          <t>LIZZETTE MEDINA &amp; COMPANY</t>
        </is>
      </c>
      <c r="E287" s="20" t="inlineStr">
        <is>
          <t>WB/VJ/5INVOICES/$11710.69</t>
        </is>
      </c>
      <c r="F287" s="21" t="n">
        <v>11710.69</v>
      </c>
      <c r="G287" s="19" t="inlineStr">
        <is>
          <t>1. Pending New Contract - Original Contract Expired. New Contract in Process</t>
        </is>
      </c>
      <c r="H287" s="19" t="inlineStr">
        <is>
          <t>B. City Law Review</t>
        </is>
      </c>
      <c r="I287" s="19" t="inlineStr">
        <is>
          <t>APPROVED</t>
        </is>
      </c>
      <c r="J287" s="19" t="inlineStr">
        <is>
          <t>Yes</t>
        </is>
      </c>
      <c r="K287" s="19" t="inlineStr">
        <is>
          <t>No</t>
        </is>
      </c>
      <c r="L287" s="19" t="inlineStr"/>
      <c r="M287" s="19" t="inlineStr">
        <is>
          <t>RX679137</t>
        </is>
      </c>
      <c r="N287" s="19" t="inlineStr">
        <is>
          <t>E</t>
        </is>
      </c>
      <c r="O287" s="20" t="inlineStr">
        <is>
          <t>No linkage found in awarded contract file</t>
        </is>
      </c>
      <c r="P287" s="19" t="inlineStr"/>
      <c r="Q287" s="19" t="inlineStr"/>
      <c r="R287" s="31" t="inlineStr"/>
      <c r="S287" s="19" t="inlineStr"/>
      <c r="T287" s="19" t="inlineStr">
        <is>
          <t>No</t>
        </is>
      </c>
      <c r="U287" s="19" t="inlineStr">
        <is>
          <t>No</t>
        </is>
      </c>
      <c r="V287" s="19" t="inlineStr">
        <is>
          <t>No</t>
        </is>
      </c>
      <c r="W287" s="19" t="inlineStr">
        <is>
          <t>Yes</t>
        </is>
      </c>
    </row>
    <row r="288">
      <c r="A288" s="19" t="n">
        <v>715648</v>
      </c>
      <c r="B288" s="31" t="n">
        <v>46080</v>
      </c>
      <c r="C288" s="19" t="inlineStr">
        <is>
          <t>DEPARTMENT OF FINANCE</t>
        </is>
      </c>
      <c r="D288" s="19" t="inlineStr">
        <is>
          <t>ACCURATE DOCUMENT DESTRUCTION</t>
        </is>
      </c>
      <c r="E288" s="20" t="inlineStr">
        <is>
          <t>Accurate Document Destruction (ADD) - Document Shredding Services Four (4) Cabinets DOS: 01/21/2026 Invoice.1592910T095 (Final Invoice)</t>
        </is>
      </c>
      <c r="F288" s="21" t="n">
        <v>276</v>
      </c>
      <c r="G288" s="19" t="inlineStr">
        <is>
          <t>3. One Time Purchase</t>
        </is>
      </c>
      <c r="H288" s="19" t="inlineStr">
        <is>
          <t>H. One Time Purchase</t>
        </is>
      </c>
      <c r="I288" s="19" t="inlineStr">
        <is>
          <t>APPROVED</t>
        </is>
      </c>
      <c r="J288" s="19" t="inlineStr">
        <is>
          <t>No</t>
        </is>
      </c>
      <c r="K288" s="19" t="inlineStr">
        <is>
          <t>No</t>
        </is>
      </c>
      <c r="L288" s="19" t="inlineStr"/>
      <c r="M288" s="19" t="inlineStr">
        <is>
          <t>VDACCURATE DOCUMENT DESTRUCTIO</t>
        </is>
      </c>
      <c r="N288" s="19" t="inlineStr">
        <is>
          <t>E</t>
        </is>
      </c>
      <c r="O288" s="20" t="inlineStr">
        <is>
          <t>No linkage found in awarded contract file</t>
        </is>
      </c>
      <c r="P288" s="19" t="inlineStr"/>
      <c r="Q288" s="19" t="inlineStr"/>
      <c r="R288" s="31" t="inlineStr"/>
      <c r="S288" s="19" t="inlineStr"/>
      <c r="T288" s="19" t="inlineStr">
        <is>
          <t>No</t>
        </is>
      </c>
      <c r="U288" s="19" t="inlineStr">
        <is>
          <t>No</t>
        </is>
      </c>
      <c r="V288" s="19" t="inlineStr">
        <is>
          <t>No</t>
        </is>
      </c>
      <c r="W288" s="19" t="inlineStr">
        <is>
          <t>No</t>
        </is>
      </c>
    </row>
    <row r="289">
      <c r="A289" s="19" t="n">
        <v>718057</v>
      </c>
      <c r="B289" s="31" t="n">
        <v>46097</v>
      </c>
      <c r="C289" s="19" t="inlineStr">
        <is>
          <t>DEPARTMENT OF FINANCE</t>
        </is>
      </c>
      <c r="D289" s="19" t="inlineStr">
        <is>
          <t>TRI-ANGLE FABRICATION &amp; BODY</t>
        </is>
      </c>
      <c r="E289" s="20" t="inlineStr">
        <is>
          <t>Vehicle boot repairs</t>
        </is>
      </c>
      <c r="F289" s="21" t="n">
        <v>0</v>
      </c>
      <c r="G289" s="19" t="inlineStr">
        <is>
          <t>4. Invoice Reconciliation - Invoice Received after Contract Expiration</t>
        </is>
      </c>
      <c r="H289" s="19" t="inlineStr">
        <is>
          <t>H. One Time Purchase</t>
        </is>
      </c>
      <c r="I289" s="19" t="inlineStr">
        <is>
          <t>APPROVED</t>
        </is>
      </c>
      <c r="J289" s="19" t="inlineStr">
        <is>
          <t>No</t>
        </is>
      </c>
      <c r="K289" s="19" t="inlineStr">
        <is>
          <t>No</t>
        </is>
      </c>
      <c r="L289" s="19" t="inlineStr"/>
      <c r="M289" s="19" t="inlineStr">
        <is>
          <t>VDTRI ANGLE FABRICATION BODY</t>
        </is>
      </c>
      <c r="N289" s="19" t="inlineStr">
        <is>
          <t>E</t>
        </is>
      </c>
      <c r="O289" s="20" t="inlineStr">
        <is>
          <t>No linkage found in awarded contract file</t>
        </is>
      </c>
      <c r="P289" s="19" t="inlineStr"/>
      <c r="Q289" s="19" t="inlineStr"/>
      <c r="R289" s="31" t="inlineStr"/>
      <c r="S289" s="19" t="inlineStr"/>
      <c r="T289" s="19" t="inlineStr">
        <is>
          <t>No</t>
        </is>
      </c>
      <c r="U289" s="19" t="inlineStr">
        <is>
          <t>No</t>
        </is>
      </c>
      <c r="V289" s="19" t="inlineStr">
        <is>
          <t>No</t>
        </is>
      </c>
      <c r="W289" s="19" t="inlineStr">
        <is>
          <t>No</t>
        </is>
      </c>
    </row>
    <row r="290">
      <c r="A290" s="19" t="n">
        <v>734509</v>
      </c>
      <c r="B290" s="31" t="n">
        <v>46181</v>
      </c>
      <c r="C290" s="19" t="inlineStr">
        <is>
          <t>CHICAGO FIRE DEPARTMENT</t>
        </is>
      </c>
      <c r="D290" s="19" t="inlineStr">
        <is>
          <t>INDUSTRIAL FENCE INC.</t>
        </is>
      </c>
      <c r="E290" s="20" t="inlineStr">
        <is>
          <t>FFIB Industrial Fence $123,204.68</t>
        </is>
      </c>
      <c r="F290" s="21" t="n">
        <v>123204.68</v>
      </c>
      <c r="G290" s="19" t="inlineStr">
        <is>
          <t>1. Pending New Contract - Original Contract Expired. New Contract in Process</t>
        </is>
      </c>
      <c r="H290" s="19" t="inlineStr">
        <is>
          <t>B. City Law Review</t>
        </is>
      </c>
      <c r="I290" s="19" t="inlineStr">
        <is>
          <t>APPROVED</t>
        </is>
      </c>
      <c r="J290" s="19" t="inlineStr">
        <is>
          <t>No</t>
        </is>
      </c>
      <c r="K290" s="19" t="inlineStr">
        <is>
          <t>No</t>
        </is>
      </c>
      <c r="L290" s="19" t="inlineStr"/>
      <c r="M290" s="19" t="inlineStr">
        <is>
          <t>RX596048</t>
        </is>
      </c>
      <c r="N290" s="19" t="inlineStr">
        <is>
          <t>E</t>
        </is>
      </c>
      <c r="O290" s="20" t="inlineStr">
        <is>
          <t>No linkage found in awarded contract file</t>
        </is>
      </c>
      <c r="P290" s="19" t="inlineStr"/>
      <c r="Q290" s="19" t="inlineStr"/>
      <c r="R290" s="31" t="inlineStr"/>
      <c r="S290" s="19" t="inlineStr"/>
      <c r="T290" s="19" t="inlineStr">
        <is>
          <t>No</t>
        </is>
      </c>
      <c r="U290" s="19" t="inlineStr">
        <is>
          <t>No</t>
        </is>
      </c>
      <c r="V290" s="19" t="inlineStr">
        <is>
          <t>No</t>
        </is>
      </c>
      <c r="W290" s="19" t="inlineStr">
        <is>
          <t>No</t>
        </is>
      </c>
    </row>
    <row r="291">
      <c r="A291" s="19" t="n">
        <v>719660</v>
      </c>
      <c r="B291" s="31" t="n">
        <v>46097</v>
      </c>
      <c r="C291" s="19" t="inlineStr">
        <is>
          <t>CHICAGO DEPARTMENT OF PUBLIC HEALTH</t>
        </is>
      </c>
      <c r="D291" s="19" t="inlineStr">
        <is>
          <t>VECTOR DISEASE CONTROL INTERNATIONAL LLC</t>
        </is>
      </c>
      <c r="E291" s="20" t="inlineStr">
        <is>
          <t>Fisher Scientific lab supply</t>
        </is>
      </c>
      <c r="F291" s="21" t="n">
        <v>79161.2</v>
      </c>
      <c r="G291" s="19" t="inlineStr">
        <is>
          <t>1. Pending New Contract - Original Contract Expired. New Contract in Process</t>
        </is>
      </c>
      <c r="H291" s="19" t="inlineStr">
        <is>
          <t>H. One Time Purchase</t>
        </is>
      </c>
      <c r="I291" s="19" t="inlineStr">
        <is>
          <t>APPROVED</t>
        </is>
      </c>
      <c r="J291" s="19" t="inlineStr">
        <is>
          <t>Yes</t>
        </is>
      </c>
      <c r="K291" s="19" t="inlineStr">
        <is>
          <t>No</t>
        </is>
      </c>
      <c r="L291" s="19" t="inlineStr"/>
      <c r="M291" s="19" t="inlineStr">
        <is>
          <t>VDVECTOR DISEASE CONTROL INTER</t>
        </is>
      </c>
      <c r="N291" s="19" t="inlineStr">
        <is>
          <t>E</t>
        </is>
      </c>
      <c r="O291" s="20" t="inlineStr">
        <is>
          <t>No linkage found in awarded contract file</t>
        </is>
      </c>
      <c r="P291" s="19" t="inlineStr"/>
      <c r="Q291" s="19" t="inlineStr"/>
      <c r="R291" s="31" t="inlineStr"/>
      <c r="S291" s="19" t="inlineStr"/>
      <c r="T291" s="19" t="inlineStr">
        <is>
          <t>No</t>
        </is>
      </c>
      <c r="U291" s="19" t="inlineStr">
        <is>
          <t>No</t>
        </is>
      </c>
      <c r="V291" s="19" t="inlineStr">
        <is>
          <t>No</t>
        </is>
      </c>
      <c r="W291" s="19" t="inlineStr">
        <is>
          <t>Yes</t>
        </is>
      </c>
    </row>
    <row r="292">
      <c r="A292" s="19" t="n">
        <v>711549</v>
      </c>
      <c r="B292" s="31" t="n">
        <v>46052</v>
      </c>
      <c r="C292" s="19" t="inlineStr">
        <is>
          <t>DEPARTMENT OF HUMAN RESOURCES</t>
        </is>
      </c>
      <c r="D292" s="19" t="inlineStr">
        <is>
          <t>Talogy, LLC</t>
        </is>
      </c>
      <c r="E292" s="20" t="inlineStr">
        <is>
          <t>EXHIBIT B - TALOGY PO 251333 INVOICES $67,689.70</t>
        </is>
      </c>
      <c r="F292" s="21" t="n">
        <v>67689.7</v>
      </c>
      <c r="G292" s="19" t="inlineStr">
        <is>
          <t>2. Pending Amendment/Modification - Line Item Addition / Vendor Limit Increase / Scope Change</t>
        </is>
      </c>
      <c r="H292" s="19" t="inlineStr">
        <is>
          <t>A. Specification Development Phase</t>
        </is>
      </c>
      <c r="I292" s="19" t="inlineStr">
        <is>
          <t>APPROVED</t>
        </is>
      </c>
      <c r="J292" s="19" t="inlineStr">
        <is>
          <t>Yes</t>
        </is>
      </c>
      <c r="K292" s="19" t="inlineStr">
        <is>
          <t>Yes</t>
        </is>
      </c>
      <c r="L292" s="19" t="n">
        <v>251333</v>
      </c>
      <c r="M292" s="19" t="inlineStr">
        <is>
          <t>RX667061</t>
        </is>
      </c>
      <c r="N292" s="19" t="inlineStr">
        <is>
          <t>E</t>
        </is>
      </c>
      <c r="O292" s="20" t="inlineStr">
        <is>
          <t>No linkage found in awarded contract file</t>
        </is>
      </c>
      <c r="P292" s="19" t="inlineStr"/>
      <c r="Q292" s="19" t="inlineStr"/>
      <c r="R292" s="31" t="inlineStr"/>
      <c r="S292" s="19" t="inlineStr"/>
      <c r="T292" s="19" t="inlineStr">
        <is>
          <t>No</t>
        </is>
      </c>
      <c r="U292" s="19" t="inlineStr">
        <is>
          <t>No</t>
        </is>
      </c>
      <c r="V292" s="19" t="inlineStr">
        <is>
          <t>No</t>
        </is>
      </c>
      <c r="W292" s="19" t="inlineStr">
        <is>
          <t>Yes</t>
        </is>
      </c>
    </row>
    <row r="293">
      <c r="A293" s="19" t="n">
        <v>711554</v>
      </c>
      <c r="B293" s="31" t="n">
        <v>46052</v>
      </c>
      <c r="C293" s="19" t="inlineStr">
        <is>
          <t>DEPARTMENT OF HUMAN RESOURCES</t>
        </is>
      </c>
      <c r="D293" s="19" t="inlineStr">
        <is>
          <t>OCCUPATIONAL HEALTH CENTERS</t>
        </is>
      </c>
      <c r="E293" s="20" t="inlineStr">
        <is>
          <t>EXHIBIT B - MEDICAL/PHYSICAL EXAMS AND DRUG TESTING/LAB SERVICES - OCCUPATIONAL HEALTH CENTERS DBA CONCENTRA INVOICES $20,353.00</t>
        </is>
      </c>
      <c r="F293" s="21" t="n">
        <v>20353</v>
      </c>
      <c r="G293" s="19" t="inlineStr">
        <is>
          <t>2. Pending Amendment/Modification - Line Item Addition / Vendor Limit Increase / Scope Change</t>
        </is>
      </c>
      <c r="H293" s="19" t="inlineStr">
        <is>
          <t>A. Specification Development Phase</t>
        </is>
      </c>
      <c r="I293" s="19" t="inlineStr">
        <is>
          <t>APPROVED</t>
        </is>
      </c>
      <c r="J293" s="19" t="inlineStr">
        <is>
          <t>No</t>
        </is>
      </c>
      <c r="K293" s="19" t="inlineStr">
        <is>
          <t>Yes</t>
        </is>
      </c>
      <c r="L293" s="19" t="n">
        <v>121696</v>
      </c>
      <c r="M293" s="19" t="inlineStr">
        <is>
          <t>RX707120</t>
        </is>
      </c>
      <c r="N293" s="19" t="inlineStr">
        <is>
          <t>E</t>
        </is>
      </c>
      <c r="O293" s="20" t="inlineStr">
        <is>
          <t>No linkage found in awarded contract file</t>
        </is>
      </c>
      <c r="P293" s="19" t="inlineStr"/>
      <c r="Q293" s="19" t="inlineStr"/>
      <c r="R293" s="31" t="inlineStr"/>
      <c r="S293" s="19" t="inlineStr"/>
      <c r="T293" s="19" t="inlineStr">
        <is>
          <t>No</t>
        </is>
      </c>
      <c r="U293" s="19" t="inlineStr">
        <is>
          <t>No</t>
        </is>
      </c>
      <c r="V293" s="19" t="inlineStr">
        <is>
          <t>No</t>
        </is>
      </c>
      <c r="W293" s="19" t="inlineStr">
        <is>
          <t>No</t>
        </is>
      </c>
    </row>
    <row r="294">
      <c r="A294" s="19" t="n">
        <v>742832</v>
      </c>
      <c r="B294" s="31" t="n">
        <v>46238</v>
      </c>
      <c r="C294" s="19" t="inlineStr">
        <is>
          <t>DEPARTMENT OF FAMILY AND SUPPORT SERVICES</t>
        </is>
      </c>
      <c r="D294" s="19" t="inlineStr">
        <is>
          <t>Service Sanitation Inc.</t>
        </is>
      </c>
      <c r="E294" s="20" t="inlineStr">
        <is>
          <t>Exhibit B_ 8160</t>
        </is>
      </c>
      <c r="F294" s="21" t="n">
        <v>8160</v>
      </c>
      <c r="G294" s="19" t="inlineStr">
        <is>
          <t>1. Pending New Contract - Original Contract Expired. New Contract in Process</t>
        </is>
      </c>
      <c r="H294" s="19" t="inlineStr">
        <is>
          <t>A. Specification Development Phase</t>
        </is>
      </c>
      <c r="I294" s="19" t="inlineStr">
        <is>
          <t>APPROVED</t>
        </is>
      </c>
      <c r="J294" s="19" t="inlineStr">
        <is>
          <t>No</t>
        </is>
      </c>
      <c r="K294" s="19" t="inlineStr">
        <is>
          <t>Yes</t>
        </is>
      </c>
      <c r="L294" s="19" t="n">
        <v>348927</v>
      </c>
      <c r="M294" s="19" t="inlineStr">
        <is>
          <t>VDSANITATION</t>
        </is>
      </c>
      <c r="N294" s="19" t="inlineStr">
        <is>
          <t>A</t>
        </is>
      </c>
      <c r="O294" s="20" t="inlineStr">
        <is>
          <t>Contract number link: reported number = awarded PO</t>
        </is>
      </c>
      <c r="P294" s="19" t="inlineStr">
        <is>
          <t>381051</t>
        </is>
      </c>
      <c r="Q294" s="19" t="inlineStr">
        <is>
          <t>Service Sanitation Inc.</t>
        </is>
      </c>
      <c r="R294" s="31" t="n">
        <v>46203</v>
      </c>
      <c r="S294" s="19" t="inlineStr">
        <is>
          <t>BID</t>
        </is>
      </c>
      <c r="T294" s="19" t="inlineStr">
        <is>
          <t>Yes</t>
        </is>
      </c>
      <c r="U294" s="19" t="inlineStr">
        <is>
          <t>No</t>
        </is>
      </c>
      <c r="V294" s="19" t="inlineStr">
        <is>
          <t>Yes</t>
        </is>
      </c>
      <c r="W294" s="19" t="inlineStr">
        <is>
          <t>No</t>
        </is>
      </c>
    </row>
    <row r="295">
      <c r="A295" s="19" t="n">
        <v>742855</v>
      </c>
      <c r="B295" s="31" t="n">
        <v>46231</v>
      </c>
      <c r="C295" s="19" t="inlineStr">
        <is>
          <t>DEPARTMENT OF FAMILY AND SUPPORT SERVICES</t>
        </is>
      </c>
      <c r="D295" s="19" t="inlineStr">
        <is>
          <t>Service Sanitation Inc.</t>
        </is>
      </c>
      <c r="E295" s="20" t="inlineStr">
        <is>
          <t>Exhibit B_2 8160</t>
        </is>
      </c>
      <c r="F295" s="21" t="n">
        <v>8160</v>
      </c>
      <c r="G295" s="19" t="inlineStr">
        <is>
          <t>1. Pending New Contract - Original Contract Expired. New Contract in Process</t>
        </is>
      </c>
      <c r="H295" s="19" t="inlineStr">
        <is>
          <t>A. Specification Development Phase</t>
        </is>
      </c>
      <c r="I295" s="19" t="inlineStr">
        <is>
          <t>APPROVED</t>
        </is>
      </c>
      <c r="J295" s="19" t="inlineStr">
        <is>
          <t>No</t>
        </is>
      </c>
      <c r="K295" s="19" t="inlineStr">
        <is>
          <t>Yes</t>
        </is>
      </c>
      <c r="L295" s="19" t="n">
        <v>348927</v>
      </c>
      <c r="M295" s="19" t="inlineStr">
        <is>
          <t>VDSANITATION</t>
        </is>
      </c>
      <c r="N295" s="19" t="inlineStr">
        <is>
          <t>A</t>
        </is>
      </c>
      <c r="O295" s="20" t="inlineStr">
        <is>
          <t>Contract number link: reported number = awarded PO</t>
        </is>
      </c>
      <c r="P295" s="19" t="inlineStr">
        <is>
          <t>381051</t>
        </is>
      </c>
      <c r="Q295" s="19" t="inlineStr">
        <is>
          <t>Service Sanitation Inc.</t>
        </is>
      </c>
      <c r="R295" s="31" t="n">
        <v>46203</v>
      </c>
      <c r="S295" s="19" t="inlineStr">
        <is>
          <t>BID</t>
        </is>
      </c>
      <c r="T295" s="19" t="inlineStr">
        <is>
          <t>Yes</t>
        </is>
      </c>
      <c r="U295" s="19" t="inlineStr">
        <is>
          <t>No</t>
        </is>
      </c>
      <c r="V295" s="19" t="inlineStr">
        <is>
          <t>Yes</t>
        </is>
      </c>
      <c r="W295" s="19" t="inlineStr">
        <is>
          <t>No</t>
        </is>
      </c>
    </row>
    <row r="296">
      <c r="A296" s="19" t="n">
        <v>742484</v>
      </c>
      <c r="B296" s="31" t="n">
        <v>46231</v>
      </c>
      <c r="C296" s="19" t="inlineStr">
        <is>
          <t>DEPARTMENT OF FAMILY AND SUPPORT SERVICES</t>
        </is>
      </c>
      <c r="D296" s="19" t="inlineStr">
        <is>
          <t>DIRECT FITNESS SOLUTIONS, LLC</t>
        </is>
      </c>
      <c r="E296" s="20" t="inlineStr">
        <is>
          <t>Aps 82_Fitness Equipment Maintenance Project</t>
        </is>
      </c>
      <c r="F296" s="21" t="n">
        <v>120600</v>
      </c>
      <c r="G296" s="19" t="inlineStr">
        <is>
          <t>1. Pending New Contract - Original Contract Expired. New Contract in Process</t>
        </is>
      </c>
      <c r="H296" s="19" t="inlineStr">
        <is>
          <t>A. Specification Development Phase</t>
        </is>
      </c>
      <c r="I296" s="19" t="inlineStr">
        <is>
          <t>APPROVED</t>
        </is>
      </c>
      <c r="J296" s="19" t="inlineStr">
        <is>
          <t>No</t>
        </is>
      </c>
      <c r="K296" s="19" t="inlineStr">
        <is>
          <t>No</t>
        </is>
      </c>
      <c r="L296" s="19" t="inlineStr"/>
      <c r="M296" s="19" t="inlineStr">
        <is>
          <t>RX609670</t>
        </is>
      </c>
      <c r="N296" s="19" t="inlineStr">
        <is>
          <t>E</t>
        </is>
      </c>
      <c r="O296" s="20" t="inlineStr">
        <is>
          <t>No linkage found in awarded contract file</t>
        </is>
      </c>
      <c r="P296" s="19" t="inlineStr"/>
      <c r="Q296" s="19" t="inlineStr"/>
      <c r="R296" s="31" t="inlineStr"/>
      <c r="S296" s="19" t="inlineStr"/>
      <c r="T296" s="19" t="inlineStr">
        <is>
          <t>No</t>
        </is>
      </c>
      <c r="U296" s="19" t="inlineStr">
        <is>
          <t>No</t>
        </is>
      </c>
      <c r="V296" s="19" t="inlineStr">
        <is>
          <t>No</t>
        </is>
      </c>
      <c r="W296" s="19" t="inlineStr">
        <is>
          <t>No</t>
        </is>
      </c>
    </row>
    <row r="297">
      <c r="A297" s="19" t="n">
        <v>736738</v>
      </c>
      <c r="B297" s="31" t="n">
        <v>46195</v>
      </c>
      <c r="C297" s="19" t="inlineStr">
        <is>
          <t>DEPARTMENT OF FLEET AND FACILITY MANAGEMENT</t>
        </is>
      </c>
      <c r="D297" s="19" t="inlineStr">
        <is>
          <t>C &amp; C COMMUNICATIONS IL</t>
        </is>
      </c>
      <c r="E297" s="20" t="inlineStr">
        <is>
          <t>PSA Lead Dept.  2FM utilizes PO 102767 for the purchase and repair of comdial/vertical tier 1 phone equipment, products and technical support services.  PSA submitted RX 710994 for a TE/VLI request to DPS on 1/30/26.  The mod is currently u</t>
        </is>
      </c>
      <c r="F297" s="21" t="n">
        <v>8604.799999999999</v>
      </c>
      <c r="G297" s="19" t="inlineStr">
        <is>
          <t>2. Pending Amendment/Modification - Line Item Addition / Vendor Limit Increase / Scope Change</t>
        </is>
      </c>
      <c r="H297" s="19" t="inlineStr">
        <is>
          <t>A. Specification Development Phase</t>
        </is>
      </c>
      <c r="I297" s="19" t="inlineStr">
        <is>
          <t>APPROVED</t>
        </is>
      </c>
      <c r="J297" s="19" t="inlineStr">
        <is>
          <t>No</t>
        </is>
      </c>
      <c r="K297" s="19" t="inlineStr">
        <is>
          <t>No</t>
        </is>
      </c>
      <c r="L297" s="19" t="inlineStr"/>
      <c r="M297" s="19" t="inlineStr">
        <is>
          <t>RX710994</t>
        </is>
      </c>
      <c r="N297" s="19" t="inlineStr">
        <is>
          <t>E</t>
        </is>
      </c>
      <c r="O297" s="20" t="inlineStr">
        <is>
          <t>No linkage found in awarded contract file</t>
        </is>
      </c>
      <c r="P297" s="19" t="inlineStr"/>
      <c r="Q297" s="19" t="inlineStr"/>
      <c r="R297" s="31" t="inlineStr"/>
      <c r="S297" s="19" t="inlineStr"/>
      <c r="T297" s="19" t="inlineStr">
        <is>
          <t>No</t>
        </is>
      </c>
      <c r="U297" s="19" t="inlineStr">
        <is>
          <t>No</t>
        </is>
      </c>
      <c r="V297" s="19" t="inlineStr">
        <is>
          <t>No</t>
        </is>
      </c>
      <c r="W297" s="19" t="inlineStr">
        <is>
          <t>No</t>
        </is>
      </c>
    </row>
    <row r="298">
      <c r="A298" s="19" t="n">
        <v>728367</v>
      </c>
      <c r="B298" s="31" t="n">
        <v>46142</v>
      </c>
      <c r="C298" s="19" t="inlineStr">
        <is>
          <t>DEPARTMENT OF FLEET AND FACILITY MANAGEMENT</t>
        </is>
      </c>
      <c r="D298" s="19" t="inlineStr">
        <is>
          <t>ZIPCAR  INC</t>
        </is>
      </c>
      <c r="E298" s="20" t="inlineStr">
        <is>
          <t>The City does not currently have a Car Sharing Services contract. DPS canceled our prior solicitation request under RX 421900 before it was advertised. 2FM submitted a re-bid solicitation under RX 529316 June 15, 2025. Until a new contract</t>
        </is>
      </c>
      <c r="F298" s="21" t="n">
        <v>2667.47</v>
      </c>
      <c r="G298" s="19" t="inlineStr">
        <is>
          <t>1. Pending New Contract - Original Contract Expired. New Contract in Process</t>
        </is>
      </c>
      <c r="H298" s="19" t="inlineStr">
        <is>
          <t>B. City Law Review</t>
        </is>
      </c>
      <c r="I298" s="19" t="inlineStr">
        <is>
          <t>APPROVED</t>
        </is>
      </c>
      <c r="J298" s="19" t="inlineStr">
        <is>
          <t>No</t>
        </is>
      </c>
      <c r="K298" s="19" t="inlineStr">
        <is>
          <t>No</t>
        </is>
      </c>
      <c r="L298" s="19" t="inlineStr"/>
      <c r="M298" s="19" t="inlineStr">
        <is>
          <t>RX529316</t>
        </is>
      </c>
      <c r="N298" s="19" t="inlineStr">
        <is>
          <t>E</t>
        </is>
      </c>
      <c r="O298" s="20" t="inlineStr">
        <is>
          <t>No linkage found in awarded contract file</t>
        </is>
      </c>
      <c r="P298" s="19" t="inlineStr"/>
      <c r="Q298" s="19" t="inlineStr"/>
      <c r="R298" s="31" t="inlineStr"/>
      <c r="S298" s="19" t="inlineStr"/>
      <c r="T298" s="19" t="inlineStr">
        <is>
          <t>No</t>
        </is>
      </c>
      <c r="U298" s="19" t="inlineStr">
        <is>
          <t>No</t>
        </is>
      </c>
      <c r="V298" s="19" t="inlineStr">
        <is>
          <t>No</t>
        </is>
      </c>
      <c r="W298" s="19" t="inlineStr">
        <is>
          <t>No</t>
        </is>
      </c>
    </row>
    <row r="299">
      <c r="A299" s="19" t="n">
        <v>728173</v>
      </c>
      <c r="B299" s="31" t="n">
        <v>46142</v>
      </c>
      <c r="C299" s="19" t="inlineStr">
        <is>
          <t>DEPARTMENT OF FLEET AND FACILITY MANAGEMENT</t>
        </is>
      </c>
      <c r="D299" s="19" t="inlineStr">
        <is>
          <t>P. R. STREICH &amp; SONS</t>
        </is>
      </c>
      <c r="E299" s="20" t="inlineStr">
        <is>
          <t>There is curently no active contract with a vendor to repair and certify the shop floor equipment. Our previous vendor, Standard Industrial (PO 24519) did not want to extend their contract. Due to this 2FM found a local vendor PR Streich to</t>
        </is>
      </c>
      <c r="F299" s="21" t="n">
        <v>14094.34</v>
      </c>
      <c r="G299" s="19" t="inlineStr">
        <is>
          <t>1. Pending New Contract - Original Contract Expired. New Contract in Process</t>
        </is>
      </c>
      <c r="H299" s="19" t="inlineStr">
        <is>
          <t>B. City Law Review</t>
        </is>
      </c>
      <c r="I299" s="19" t="inlineStr">
        <is>
          <t>APPROVED</t>
        </is>
      </c>
      <c r="J299" s="19" t="inlineStr">
        <is>
          <t>Yes</t>
        </is>
      </c>
      <c r="K299" s="19" t="inlineStr">
        <is>
          <t>No</t>
        </is>
      </c>
      <c r="L299" s="19" t="inlineStr">
        <is>
          <t>TBD</t>
        </is>
      </c>
      <c r="M299" s="19" t="inlineStr">
        <is>
          <t>RX679901</t>
        </is>
      </c>
      <c r="N299" s="19" t="inlineStr">
        <is>
          <t>E</t>
        </is>
      </c>
      <c r="O299" s="20" t="inlineStr">
        <is>
          <t>No linkage found in awarded contract file</t>
        </is>
      </c>
      <c r="P299" s="19" t="inlineStr"/>
      <c r="Q299" s="19" t="inlineStr"/>
      <c r="R299" s="31" t="inlineStr"/>
      <c r="S299" s="19" t="inlineStr"/>
      <c r="T299" s="19" t="inlineStr">
        <is>
          <t>No</t>
        </is>
      </c>
      <c r="U299" s="19" t="inlineStr">
        <is>
          <t>No</t>
        </is>
      </c>
      <c r="V299" s="19" t="inlineStr">
        <is>
          <t>No</t>
        </is>
      </c>
      <c r="W299" s="19" t="inlineStr">
        <is>
          <t>Yes</t>
        </is>
      </c>
    </row>
    <row r="300">
      <c r="A300" s="19" t="n">
        <v>734806</v>
      </c>
      <c r="B300" s="31" t="n">
        <v>46183</v>
      </c>
      <c r="C300" s="19" t="inlineStr">
        <is>
          <t>DEPARTMENT OF FLEET AND FACILITY MANAGEMENT</t>
        </is>
      </c>
      <c r="D300" s="19" t="inlineStr">
        <is>
          <t>CANON SOLUTIONS AMERICA, INC</t>
        </is>
      </c>
      <c r="E300" s="20" t="inlineStr">
        <is>
          <t>A VLI was submitted to DPS in October 2024 under Rx 623996. We held invoices for the past five months in anticipation of the VLI approval, in an effort to preserve the agreed contract pricing and avoid processing Exhibit B for payment. The</t>
        </is>
      </c>
      <c r="F300" s="21" t="n">
        <v>4492.25</v>
      </c>
      <c r="G300" s="19" t="inlineStr">
        <is>
          <t>1. Pending New Contract - Original Contract Expired. New Contract in Process</t>
        </is>
      </c>
      <c r="H300" s="19" t="inlineStr">
        <is>
          <t>F. SC - (Signature Cycle)</t>
        </is>
      </c>
      <c r="I300" s="19" t="inlineStr">
        <is>
          <t>APPROVED</t>
        </is>
      </c>
      <c r="J300" s="19" t="inlineStr">
        <is>
          <t>Yes</t>
        </is>
      </c>
      <c r="K300" s="19" t="inlineStr">
        <is>
          <t>No</t>
        </is>
      </c>
      <c r="L300" s="19" t="inlineStr"/>
      <c r="M300" s="19" t="inlineStr">
        <is>
          <t>RX610618</t>
        </is>
      </c>
      <c r="N300" s="19" t="inlineStr">
        <is>
          <t>E</t>
        </is>
      </c>
      <c r="O300" s="20" t="inlineStr">
        <is>
          <t>No linkage found in awarded contract file</t>
        </is>
      </c>
      <c r="P300" s="19" t="inlineStr"/>
      <c r="Q300" s="19" t="inlineStr"/>
      <c r="R300" s="31" t="inlineStr"/>
      <c r="S300" s="19" t="inlineStr"/>
      <c r="T300" s="19" t="inlineStr">
        <is>
          <t>No</t>
        </is>
      </c>
      <c r="U300" s="19" t="inlineStr">
        <is>
          <t>No</t>
        </is>
      </c>
      <c r="V300" s="19" t="inlineStr">
        <is>
          <t>No</t>
        </is>
      </c>
      <c r="W300" s="19" t="inlineStr">
        <is>
          <t>Yes</t>
        </is>
      </c>
    </row>
    <row r="301">
      <c r="A301" s="19" t="n">
        <v>726159</v>
      </c>
      <c r="B301" s="31" t="n">
        <v>46147</v>
      </c>
      <c r="C301" s="19" t="inlineStr">
        <is>
          <t>DEPARTMENT OF FLEET AND FACILITY MANAGEMENT</t>
        </is>
      </c>
      <c r="D301" s="19" t="inlineStr">
        <is>
          <t>IRON MOUNTAIN RECORDS</t>
        </is>
      </c>
      <c r="E301" s="20" t="inlineStr">
        <is>
          <t>A new RFP Spec 1232458 Rx425669 for Records Management has completed their Evaluations and sent award letter to approved vendor. Working with DPS to complete award phase and provide updated PO#</t>
        </is>
      </c>
      <c r="F301" s="21" t="n">
        <v>18940.2</v>
      </c>
      <c r="G301" s="19" t="inlineStr">
        <is>
          <t>1. Pending New Contract - Original Contract Expired. New Contract in Process</t>
        </is>
      </c>
      <c r="H301" s="19" t="inlineStr">
        <is>
          <t>E. ROA - (Recommendation of Award)</t>
        </is>
      </c>
      <c r="I301" s="19" t="inlineStr">
        <is>
          <t>APPROVED</t>
        </is>
      </c>
      <c r="J301" s="19" t="inlineStr">
        <is>
          <t>Yes</t>
        </is>
      </c>
      <c r="K301" s="19" t="inlineStr">
        <is>
          <t>No</t>
        </is>
      </c>
      <c r="L301" s="19" t="inlineStr"/>
      <c r="M301" s="19" t="inlineStr">
        <is>
          <t>RX425669</t>
        </is>
      </c>
      <c r="N301" s="19" t="inlineStr">
        <is>
          <t>E</t>
        </is>
      </c>
      <c r="O301" s="20" t="inlineStr">
        <is>
          <t>No linkage found in awarded contract file</t>
        </is>
      </c>
      <c r="P301" s="19" t="inlineStr"/>
      <c r="Q301" s="19" t="inlineStr"/>
      <c r="R301" s="31" t="inlineStr"/>
      <c r="S301" s="19" t="inlineStr"/>
      <c r="T301" s="19" t="inlineStr">
        <is>
          <t>No</t>
        </is>
      </c>
      <c r="U301" s="19" t="inlineStr">
        <is>
          <t>No</t>
        </is>
      </c>
      <c r="V301" s="19" t="inlineStr">
        <is>
          <t>No</t>
        </is>
      </c>
      <c r="W301" s="19" t="inlineStr">
        <is>
          <t>Yes</t>
        </is>
      </c>
    </row>
    <row r="302">
      <c r="A302" s="19" t="n">
        <v>730336</v>
      </c>
      <c r="B302" s="31" t="n">
        <v>46163</v>
      </c>
      <c r="C302" s="19" t="inlineStr">
        <is>
          <t>DEPARTMENT OF FLEET AND FACILITY MANAGEMENT</t>
        </is>
      </c>
      <c r="D302" s="19" t="inlineStr">
        <is>
          <t>ABC Humane Wildlife Control &amp; Prevention, Inc.</t>
        </is>
      </c>
      <c r="E302" s="20" t="inlineStr">
        <is>
          <t>There is currently no active contract for Integrated Pest Management. The vendor chose not to extend beyond the May 29, 2025 expiration date. 2FM submitted a replacement specification under RX 579113, Spec #1291433, which was advertised on</t>
        </is>
      </c>
      <c r="F302" s="21" t="n">
        <v>18594.79</v>
      </c>
      <c r="G302" s="19" t="inlineStr">
        <is>
          <t>1. Pending New Contract - Original Contract Expired. New Contract in Process</t>
        </is>
      </c>
      <c r="H302" s="19" t="inlineStr">
        <is>
          <t>A. Specification Development Phase</t>
        </is>
      </c>
      <c r="I302" s="19" t="inlineStr">
        <is>
          <t>APPROVED</t>
        </is>
      </c>
      <c r="J302" s="19" t="inlineStr">
        <is>
          <t>No</t>
        </is>
      </c>
      <c r="K302" s="19" t="inlineStr">
        <is>
          <t>No</t>
        </is>
      </c>
      <c r="L302" s="19" t="inlineStr"/>
      <c r="M302" s="19" t="inlineStr">
        <is>
          <t>RX682957</t>
        </is>
      </c>
      <c r="N302" s="19" t="inlineStr">
        <is>
          <t>E</t>
        </is>
      </c>
      <c r="O302" s="20" t="inlineStr">
        <is>
          <t>No linkage found in awarded contract file</t>
        </is>
      </c>
      <c r="P302" s="19" t="inlineStr"/>
      <c r="Q302" s="19" t="inlineStr"/>
      <c r="R302" s="31" t="inlineStr"/>
      <c r="S302" s="19" t="inlineStr"/>
      <c r="T302" s="19" t="inlineStr">
        <is>
          <t>No</t>
        </is>
      </c>
      <c r="U302" s="19" t="inlineStr">
        <is>
          <t>No</t>
        </is>
      </c>
      <c r="V302" s="19" t="inlineStr">
        <is>
          <t>No</t>
        </is>
      </c>
      <c r="W302" s="19" t="inlineStr">
        <is>
          <t>No</t>
        </is>
      </c>
    </row>
    <row r="303">
      <c r="A303" s="19" t="n">
        <v>711623</v>
      </c>
      <c r="B303" s="31" t="n">
        <v>46052</v>
      </c>
      <c r="C303" s="19" t="inlineStr">
        <is>
          <t>CHICAGO ANIMAL CARE AND CONTROL</t>
        </is>
      </c>
      <c r="D303" s="19" t="inlineStr">
        <is>
          <t>RADIATION DETECTION COMPANY</t>
        </is>
      </c>
      <c r="E303" s="20" t="inlineStr">
        <is>
          <t>X-Ray detection badges - 2025 Invoice</t>
        </is>
      </c>
      <c r="F303" s="21" t="n">
        <v>381.58</v>
      </c>
      <c r="G303" s="19" t="inlineStr">
        <is>
          <t>3. One Time Purchase</t>
        </is>
      </c>
      <c r="H303" s="19" t="inlineStr">
        <is>
          <t>H. One Time Purchase</t>
        </is>
      </c>
      <c r="I303" s="19" t="inlineStr">
        <is>
          <t>APPROVED</t>
        </is>
      </c>
      <c r="J303" s="19" t="inlineStr">
        <is>
          <t>No</t>
        </is>
      </c>
      <c r="K303" s="19" t="inlineStr">
        <is>
          <t>No</t>
        </is>
      </c>
      <c r="L303" s="19" t="inlineStr">
        <is>
          <t>No</t>
        </is>
      </c>
      <c r="M303" s="19" t="inlineStr">
        <is>
          <t>VDRADIATION DETECTION</t>
        </is>
      </c>
      <c r="N303" s="19" t="inlineStr">
        <is>
          <t>E</t>
        </is>
      </c>
      <c r="O303" s="20" t="inlineStr">
        <is>
          <t>No linkage found in awarded contract file</t>
        </is>
      </c>
      <c r="P303" s="19" t="inlineStr"/>
      <c r="Q303" s="19" t="inlineStr"/>
      <c r="R303" s="31" t="inlineStr"/>
      <c r="S303" s="19" t="inlineStr"/>
      <c r="T303" s="19" t="inlineStr">
        <is>
          <t>No</t>
        </is>
      </c>
      <c r="U303" s="19" t="inlineStr">
        <is>
          <t>No</t>
        </is>
      </c>
      <c r="V303" s="19" t="inlineStr">
        <is>
          <t>No</t>
        </is>
      </c>
      <c r="W303" s="19" t="inlineStr">
        <is>
          <t>No</t>
        </is>
      </c>
    </row>
    <row r="304">
      <c r="A304" s="19" t="n">
        <v>728772</v>
      </c>
      <c r="B304" s="31" t="n">
        <v>46161</v>
      </c>
      <c r="C304" s="19" t="inlineStr">
        <is>
          <t>CHICAGO ANIMAL CARE AND CONTROL</t>
        </is>
      </c>
      <c r="D304" s="19" t="inlineStr">
        <is>
          <t>Wood Dale Pharmacy</t>
        </is>
      </c>
      <c r="E304" s="20" t="inlineStr">
        <is>
          <t>medical pharmaceuticals Wood Dale Pharmacy - Apr 2026</t>
        </is>
      </c>
      <c r="F304" s="21" t="n">
        <v>2013.4</v>
      </c>
      <c r="G304" s="19" t="inlineStr">
        <is>
          <t>1. Pending New Contract - Original Contract Expired. New Contract in Process</t>
        </is>
      </c>
      <c r="H304" s="19" t="inlineStr">
        <is>
          <t>B. City Law Review</t>
        </is>
      </c>
      <c r="I304" s="19" t="inlineStr">
        <is>
          <t>DENIED</t>
        </is>
      </c>
      <c r="J304" s="19" t="inlineStr">
        <is>
          <t>Yes</t>
        </is>
      </c>
      <c r="K304" s="19" t="inlineStr">
        <is>
          <t>No</t>
        </is>
      </c>
      <c r="L304" s="19" t="inlineStr">
        <is>
          <t>no</t>
        </is>
      </c>
      <c r="M304" s="19" t="inlineStr">
        <is>
          <t>RX728355</t>
        </is>
      </c>
      <c r="N304" s="19" t="inlineStr">
        <is>
          <t>E</t>
        </is>
      </c>
      <c r="O304" s="20" t="inlineStr">
        <is>
          <t>No linkage found in awarded contract file</t>
        </is>
      </c>
      <c r="P304" s="19" t="inlineStr"/>
      <c r="Q304" s="19" t="inlineStr"/>
      <c r="R304" s="31" t="inlineStr"/>
      <c r="S304" s="19" t="inlineStr"/>
      <c r="T304" s="19" t="inlineStr">
        <is>
          <t>No</t>
        </is>
      </c>
      <c r="U304" s="19" t="inlineStr">
        <is>
          <t>No</t>
        </is>
      </c>
      <c r="V304" s="19" t="inlineStr">
        <is>
          <t>No</t>
        </is>
      </c>
      <c r="W304" s="19" t="inlineStr">
        <is>
          <t>Yes</t>
        </is>
      </c>
    </row>
    <row r="305">
      <c r="A305" s="19" t="n">
        <v>734264</v>
      </c>
      <c r="B305" s="31" t="n">
        <v>46181</v>
      </c>
      <c r="C305" s="19" t="inlineStr">
        <is>
          <t>CHICAGO ANIMAL CARE AND CONTROL</t>
        </is>
      </c>
      <c r="D305" s="19" t="inlineStr">
        <is>
          <t>Wood Dale Pharmacy</t>
        </is>
      </c>
      <c r="E305" s="20" t="inlineStr">
        <is>
          <t>VETERINARY MEDICAL SUPPLIES - NO CONTRACT AVAILABLE</t>
        </is>
      </c>
      <c r="F305" s="21" t="n">
        <v>2013.4</v>
      </c>
      <c r="G305" s="19" t="inlineStr">
        <is>
          <t>1. Pending New Contract - Original Contract Expired. New Contract in Process</t>
        </is>
      </c>
      <c r="H305" s="19" t="inlineStr">
        <is>
          <t>A. Specification Development Phase</t>
        </is>
      </c>
      <c r="I305" s="19" t="inlineStr">
        <is>
          <t>APPROVED</t>
        </is>
      </c>
      <c r="J305" s="19" t="inlineStr">
        <is>
          <t>Yes</t>
        </is>
      </c>
      <c r="K305" s="19" t="inlineStr">
        <is>
          <t>No</t>
        </is>
      </c>
      <c r="L305" s="19" t="inlineStr"/>
      <c r="M305" s="19" t="inlineStr">
        <is>
          <t>RX729906</t>
        </is>
      </c>
      <c r="N305" s="19" t="inlineStr">
        <is>
          <t>E</t>
        </is>
      </c>
      <c r="O305" s="20" t="inlineStr">
        <is>
          <t>No linkage found in awarded contract file</t>
        </is>
      </c>
      <c r="P305" s="19" t="inlineStr"/>
      <c r="Q305" s="19" t="inlineStr"/>
      <c r="R305" s="31" t="inlineStr"/>
      <c r="S305" s="19" t="inlineStr"/>
      <c r="T305" s="19" t="inlineStr">
        <is>
          <t>No</t>
        </is>
      </c>
      <c r="U305" s="19" t="inlineStr">
        <is>
          <t>No</t>
        </is>
      </c>
      <c r="V305" s="19" t="inlineStr">
        <is>
          <t>No</t>
        </is>
      </c>
      <c r="W305" s="19" t="inlineStr">
        <is>
          <t>Yes</t>
        </is>
      </c>
    </row>
    <row r="306">
      <c r="A306" s="19" t="n">
        <v>708672</v>
      </c>
      <c r="B306" s="31" t="n">
        <v>46048</v>
      </c>
      <c r="C306" s="19" t="inlineStr">
        <is>
          <t>CHICAGO DEPARTMENT OF PUBLIC HEALTH</t>
        </is>
      </c>
      <c r="D306" s="19" t="inlineStr">
        <is>
          <t>Youth Marketing Connection LLC</t>
        </is>
      </c>
      <c r="E306" s="20" t="inlineStr">
        <is>
          <t>Branded Promotional Items</t>
        </is>
      </c>
      <c r="F306" s="21" t="n">
        <v>3931.05</v>
      </c>
      <c r="G306" s="19" t="inlineStr">
        <is>
          <t>3. One Time Purchase</t>
        </is>
      </c>
      <c r="H306" s="19" t="inlineStr">
        <is>
          <t>H. One Time Purchase</t>
        </is>
      </c>
      <c r="I306" s="19" t="inlineStr">
        <is>
          <t>APPROVED</t>
        </is>
      </c>
      <c r="J306" s="19" t="inlineStr">
        <is>
          <t>No</t>
        </is>
      </c>
      <c r="K306" s="19" t="inlineStr">
        <is>
          <t>No</t>
        </is>
      </c>
      <c r="L306" s="19" t="inlineStr"/>
      <c r="M306" s="19" t="inlineStr">
        <is>
          <t>VDYOUTH MARKETING CONNECTION</t>
        </is>
      </c>
      <c r="N306" s="19" t="inlineStr">
        <is>
          <t>E</t>
        </is>
      </c>
      <c r="O306" s="20" t="inlineStr">
        <is>
          <t>No linkage found in awarded contract file</t>
        </is>
      </c>
      <c r="P306" s="19" t="inlineStr"/>
      <c r="Q306" s="19" t="inlineStr"/>
      <c r="R306" s="31" t="inlineStr"/>
      <c r="S306" s="19" t="inlineStr"/>
      <c r="T306" s="19" t="inlineStr">
        <is>
          <t>No</t>
        </is>
      </c>
      <c r="U306" s="19" t="inlineStr">
        <is>
          <t>No</t>
        </is>
      </c>
      <c r="V306" s="19" t="inlineStr">
        <is>
          <t>No</t>
        </is>
      </c>
      <c r="W306" s="19" t="inlineStr">
        <is>
          <t>No</t>
        </is>
      </c>
    </row>
    <row r="307">
      <c r="A307" s="19" t="n">
        <v>710664</v>
      </c>
      <c r="B307" s="31" t="n">
        <v>46051</v>
      </c>
      <c r="C307" s="19" t="inlineStr">
        <is>
          <t>DEPARTMENT OF STREETS AND SANITATION</t>
        </is>
      </c>
      <c r="D307" s="19" t="inlineStr">
        <is>
          <t>BARRICADE LITES, INC.</t>
        </is>
      </c>
      <c r="E307" s="20" t="inlineStr">
        <is>
          <t>Purchase and Delivery of Wooden Barricades</t>
        </is>
      </c>
      <c r="F307" s="21" t="n">
        <v>97204.10000000001</v>
      </c>
      <c r="G307" s="19" t="inlineStr">
        <is>
          <t>1. Pending New Contract - Original Contract Expired. New Contract in Process</t>
        </is>
      </c>
      <c r="H307" s="19" t="inlineStr">
        <is>
          <t>A. Specification Development Phase</t>
        </is>
      </c>
      <c r="I307" s="19" t="inlineStr"/>
      <c r="J307" s="19" t="inlineStr">
        <is>
          <t>Yes</t>
        </is>
      </c>
      <c r="K307" s="19" t="inlineStr">
        <is>
          <t>No</t>
        </is>
      </c>
      <c r="L307" s="19" t="n">
        <v>0</v>
      </c>
      <c r="M307" s="19" t="inlineStr">
        <is>
          <t>RX709555</t>
        </is>
      </c>
      <c r="N307" s="19" t="inlineStr">
        <is>
          <t>E</t>
        </is>
      </c>
      <c r="O307" s="20" t="inlineStr">
        <is>
          <t>No linkage found in awarded contract file</t>
        </is>
      </c>
      <c r="P307" s="19" t="inlineStr"/>
      <c r="Q307" s="19" t="inlineStr"/>
      <c r="R307" s="31" t="inlineStr"/>
      <c r="S307" s="19" t="inlineStr"/>
      <c r="T307" s="19" t="inlineStr">
        <is>
          <t>No</t>
        </is>
      </c>
      <c r="U307" s="19" t="inlineStr">
        <is>
          <t>No</t>
        </is>
      </c>
      <c r="V307" s="19" t="inlineStr">
        <is>
          <t>No</t>
        </is>
      </c>
      <c r="W307" s="19" t="inlineStr">
        <is>
          <t>Yes</t>
        </is>
      </c>
    </row>
    <row r="308">
      <c r="A308" s="19" t="n">
        <v>716647</v>
      </c>
      <c r="B308" s="31" t="n">
        <v>46079</v>
      </c>
      <c r="C308" s="19" t="inlineStr">
        <is>
          <t>CHICAGO DEPARTMENT OF TRANSPORTATION</t>
        </is>
      </c>
      <c r="D308" s="19" t="inlineStr">
        <is>
          <t>BLUETRITON BRANDS INC</t>
        </is>
      </c>
      <c r="E308" s="20" t="inlineStr">
        <is>
          <t>BOTTLED DRINKING WATER, DISTILLED WATER &amp; WATER COOLER RENTALS</t>
        </is>
      </c>
      <c r="F308" s="21" t="n">
        <v>81.59</v>
      </c>
      <c r="G308" s="19" t="inlineStr">
        <is>
          <t>1. Pending New Contract - Original Contract Expired. New Contract in Process</t>
        </is>
      </c>
      <c r="H308" s="19" t="inlineStr">
        <is>
          <t>A. Specification Development Phase</t>
        </is>
      </c>
      <c r="I308" s="19" t="inlineStr">
        <is>
          <t>APPROVED</t>
        </is>
      </c>
      <c r="J308" s="19" t="inlineStr">
        <is>
          <t>No</t>
        </is>
      </c>
      <c r="K308" s="19" t="inlineStr">
        <is>
          <t>No</t>
        </is>
      </c>
      <c r="L308" s="19" t="inlineStr"/>
      <c r="M308" s="19" t="inlineStr">
        <is>
          <t>RX676831</t>
        </is>
      </c>
      <c r="N308" s="19" t="inlineStr">
        <is>
          <t>E</t>
        </is>
      </c>
      <c r="O308" s="20" t="inlineStr">
        <is>
          <t>No linkage found in awarded contract file</t>
        </is>
      </c>
      <c r="P308" s="19" t="inlineStr"/>
      <c r="Q308" s="19" t="inlineStr"/>
      <c r="R308" s="31" t="inlineStr"/>
      <c r="S308" s="19" t="inlineStr"/>
      <c r="T308" s="19" t="inlineStr">
        <is>
          <t>No</t>
        </is>
      </c>
      <c r="U308" s="19" t="inlineStr">
        <is>
          <t>No</t>
        </is>
      </c>
      <c r="V308" s="19" t="inlineStr">
        <is>
          <t>No</t>
        </is>
      </c>
      <c r="W308" s="19" t="inlineStr">
        <is>
          <t>No</t>
        </is>
      </c>
    </row>
    <row r="309">
      <c r="A309" s="19" t="n">
        <v>728830</v>
      </c>
      <c r="B309" s="31" t="n">
        <v>46147</v>
      </c>
      <c r="C309" s="19" t="inlineStr">
        <is>
          <t>CHICAGO POLICE DEPARTMENT</t>
        </is>
      </c>
      <c r="D309" s="19" t="inlineStr">
        <is>
          <t xml:space="preserve">REPUBLIC SERVICES INC </t>
        </is>
      </c>
      <c r="E309" s="20" t="inlineStr">
        <is>
          <t>Republic Services Inv# 0710-005850654</t>
        </is>
      </c>
      <c r="F309" s="21" t="n">
        <v>3980.94</v>
      </c>
      <c r="G309" s="19" t="inlineStr">
        <is>
          <t>1. Pending New Contract - Original Contract Expired. New Contract in Process</t>
        </is>
      </c>
      <c r="H309" s="19" t="inlineStr">
        <is>
          <t>A. Specification Development Phase</t>
        </is>
      </c>
      <c r="I309" s="19" t="inlineStr">
        <is>
          <t>APPROVED</t>
        </is>
      </c>
      <c r="J309" s="19" t="inlineStr">
        <is>
          <t>Yes</t>
        </is>
      </c>
      <c r="K309" s="19" t="inlineStr">
        <is>
          <t>No</t>
        </is>
      </c>
      <c r="L309" s="19" t="inlineStr"/>
      <c r="M309" s="19" t="inlineStr">
        <is>
          <t>RX669739</t>
        </is>
      </c>
      <c r="N309" s="19" t="inlineStr">
        <is>
          <t>E</t>
        </is>
      </c>
      <c r="O309" s="20" t="inlineStr">
        <is>
          <t>No linkage found in awarded contract file</t>
        </is>
      </c>
      <c r="P309" s="19" t="inlineStr"/>
      <c r="Q309" s="19" t="inlineStr"/>
      <c r="R309" s="31" t="inlineStr"/>
      <c r="S309" s="19" t="inlineStr"/>
      <c r="T309" s="19" t="inlineStr">
        <is>
          <t>No</t>
        </is>
      </c>
      <c r="U309" s="19" t="inlineStr">
        <is>
          <t>No</t>
        </is>
      </c>
      <c r="V309" s="19" t="inlineStr">
        <is>
          <t>No</t>
        </is>
      </c>
      <c r="W309" s="19" t="inlineStr">
        <is>
          <t>Yes</t>
        </is>
      </c>
    </row>
    <row r="310">
      <c r="A310" s="19" t="n">
        <v>746309</v>
      </c>
      <c r="B310" s="31" t="n">
        <v>46252</v>
      </c>
      <c r="C310" s="19" t="inlineStr">
        <is>
          <t>OFFICE OF PUBLIC SAFETY ADMINISTRATION</t>
        </is>
      </c>
      <c r="D310" s="19" t="inlineStr">
        <is>
          <t>Primo Brands</t>
        </is>
      </c>
      <c r="E310" s="20" t="inlineStr">
        <is>
          <t>Water Services</t>
        </is>
      </c>
      <c r="F310" s="21" t="n">
        <v>773.16</v>
      </c>
      <c r="G310" s="19" t="inlineStr">
        <is>
          <t>1. Pending New Contract - Original Contract Expired. New Contract in Process</t>
        </is>
      </c>
      <c r="H310" s="19" t="inlineStr">
        <is>
          <t>A. Specification Development Phase</t>
        </is>
      </c>
      <c r="I310" s="19" t="inlineStr">
        <is>
          <t>APPROVED</t>
        </is>
      </c>
      <c r="J310" s="19" t="inlineStr">
        <is>
          <t>Yes</t>
        </is>
      </c>
      <c r="K310" s="19" t="inlineStr">
        <is>
          <t>No</t>
        </is>
      </c>
      <c r="L310" s="19" t="inlineStr"/>
      <c r="M310" s="19" t="inlineStr">
        <is>
          <t>RX676831</t>
        </is>
      </c>
      <c r="N310" s="19" t="inlineStr">
        <is>
          <t>E</t>
        </is>
      </c>
      <c r="O310" s="20" t="inlineStr">
        <is>
          <t>No linkage found in awarded contract file</t>
        </is>
      </c>
      <c r="P310" s="19" t="inlineStr"/>
      <c r="Q310" s="19" t="inlineStr"/>
      <c r="R310" s="31" t="inlineStr"/>
      <c r="S310" s="19" t="inlineStr"/>
      <c r="T310" s="19" t="inlineStr">
        <is>
          <t>No</t>
        </is>
      </c>
      <c r="U310" s="19" t="inlineStr">
        <is>
          <t>No</t>
        </is>
      </c>
      <c r="V310" s="19" t="inlineStr">
        <is>
          <t>No</t>
        </is>
      </c>
      <c r="W310" s="19" t="inlineStr">
        <is>
          <t>Yes</t>
        </is>
      </c>
    </row>
    <row r="311">
      <c r="A311" s="19" t="n">
        <v>730245</v>
      </c>
      <c r="B311" s="31" t="n">
        <v>46162</v>
      </c>
      <c r="C311" s="19" t="inlineStr">
        <is>
          <t>DEPARTMENT OF STREETS AND SANITATION</t>
        </is>
      </c>
      <c r="D311" s="19" t="inlineStr">
        <is>
          <t>BLUETRITON BRANDS INC</t>
        </is>
      </c>
      <c r="E311" s="20" t="inlineStr">
        <is>
          <t>Ice Mountain Brand drinking water</t>
        </is>
      </c>
      <c r="F311" s="21" t="n">
        <v>1225.67</v>
      </c>
      <c r="G311" s="19" t="inlineStr">
        <is>
          <t>1. Pending New Contract - Original Contract Expired. New Contract in Process</t>
        </is>
      </c>
      <c r="H311" s="19" t="inlineStr">
        <is>
          <t>B. City Law Review</t>
        </is>
      </c>
      <c r="I311" s="19" t="inlineStr">
        <is>
          <t>APPROVED</t>
        </is>
      </c>
      <c r="J311" s="19" t="inlineStr">
        <is>
          <t>Yes</t>
        </is>
      </c>
      <c r="K311" s="19" t="inlineStr">
        <is>
          <t>No</t>
        </is>
      </c>
      <c r="L311" s="19" t="n">
        <v>0</v>
      </c>
      <c r="M311" s="19" t="inlineStr">
        <is>
          <t>RX676831</t>
        </is>
      </c>
      <c r="N311" s="19" t="inlineStr">
        <is>
          <t>E</t>
        </is>
      </c>
      <c r="O311" s="20" t="inlineStr">
        <is>
          <t>No linkage found in awarded contract file</t>
        </is>
      </c>
      <c r="P311" s="19" t="inlineStr"/>
      <c r="Q311" s="19" t="inlineStr"/>
      <c r="R311" s="31" t="inlineStr"/>
      <c r="S311" s="19" t="inlineStr"/>
      <c r="T311" s="19" t="inlineStr">
        <is>
          <t>No</t>
        </is>
      </c>
      <c r="U311" s="19" t="inlineStr">
        <is>
          <t>No</t>
        </is>
      </c>
      <c r="V311" s="19" t="inlineStr">
        <is>
          <t>No</t>
        </is>
      </c>
      <c r="W311" s="19" t="inlineStr">
        <is>
          <t>Yes</t>
        </is>
      </c>
    </row>
    <row r="312">
      <c r="A312" s="19" t="n">
        <v>715552</v>
      </c>
      <c r="B312" s="31" t="n">
        <v>46077</v>
      </c>
      <c r="C312" s="19" t="inlineStr">
        <is>
          <t>CHICAGO DEPARTMENT OF PUBLIC HEALTH</t>
        </is>
      </c>
      <c r="D312" s="19" t="inlineStr">
        <is>
          <t>GOLDSTAR COMMUNICATION</t>
        </is>
      </c>
      <c r="E312" s="20" t="inlineStr">
        <is>
          <t>CDPH 2025 Vaccine Outreach and Anti-Tobacco Media Campaign Services.</t>
        </is>
      </c>
      <c r="F312" s="21" t="n">
        <v>8670</v>
      </c>
      <c r="G312" s="19" t="inlineStr">
        <is>
          <t>3. One Time Purchase</t>
        </is>
      </c>
      <c r="H312" s="19" t="inlineStr">
        <is>
          <t>H. One Time Purchase</t>
        </is>
      </c>
      <c r="I312" s="19" t="inlineStr">
        <is>
          <t>APPROVED</t>
        </is>
      </c>
      <c r="J312" s="19" t="inlineStr">
        <is>
          <t>No</t>
        </is>
      </c>
      <c r="K312" s="19" t="inlineStr">
        <is>
          <t>No</t>
        </is>
      </c>
      <c r="L312" s="19" t="inlineStr"/>
      <c r="M312" s="19" t="inlineStr">
        <is>
          <t>VDGOLDSTAR COMMUNICATION</t>
        </is>
      </c>
      <c r="N312" s="19" t="inlineStr">
        <is>
          <t>E</t>
        </is>
      </c>
      <c r="O312" s="20" t="inlineStr">
        <is>
          <t>No linkage found in awarded contract file</t>
        </is>
      </c>
      <c r="P312" s="19" t="inlineStr"/>
      <c r="Q312" s="19" t="inlineStr"/>
      <c r="R312" s="31" t="inlineStr"/>
      <c r="S312" s="19" t="inlineStr"/>
      <c r="T312" s="19" t="inlineStr">
        <is>
          <t>No</t>
        </is>
      </c>
      <c r="U312" s="19" t="inlineStr">
        <is>
          <t>No</t>
        </is>
      </c>
      <c r="V312" s="19" t="inlineStr">
        <is>
          <t>No</t>
        </is>
      </c>
      <c r="W312" s="19" t="inlineStr">
        <is>
          <t>No</t>
        </is>
      </c>
    </row>
    <row r="313">
      <c r="A313" s="19" t="n">
        <v>735070</v>
      </c>
      <c r="B313" s="31" t="n">
        <v>46183</v>
      </c>
      <c r="C313" s="19" t="inlineStr">
        <is>
          <t>DEPARTMENT OF WATER MANAGEMENT</t>
        </is>
      </c>
      <c r="D313" s="19" t="inlineStr">
        <is>
          <t>ABM INDUSTRY GROUPS, LLC</t>
        </is>
      </c>
      <c r="E313" s="20" t="inlineStr">
        <is>
          <t>ABM Janitorial service</t>
        </is>
      </c>
      <c r="F313" s="21" t="n">
        <v>14660.8</v>
      </c>
      <c r="G313" s="19" t="inlineStr">
        <is>
          <t>1. Pending New Contract - Original Contract Expired. New Contract in Process</t>
        </is>
      </c>
      <c r="H313" s="19" t="inlineStr">
        <is>
          <t>H. One Time Purchase</t>
        </is>
      </c>
      <c r="I313" s="19" t="inlineStr">
        <is>
          <t>APPROVED</t>
        </is>
      </c>
      <c r="J313" s="19" t="inlineStr">
        <is>
          <t>No</t>
        </is>
      </c>
      <c r="K313" s="19" t="inlineStr">
        <is>
          <t>No</t>
        </is>
      </c>
      <c r="L313" s="19" t="inlineStr">
        <is>
          <t>NO</t>
        </is>
      </c>
      <c r="M313" s="19" t="inlineStr">
        <is>
          <t>RX624331</t>
        </is>
      </c>
      <c r="N313" s="19" t="inlineStr">
        <is>
          <t>E</t>
        </is>
      </c>
      <c r="O313" s="20" t="inlineStr">
        <is>
          <t>No linkage found in awarded contract file</t>
        </is>
      </c>
      <c r="P313" s="19" t="inlineStr"/>
      <c r="Q313" s="19" t="inlineStr"/>
      <c r="R313" s="31" t="inlineStr"/>
      <c r="S313" s="19" t="inlineStr"/>
      <c r="T313" s="19" t="inlineStr">
        <is>
          <t>No</t>
        </is>
      </c>
      <c r="U313" s="19" t="inlineStr">
        <is>
          <t>No</t>
        </is>
      </c>
      <c r="V313" s="19" t="inlineStr">
        <is>
          <t>No</t>
        </is>
      </c>
      <c r="W313" s="19" t="inlineStr">
        <is>
          <t>No</t>
        </is>
      </c>
    </row>
    <row r="314">
      <c r="A314" s="19" t="n">
        <v>733769</v>
      </c>
      <c r="B314" s="31" t="n">
        <v>46174</v>
      </c>
      <c r="C314" s="19" t="inlineStr">
        <is>
          <t>CHICAGO DEPARTMENT OF TRANSPORTATION</t>
        </is>
      </c>
      <c r="D314" s="19" t="inlineStr">
        <is>
          <t>CHRISTY WEBBER LANDSCAPES</t>
        </is>
      </c>
      <c r="E314" s="20" t="inlineStr">
        <is>
          <t>Landscaping Services Regions 2 and 6</t>
        </is>
      </c>
      <c r="F314" s="21" t="n">
        <v>1805.83</v>
      </c>
      <c r="G314" s="19" t="inlineStr">
        <is>
          <t>1. Pending New Contract - Original Contract Expired. New Contract in Process</t>
        </is>
      </c>
      <c r="H314" s="19" t="inlineStr">
        <is>
          <t>B. City Law Review</t>
        </is>
      </c>
      <c r="I314" s="19" t="inlineStr">
        <is>
          <t>APPROVED</t>
        </is>
      </c>
      <c r="J314" s="19" t="inlineStr">
        <is>
          <t>Yes</t>
        </is>
      </c>
      <c r="K314" s="19" t="inlineStr">
        <is>
          <t>No</t>
        </is>
      </c>
      <c r="L314" s="19" t="inlineStr">
        <is>
          <t>na</t>
        </is>
      </c>
      <c r="M314" s="19" t="inlineStr">
        <is>
          <t>RX652655</t>
        </is>
      </c>
      <c r="N314" s="19" t="inlineStr">
        <is>
          <t>E</t>
        </is>
      </c>
      <c r="O314" s="20" t="inlineStr">
        <is>
          <t>No linkage found in awarded contract file</t>
        </is>
      </c>
      <c r="P314" s="19" t="inlineStr"/>
      <c r="Q314" s="19" t="inlineStr"/>
      <c r="R314" s="31" t="inlineStr"/>
      <c r="S314" s="19" t="inlineStr"/>
      <c r="T314" s="19" t="inlineStr">
        <is>
          <t>No</t>
        </is>
      </c>
      <c r="U314" s="19" t="inlineStr">
        <is>
          <t>No</t>
        </is>
      </c>
      <c r="V314" s="19" t="inlineStr">
        <is>
          <t>No</t>
        </is>
      </c>
      <c r="W314" s="19" t="inlineStr">
        <is>
          <t>Yes</t>
        </is>
      </c>
    </row>
    <row r="315">
      <c r="A315" s="19" t="n">
        <v>742571</v>
      </c>
      <c r="B315" s="31" t="n">
        <v>46231</v>
      </c>
      <c r="C315" s="19" t="inlineStr">
        <is>
          <t>CHICAGO DEPARTMENT OF TRANSPORTATION</t>
        </is>
      </c>
      <c r="D315" s="19" t="inlineStr">
        <is>
          <t>PALM ELECTRIC COMPANY</t>
        </is>
      </c>
      <c r="E315" s="20" t="inlineStr">
        <is>
          <t>EAM# 513746, 513886 &amp; 514642</t>
        </is>
      </c>
      <c r="F315" s="21" t="n">
        <v>23763.6</v>
      </c>
      <c r="G315" s="19" t="inlineStr">
        <is>
          <t>1. Pending New Contract - Original Contract Expired. New Contract in Process</t>
        </is>
      </c>
      <c r="H315" s="19" t="inlineStr">
        <is>
          <t>B. City Law Review</t>
        </is>
      </c>
      <c r="I315" s="19" t="inlineStr">
        <is>
          <t>APPROVED</t>
        </is>
      </c>
      <c r="J315" s="19" t="inlineStr">
        <is>
          <t>Yes</t>
        </is>
      </c>
      <c r="K315" s="19" t="inlineStr">
        <is>
          <t>No</t>
        </is>
      </c>
      <c r="L315" s="19" t="inlineStr">
        <is>
          <t>na</t>
        </is>
      </c>
      <c r="M315" s="19" t="inlineStr">
        <is>
          <t>RX650171</t>
        </is>
      </c>
      <c r="N315" s="19" t="inlineStr">
        <is>
          <t>E</t>
        </is>
      </c>
      <c r="O315" s="20" t="inlineStr">
        <is>
          <t>No linkage found in awarded contract file</t>
        </is>
      </c>
      <c r="P315" s="19" t="inlineStr"/>
      <c r="Q315" s="19" t="inlineStr"/>
      <c r="R315" s="31" t="inlineStr"/>
      <c r="S315" s="19" t="inlineStr"/>
      <c r="T315" s="19" t="inlineStr">
        <is>
          <t>No</t>
        </is>
      </c>
      <c r="U315" s="19" t="inlineStr">
        <is>
          <t>No</t>
        </is>
      </c>
      <c r="V315" s="19" t="inlineStr">
        <is>
          <t>No</t>
        </is>
      </c>
      <c r="W315" s="19" t="inlineStr">
        <is>
          <t>Yes</t>
        </is>
      </c>
    </row>
    <row r="316">
      <c r="A316" s="19" t="n">
        <v>721656</v>
      </c>
      <c r="B316" s="31" t="n">
        <v>46107</v>
      </c>
      <c r="C316" s="19" t="inlineStr">
        <is>
          <t>CHICAGO DEPARTMENT OF TRANSPORTATION</t>
        </is>
      </c>
      <c r="D316" s="19" t="inlineStr">
        <is>
          <t>PALM ELECTRIC COMPANY</t>
        </is>
      </c>
      <c r="E316" s="20" t="inlineStr">
        <is>
          <t>SHIELDED CABLE, ENCODER</t>
        </is>
      </c>
      <c r="F316" s="21" t="n">
        <v>2842.57</v>
      </c>
      <c r="G316" s="19" t="inlineStr">
        <is>
          <t>1. Pending New Contract - Original Contract Expired. New Contract in Process</t>
        </is>
      </c>
      <c r="H316" s="19" t="inlineStr">
        <is>
          <t>B. City Law Review</t>
        </is>
      </c>
      <c r="I316" s="19" t="inlineStr">
        <is>
          <t>APPROVED</t>
        </is>
      </c>
      <c r="J316" s="19" t="inlineStr">
        <is>
          <t>Yes</t>
        </is>
      </c>
      <c r="K316" s="19" t="inlineStr">
        <is>
          <t>No</t>
        </is>
      </c>
      <c r="L316" s="19" t="inlineStr">
        <is>
          <t>na</t>
        </is>
      </c>
      <c r="M316" s="19" t="inlineStr">
        <is>
          <t>RX650171</t>
        </is>
      </c>
      <c r="N316" s="19" t="inlineStr">
        <is>
          <t>E</t>
        </is>
      </c>
      <c r="O316" s="20" t="inlineStr">
        <is>
          <t>No linkage found in awarded contract file</t>
        </is>
      </c>
      <c r="P316" s="19" t="inlineStr"/>
      <c r="Q316" s="19" t="inlineStr"/>
      <c r="R316" s="31" t="inlineStr"/>
      <c r="S316" s="19" t="inlineStr"/>
      <c r="T316" s="19" t="inlineStr">
        <is>
          <t>No</t>
        </is>
      </c>
      <c r="U316" s="19" t="inlineStr">
        <is>
          <t>No</t>
        </is>
      </c>
      <c r="V316" s="19" t="inlineStr">
        <is>
          <t>No</t>
        </is>
      </c>
      <c r="W316" s="19" t="inlineStr">
        <is>
          <t>Yes</t>
        </is>
      </c>
    </row>
    <row r="317">
      <c r="A317" s="19" t="n">
        <v>733753</v>
      </c>
      <c r="B317" s="31" t="n">
        <v>46177</v>
      </c>
      <c r="C317" s="19" t="inlineStr">
        <is>
          <t>CHICAGO DEPARTMENT OF TRANSPORTATION</t>
        </is>
      </c>
      <c r="D317" s="19" t="inlineStr">
        <is>
          <t>A SAFE HAVEN FOUNDATION</t>
        </is>
      </c>
      <c r="E317" s="20" t="inlineStr">
        <is>
          <t>Landscape Maintenance Services</t>
        </is>
      </c>
      <c r="F317" s="21" t="n">
        <v>4355</v>
      </c>
      <c r="G317" s="19" t="inlineStr">
        <is>
          <t>1. Pending New Contract - Original Contract Expired. New Contract in Process</t>
        </is>
      </c>
      <c r="H317" s="19" t="inlineStr">
        <is>
          <t>B. City Law Review</t>
        </is>
      </c>
      <c r="I317" s="19" t="inlineStr">
        <is>
          <t>APPROVED</t>
        </is>
      </c>
      <c r="J317" s="19" t="inlineStr">
        <is>
          <t>Yes</t>
        </is>
      </c>
      <c r="K317" s="19" t="inlineStr">
        <is>
          <t>No</t>
        </is>
      </c>
      <c r="L317" s="19" t="inlineStr">
        <is>
          <t>na</t>
        </is>
      </c>
      <c r="M317" s="19" t="inlineStr">
        <is>
          <t>RX596443</t>
        </is>
      </c>
      <c r="N317" s="19" t="inlineStr">
        <is>
          <t>E</t>
        </is>
      </c>
      <c r="O317" s="20" t="inlineStr">
        <is>
          <t>No linkage found in awarded contract file</t>
        </is>
      </c>
      <c r="P317" s="19" t="inlineStr"/>
      <c r="Q317" s="19" t="inlineStr"/>
      <c r="R317" s="31" t="inlineStr"/>
      <c r="S317" s="19" t="inlineStr"/>
      <c r="T317" s="19" t="inlineStr">
        <is>
          <t>No</t>
        </is>
      </c>
      <c r="U317" s="19" t="inlineStr">
        <is>
          <t>No</t>
        </is>
      </c>
      <c r="V317" s="19" t="inlineStr">
        <is>
          <t>No</t>
        </is>
      </c>
      <c r="W317" s="19" t="inlineStr">
        <is>
          <t>Yes</t>
        </is>
      </c>
    </row>
    <row r="318">
      <c r="A318" s="19" t="n">
        <v>711246</v>
      </c>
      <c r="B318" s="31" t="n">
        <v>46052</v>
      </c>
      <c r="C318" s="19" t="inlineStr">
        <is>
          <t>CHICAGO DEPARTMENT OF TRANSPORTATION</t>
        </is>
      </c>
      <c r="D318" s="19" t="inlineStr">
        <is>
          <t>Yellowstone Landscape, Inc</t>
        </is>
      </c>
      <c r="E318" s="20" t="inlineStr">
        <is>
          <t>Landscape Services North &amp; South LSD</t>
        </is>
      </c>
      <c r="F318" s="21" t="n">
        <v>4449.03</v>
      </c>
      <c r="G318" s="19" t="inlineStr">
        <is>
          <t>1. Pending New Contract - Original Contract Expired. New Contract in Process</t>
        </is>
      </c>
      <c r="H318" s="19" t="inlineStr">
        <is>
          <t>B. City Law Review</t>
        </is>
      </c>
      <c r="I318" s="19" t="inlineStr">
        <is>
          <t>APPROVED</t>
        </is>
      </c>
      <c r="J318" s="19" t="inlineStr">
        <is>
          <t>Yes</t>
        </is>
      </c>
      <c r="K318" s="19" t="inlineStr">
        <is>
          <t>No</t>
        </is>
      </c>
      <c r="L318" s="19" t="inlineStr">
        <is>
          <t>na</t>
        </is>
      </c>
      <c r="M318" s="19" t="inlineStr">
        <is>
          <t>RX635010</t>
        </is>
      </c>
      <c r="N318" s="19" t="inlineStr">
        <is>
          <t>E</t>
        </is>
      </c>
      <c r="O318" s="20" t="inlineStr">
        <is>
          <t>No linkage found in awarded contract file</t>
        </is>
      </c>
      <c r="P318" s="19" t="inlineStr"/>
      <c r="Q318" s="19" t="inlineStr"/>
      <c r="R318" s="31" t="inlineStr"/>
      <c r="S318" s="19" t="inlineStr"/>
      <c r="T318" s="19" t="inlineStr">
        <is>
          <t>No</t>
        </is>
      </c>
      <c r="U318" s="19" t="inlineStr">
        <is>
          <t>No</t>
        </is>
      </c>
      <c r="V318" s="19" t="inlineStr">
        <is>
          <t>No</t>
        </is>
      </c>
      <c r="W318" s="19" t="inlineStr">
        <is>
          <t>Yes</t>
        </is>
      </c>
    </row>
    <row r="319">
      <c r="A319" s="19" t="n">
        <v>727672</v>
      </c>
      <c r="B319" s="31" t="n">
        <v>46146</v>
      </c>
      <c r="C319" s="19" t="inlineStr">
        <is>
          <t>CHICAGO DEPARTMENT OF TRANSPORTATION</t>
        </is>
      </c>
      <c r="D319" s="19" t="inlineStr">
        <is>
          <t>PALM ELECTRIC COMPANY</t>
        </is>
      </c>
      <c r="E319" s="20" t="inlineStr">
        <is>
          <t>PEDAL AND CONDUIT SHEAR REPAIR</t>
        </is>
      </c>
      <c r="F319" s="21" t="n">
        <v>3600</v>
      </c>
      <c r="G319" s="19" t="inlineStr">
        <is>
          <t>1. Pending New Contract - Original Contract Expired. New Contract in Process</t>
        </is>
      </c>
      <c r="H319" s="19" t="inlineStr">
        <is>
          <t>B. City Law Review</t>
        </is>
      </c>
      <c r="I319" s="19" t="inlineStr">
        <is>
          <t>APPROVED</t>
        </is>
      </c>
      <c r="J319" s="19" t="inlineStr">
        <is>
          <t>Yes</t>
        </is>
      </c>
      <c r="K319" s="19" t="inlineStr">
        <is>
          <t>No</t>
        </is>
      </c>
      <c r="L319" s="19" t="inlineStr">
        <is>
          <t>na</t>
        </is>
      </c>
      <c r="M319" s="19" t="inlineStr">
        <is>
          <t>RX650171</t>
        </is>
      </c>
      <c r="N319" s="19" t="inlineStr">
        <is>
          <t>E</t>
        </is>
      </c>
      <c r="O319" s="20" t="inlineStr">
        <is>
          <t>No linkage found in awarded contract file</t>
        </is>
      </c>
      <c r="P319" s="19" t="inlineStr"/>
      <c r="Q319" s="19" t="inlineStr"/>
      <c r="R319" s="31" t="inlineStr"/>
      <c r="S319" s="19" t="inlineStr"/>
      <c r="T319" s="19" t="inlineStr">
        <is>
          <t>No</t>
        </is>
      </c>
      <c r="U319" s="19" t="inlineStr">
        <is>
          <t>No</t>
        </is>
      </c>
      <c r="V319" s="19" t="inlineStr">
        <is>
          <t>No</t>
        </is>
      </c>
      <c r="W319" s="19" t="inlineStr">
        <is>
          <t>Yes</t>
        </is>
      </c>
    </row>
    <row r="320">
      <c r="A320" s="19" t="n">
        <v>739417</v>
      </c>
      <c r="B320" s="31" t="n">
        <v>46210</v>
      </c>
      <c r="C320" s="19" t="inlineStr">
        <is>
          <t>CHICAGO POLICE DEPARTMENT</t>
        </is>
      </c>
      <c r="D320" s="19" t="inlineStr">
        <is>
          <t>Primo Brands</t>
        </is>
      </c>
      <c r="E320" s="20" t="inlineStr">
        <is>
          <t>Water Services</t>
        </is>
      </c>
      <c r="F320" s="21" t="n">
        <v>172.83</v>
      </c>
      <c r="G320" s="19" t="inlineStr">
        <is>
          <t>1. Pending New Contract - Original Contract Expired. New Contract in Process</t>
        </is>
      </c>
      <c r="H320" s="19" t="inlineStr">
        <is>
          <t>A. Specification Development Phase</t>
        </is>
      </c>
      <c r="I320" s="19" t="inlineStr">
        <is>
          <t>APPROVED</t>
        </is>
      </c>
      <c r="J320" s="19" t="inlineStr">
        <is>
          <t>Yes</t>
        </is>
      </c>
      <c r="K320" s="19" t="inlineStr">
        <is>
          <t>No</t>
        </is>
      </c>
      <c r="L320" s="19" t="inlineStr"/>
      <c r="M320" s="19" t="inlineStr">
        <is>
          <t>RX676831</t>
        </is>
      </c>
      <c r="N320" s="19" t="inlineStr">
        <is>
          <t>E</t>
        </is>
      </c>
      <c r="O320" s="20" t="inlineStr">
        <is>
          <t>No linkage found in awarded contract file</t>
        </is>
      </c>
      <c r="P320" s="19" t="inlineStr"/>
      <c r="Q320" s="19" t="inlineStr"/>
      <c r="R320" s="31" t="inlineStr"/>
      <c r="S320" s="19" t="inlineStr"/>
      <c r="T320" s="19" t="inlineStr">
        <is>
          <t>No</t>
        </is>
      </c>
      <c r="U320" s="19" t="inlineStr">
        <is>
          <t>No</t>
        </is>
      </c>
      <c r="V320" s="19" t="inlineStr">
        <is>
          <t>No</t>
        </is>
      </c>
      <c r="W320" s="19" t="inlineStr">
        <is>
          <t>Yes</t>
        </is>
      </c>
    </row>
    <row r="321">
      <c r="A321" s="19" t="n">
        <v>708701</v>
      </c>
      <c r="B321" s="31" t="n">
        <v>46052</v>
      </c>
      <c r="C321" s="19" t="inlineStr">
        <is>
          <t>CHICAGO DEPARTMENT OF AVIATION</t>
        </is>
      </c>
      <c r="D321" s="19" t="inlineStr">
        <is>
          <t>SIEMENS INDUSTRY INC. 01</t>
        </is>
      </c>
      <c r="E321" s="20" t="inlineStr">
        <is>
          <t>Invoice# 5332152783 Maintenance of the Supervisory Monitoring System &amp; Fire Alarm System for October 2025 Monthly Service</t>
        </is>
      </c>
      <c r="F321" s="21" t="n">
        <v>347623.41</v>
      </c>
      <c r="G321" s="19" t="inlineStr">
        <is>
          <t>2. Pending Amendment/Modification - Line Item Addition / Vendor Limit Increase / Scope Change</t>
        </is>
      </c>
      <c r="H321" s="19" t="inlineStr">
        <is>
          <t>E. ROA - (Recommendation of Award)</t>
        </is>
      </c>
      <c r="I321" s="19" t="inlineStr">
        <is>
          <t>APPROVED</t>
        </is>
      </c>
      <c r="J321" s="19" t="inlineStr">
        <is>
          <t>Yes</t>
        </is>
      </c>
      <c r="K321" s="19" t="inlineStr">
        <is>
          <t>Yes</t>
        </is>
      </c>
      <c r="L321" s="19" t="n">
        <v>84871</v>
      </c>
      <c r="M321" s="19" t="inlineStr">
        <is>
          <t>RX605613</t>
        </is>
      </c>
      <c r="N321" s="19" t="inlineStr">
        <is>
          <t>E</t>
        </is>
      </c>
      <c r="O321" s="20" t="inlineStr">
        <is>
          <t>No linkage found in awarded contract file</t>
        </is>
      </c>
      <c r="P321" s="19" t="inlineStr"/>
      <c r="Q321" s="19" t="inlineStr"/>
      <c r="R321" s="31" t="inlineStr"/>
      <c r="S321" s="19" t="inlineStr"/>
      <c r="T321" s="19" t="inlineStr">
        <is>
          <t>No</t>
        </is>
      </c>
      <c r="U321" s="19" t="inlineStr">
        <is>
          <t>No</t>
        </is>
      </c>
      <c r="V321" s="19" t="inlineStr">
        <is>
          <t>No</t>
        </is>
      </c>
      <c r="W321" s="19" t="inlineStr">
        <is>
          <t>Yes</t>
        </is>
      </c>
    </row>
    <row r="322">
      <c r="A322" s="19" t="n">
        <v>742872</v>
      </c>
      <c r="B322" s="31" t="n">
        <v>46231</v>
      </c>
      <c r="C322" s="19" t="inlineStr">
        <is>
          <t>CHICAGO DEPARTMENT OF AVIATION</t>
        </is>
      </c>
      <c r="D322" s="19" t="inlineStr">
        <is>
          <t>SCHINDLER ELEVATOR CORP</t>
        </is>
      </c>
      <c r="E322" s="20" t="inlineStr">
        <is>
          <t>Transfered from APRF No. 513665.  Requesting a Direct Voucher - Exhibit B for O'Hare due to expired contract. Elevators,1-MOD/Final 7/27/26 nt</t>
        </is>
      </c>
      <c r="F322" s="21" t="n">
        <v>826128.63</v>
      </c>
      <c r="G322" s="19" t="inlineStr">
        <is>
          <t>1. Pending New Contract - Original Contract Expired. New Contract in Process</t>
        </is>
      </c>
      <c r="H322" s="19" t="inlineStr">
        <is>
          <t>D. Solicitation Response Under Evaluation</t>
        </is>
      </c>
      <c r="I322" s="19" t="inlineStr">
        <is>
          <t>APPROVED</t>
        </is>
      </c>
      <c r="J322" s="19" t="inlineStr">
        <is>
          <t>No</t>
        </is>
      </c>
      <c r="K322" s="19" t="inlineStr">
        <is>
          <t>No</t>
        </is>
      </c>
      <c r="L322" s="19" t="inlineStr"/>
      <c r="M322" s="19" t="inlineStr">
        <is>
          <t>RX604388</t>
        </is>
      </c>
      <c r="N322" s="19" t="inlineStr">
        <is>
          <t>E</t>
        </is>
      </c>
      <c r="O322" s="20" t="inlineStr">
        <is>
          <t>No linkage found in awarded contract file</t>
        </is>
      </c>
      <c r="P322" s="19" t="inlineStr"/>
      <c r="Q322" s="19" t="inlineStr"/>
      <c r="R322" s="31" t="inlineStr"/>
      <c r="S322" s="19" t="inlineStr"/>
      <c r="T322" s="19" t="inlineStr">
        <is>
          <t>No</t>
        </is>
      </c>
      <c r="U322" s="19" t="inlineStr">
        <is>
          <t>No</t>
        </is>
      </c>
      <c r="V322" s="19" t="inlineStr">
        <is>
          <t>No</t>
        </is>
      </c>
      <c r="W322" s="19" t="inlineStr">
        <is>
          <t>No</t>
        </is>
      </c>
    </row>
    <row r="323">
      <c r="A323" s="19" t="n">
        <v>743930</v>
      </c>
      <c r="B323" s="31" t="n">
        <v>46238</v>
      </c>
      <c r="C323" s="19" t="inlineStr">
        <is>
          <t>OFFICE OF CITY CLERK</t>
        </is>
      </c>
      <c r="D323" s="19" t="inlineStr">
        <is>
          <t>Rollins, Inc. dba Orkin, LLC</t>
        </is>
      </c>
      <c r="E323" s="20" t="inlineStr">
        <is>
          <t>Orkin - pest control treatment at satellite office</t>
        </is>
      </c>
      <c r="F323" s="21" t="n">
        <v>800</v>
      </c>
      <c r="G323" s="19" t="inlineStr">
        <is>
          <t>3. One Time Purchase</t>
        </is>
      </c>
      <c r="H323" s="19" t="inlineStr">
        <is>
          <t>H. One Time Purchase</t>
        </is>
      </c>
      <c r="I323" s="19" t="inlineStr">
        <is>
          <t>APPROVED</t>
        </is>
      </c>
      <c r="J323" s="19" t="inlineStr">
        <is>
          <t>No</t>
        </is>
      </c>
      <c r="K323" s="19" t="inlineStr">
        <is>
          <t>No</t>
        </is>
      </c>
      <c r="L323" s="19" t="inlineStr"/>
      <c r="M323" s="19" t="inlineStr">
        <is>
          <t>VDROLLINS DBA ORKIN</t>
        </is>
      </c>
      <c r="N323" s="19" t="inlineStr">
        <is>
          <t>E</t>
        </is>
      </c>
      <c r="O323" s="20" t="inlineStr">
        <is>
          <t>No linkage found in awarded contract file</t>
        </is>
      </c>
      <c r="P323" s="19" t="inlineStr"/>
      <c r="Q323" s="19" t="inlineStr"/>
      <c r="R323" s="31" t="inlineStr"/>
      <c r="S323" s="19" t="inlineStr"/>
      <c r="T323" s="19" t="inlineStr">
        <is>
          <t>No</t>
        </is>
      </c>
      <c r="U323" s="19" t="inlineStr">
        <is>
          <t>No</t>
        </is>
      </c>
      <c r="V323" s="19" t="inlineStr">
        <is>
          <t>No</t>
        </is>
      </c>
      <c r="W323" s="19" t="inlineStr">
        <is>
          <t>No</t>
        </is>
      </c>
    </row>
    <row r="324">
      <c r="A324" s="19" t="n">
        <v>743922</v>
      </c>
      <c r="B324" s="31" t="n">
        <v>46238</v>
      </c>
      <c r="C324" s="19" t="inlineStr">
        <is>
          <t>DEPARTMENT OF STREETS AND SANITATION</t>
        </is>
      </c>
      <c r="D324" s="19" t="inlineStr">
        <is>
          <t>CHICAGO UNITED INDUSTRIES, LTD</t>
        </is>
      </c>
      <c r="E324" s="20" t="inlineStr">
        <is>
          <t>TARP - SALT TARPING</t>
        </is>
      </c>
      <c r="F324" s="21" t="n">
        <v>0</v>
      </c>
      <c r="G324" s="19" t="inlineStr">
        <is>
          <t>1. Pending New Contract - Original Contract Expired. New Contract in Process</t>
        </is>
      </c>
      <c r="H324" s="19" t="inlineStr">
        <is>
          <t>A. Specification Development Phase</t>
        </is>
      </c>
      <c r="I324" s="19" t="inlineStr"/>
      <c r="J324" s="19" t="inlineStr">
        <is>
          <t>Yes</t>
        </is>
      </c>
      <c r="K324" s="19" t="inlineStr">
        <is>
          <t>No</t>
        </is>
      </c>
      <c r="L324" s="19" t="inlineStr"/>
      <c r="M324" s="19" t="inlineStr">
        <is>
          <t>RX511569</t>
        </is>
      </c>
      <c r="N324" s="19" t="inlineStr">
        <is>
          <t>E</t>
        </is>
      </c>
      <c r="O324" s="20" t="inlineStr">
        <is>
          <t>No linkage found in awarded contract file</t>
        </is>
      </c>
      <c r="P324" s="19" t="inlineStr"/>
      <c r="Q324" s="19" t="inlineStr"/>
      <c r="R324" s="31" t="inlineStr"/>
      <c r="S324" s="19" t="inlineStr"/>
      <c r="T324" s="19" t="inlineStr">
        <is>
          <t>No</t>
        </is>
      </c>
      <c r="U324" s="19" t="inlineStr">
        <is>
          <t>No</t>
        </is>
      </c>
      <c r="V324" s="19" t="inlineStr">
        <is>
          <t>No</t>
        </is>
      </c>
      <c r="W324" s="19" t="inlineStr">
        <is>
          <t>Yes</t>
        </is>
      </c>
    </row>
    <row r="325">
      <c r="A325" s="19" t="n">
        <v>728244</v>
      </c>
      <c r="B325" s="31" t="n">
        <v>46142</v>
      </c>
      <c r="C325" s="19" t="inlineStr">
        <is>
          <t>DEPARTMENT OF FLEET AND FACILITY MANAGEMENT</t>
        </is>
      </c>
      <c r="D325" s="19" t="inlineStr">
        <is>
          <t>CAR WASH PARTNERS INC</t>
        </is>
      </c>
      <c r="E325" s="20" t="inlineStr">
        <is>
          <t>TB/2 INVOICES/$19,218.00</t>
        </is>
      </c>
      <c r="F325" s="21" t="n">
        <v>19218</v>
      </c>
      <c r="G325" s="19" t="inlineStr">
        <is>
          <t>1. Pending New Contract - Original Contract Expired. New Contract in Process</t>
        </is>
      </c>
      <c r="H325" s="19" t="inlineStr">
        <is>
          <t>A. Specification Development Phase</t>
        </is>
      </c>
      <c r="I325" s="19" t="inlineStr">
        <is>
          <t>APPROVED</t>
        </is>
      </c>
      <c r="J325" s="19" t="inlineStr">
        <is>
          <t>Yes</t>
        </is>
      </c>
      <c r="K325" s="19" t="inlineStr">
        <is>
          <t>No</t>
        </is>
      </c>
      <c r="L325" s="19" t="inlineStr"/>
      <c r="M325" s="19" t="inlineStr">
        <is>
          <t>RX710856</t>
        </is>
      </c>
      <c r="N325" s="19" t="inlineStr">
        <is>
          <t>E</t>
        </is>
      </c>
      <c r="O325" s="20" t="inlineStr">
        <is>
          <t>No linkage found in awarded contract file</t>
        </is>
      </c>
      <c r="P325" s="19" t="inlineStr"/>
      <c r="Q325" s="19" t="inlineStr"/>
      <c r="R325" s="31" t="inlineStr"/>
      <c r="S325" s="19" t="inlineStr"/>
      <c r="T325" s="19" t="inlineStr">
        <is>
          <t>No</t>
        </is>
      </c>
      <c r="U325" s="19" t="inlineStr">
        <is>
          <t>No</t>
        </is>
      </c>
      <c r="V325" s="19" t="inlineStr">
        <is>
          <t>No</t>
        </is>
      </c>
      <c r="W325" s="19" t="inlineStr">
        <is>
          <t>Yes</t>
        </is>
      </c>
    </row>
    <row r="326">
      <c r="A326" s="19" t="n">
        <v>728875</v>
      </c>
      <c r="B326" s="31" t="n">
        <v>46147</v>
      </c>
      <c r="C326" s="19" t="inlineStr">
        <is>
          <t>DEPARTMENT OF FLEET AND FACILITY MANAGEMENT</t>
        </is>
      </c>
      <c r="D326" s="19" t="inlineStr">
        <is>
          <t>CAR WASH PARTNERS INC</t>
        </is>
      </c>
      <c r="E326" s="20" t="inlineStr">
        <is>
          <t>TB/INVOICE #9009/$3250.00</t>
        </is>
      </c>
      <c r="F326" s="21" t="n">
        <v>3250</v>
      </c>
      <c r="G326" s="19" t="inlineStr">
        <is>
          <t>1. Pending New Contract - Original Contract Expired. New Contract in Process</t>
        </is>
      </c>
      <c r="H326" s="19" t="inlineStr">
        <is>
          <t>A. Specification Development Phase</t>
        </is>
      </c>
      <c r="I326" s="19" t="inlineStr">
        <is>
          <t>APPROVED</t>
        </is>
      </c>
      <c r="J326" s="19" t="inlineStr">
        <is>
          <t>Yes</t>
        </is>
      </c>
      <c r="K326" s="19" t="inlineStr">
        <is>
          <t>No</t>
        </is>
      </c>
      <c r="L326" s="19" t="inlineStr"/>
      <c r="M326" s="19" t="inlineStr">
        <is>
          <t>RX710856</t>
        </is>
      </c>
      <c r="N326" s="19" t="inlineStr">
        <is>
          <t>E</t>
        </is>
      </c>
      <c r="O326" s="20" t="inlineStr">
        <is>
          <t>No linkage found in awarded contract file</t>
        </is>
      </c>
      <c r="P326" s="19" t="inlineStr"/>
      <c r="Q326" s="19" t="inlineStr"/>
      <c r="R326" s="31" t="inlineStr"/>
      <c r="S326" s="19" t="inlineStr"/>
      <c r="T326" s="19" t="inlineStr">
        <is>
          <t>No</t>
        </is>
      </c>
      <c r="U326" s="19" t="inlineStr">
        <is>
          <t>No</t>
        </is>
      </c>
      <c r="V326" s="19" t="inlineStr">
        <is>
          <t>No</t>
        </is>
      </c>
      <c r="W326" s="19" t="inlineStr">
        <is>
          <t>Yes</t>
        </is>
      </c>
    </row>
    <row r="327">
      <c r="A327" s="19" t="n">
        <v>734315</v>
      </c>
      <c r="B327" s="31" t="n">
        <v>46181</v>
      </c>
      <c r="C327" s="19" t="inlineStr">
        <is>
          <t>DEPARTMENT OF FLEET AND FACILITY MANAGEMENT</t>
        </is>
      </c>
      <c r="D327" s="19" t="inlineStr">
        <is>
          <t>A SAFE HAVEN FOUNDATION</t>
        </is>
      </c>
      <c r="E327" s="20" t="inlineStr">
        <is>
          <t>TB/VJ/5 INVOICES/$16,054.61</t>
        </is>
      </c>
      <c r="F327" s="21" t="n">
        <v>16054.61</v>
      </c>
      <c r="G327" s="19" t="inlineStr">
        <is>
          <t>1. Pending New Contract - Original Contract Expired. New Contract in Process</t>
        </is>
      </c>
      <c r="H327" s="19" t="inlineStr">
        <is>
          <t>B. City Law Review</t>
        </is>
      </c>
      <c r="I327" s="19" t="inlineStr">
        <is>
          <t>APPROVED</t>
        </is>
      </c>
      <c r="J327" s="19" t="inlineStr">
        <is>
          <t>Yes</t>
        </is>
      </c>
      <c r="K327" s="19" t="inlineStr">
        <is>
          <t>No</t>
        </is>
      </c>
      <c r="L327" s="19" t="inlineStr"/>
      <c r="M327" s="19" t="inlineStr">
        <is>
          <t>RX596443</t>
        </is>
      </c>
      <c r="N327" s="19" t="inlineStr">
        <is>
          <t>E</t>
        </is>
      </c>
      <c r="O327" s="20" t="inlineStr">
        <is>
          <t>No linkage found in awarded contract file</t>
        </is>
      </c>
      <c r="P327" s="19" t="inlineStr"/>
      <c r="Q327" s="19" t="inlineStr"/>
      <c r="R327" s="31" t="inlineStr"/>
      <c r="S327" s="19" t="inlineStr"/>
      <c r="T327" s="19" t="inlineStr">
        <is>
          <t>No</t>
        </is>
      </c>
      <c r="U327" s="19" t="inlineStr">
        <is>
          <t>No</t>
        </is>
      </c>
      <c r="V327" s="19" t="inlineStr">
        <is>
          <t>No</t>
        </is>
      </c>
      <c r="W327" s="19" t="inlineStr">
        <is>
          <t>Yes</t>
        </is>
      </c>
    </row>
    <row r="328">
      <c r="A328" s="19" t="n">
        <v>711625</v>
      </c>
      <c r="B328" s="31" t="n">
        <v>46052</v>
      </c>
      <c r="C328" s="19" t="inlineStr">
        <is>
          <t>DEPARTMENT OF FLEET AND FACILITY MANAGEMENT</t>
        </is>
      </c>
      <c r="D328" s="19" t="inlineStr">
        <is>
          <t>AGAE CONTRACTORS, INC.</t>
        </is>
      </c>
      <c r="E328" s="20" t="inlineStr">
        <is>
          <t>TB/AO/INV #S3338-1 / $633.70</t>
        </is>
      </c>
      <c r="F328" s="21" t="n">
        <v>633.7</v>
      </c>
      <c r="G328" s="19" t="inlineStr">
        <is>
          <t>1. Pending New Contract - Original Contract Expired. New Contract in Process</t>
        </is>
      </c>
      <c r="H328" s="19" t="inlineStr">
        <is>
          <t>A. Specification Development Phase</t>
        </is>
      </c>
      <c r="I328" s="19" t="inlineStr">
        <is>
          <t>APPROVED</t>
        </is>
      </c>
      <c r="J328" s="19" t="inlineStr">
        <is>
          <t>Yes</t>
        </is>
      </c>
      <c r="K328" s="19" t="inlineStr">
        <is>
          <t>No</t>
        </is>
      </c>
      <c r="L328" s="19" t="inlineStr"/>
      <c r="M328" s="19" t="inlineStr">
        <is>
          <t>RX607736</t>
        </is>
      </c>
      <c r="N328" s="19" t="inlineStr">
        <is>
          <t>E</t>
        </is>
      </c>
      <c r="O328" s="20" t="inlineStr">
        <is>
          <t>No linkage found in awarded contract file</t>
        </is>
      </c>
      <c r="P328" s="19" t="inlineStr"/>
      <c r="Q328" s="19" t="inlineStr"/>
      <c r="R328" s="31" t="inlineStr"/>
      <c r="S328" s="19" t="inlineStr"/>
      <c r="T328" s="19" t="inlineStr">
        <is>
          <t>No</t>
        </is>
      </c>
      <c r="U328" s="19" t="inlineStr">
        <is>
          <t>No</t>
        </is>
      </c>
      <c r="V328" s="19" t="inlineStr">
        <is>
          <t>No</t>
        </is>
      </c>
      <c r="W328" s="19" t="inlineStr">
        <is>
          <t>Yes</t>
        </is>
      </c>
    </row>
    <row r="329">
      <c r="A329" s="19" t="n">
        <v>721918</v>
      </c>
      <c r="B329" s="31" t="n">
        <v>46107</v>
      </c>
      <c r="C329" s="19" t="inlineStr">
        <is>
          <t>DEPARTMENT OF FLEET AND FACILITY MANAGEMENT</t>
        </is>
      </c>
      <c r="D329" s="19" t="inlineStr">
        <is>
          <t>AGAE CONTRACTORS, INC.</t>
        </is>
      </c>
      <c r="E329" s="20" t="inlineStr">
        <is>
          <t>TB/AO/INV#S3383-1/$215.20</t>
        </is>
      </c>
      <c r="F329" s="21" t="n">
        <v>215.2</v>
      </c>
      <c r="G329" s="19" t="inlineStr">
        <is>
          <t>1. Pending New Contract - Original Contract Expired. New Contract in Process</t>
        </is>
      </c>
      <c r="H329" s="19" t="inlineStr">
        <is>
          <t>C. Solicitation or Bidding Phase</t>
        </is>
      </c>
      <c r="I329" s="19" t="inlineStr">
        <is>
          <t>APPROVED</t>
        </is>
      </c>
      <c r="J329" s="19" t="inlineStr">
        <is>
          <t>Yes</t>
        </is>
      </c>
      <c r="K329" s="19" t="inlineStr">
        <is>
          <t>No</t>
        </is>
      </c>
      <c r="L329" s="19" t="inlineStr"/>
      <c r="M329" s="19" t="inlineStr">
        <is>
          <t>RX607736</t>
        </is>
      </c>
      <c r="N329" s="19" t="inlineStr">
        <is>
          <t>E</t>
        </is>
      </c>
      <c r="O329" s="20" t="inlineStr">
        <is>
          <t>No linkage found in awarded contract file</t>
        </is>
      </c>
      <c r="P329" s="19" t="inlineStr"/>
      <c r="Q329" s="19" t="inlineStr"/>
      <c r="R329" s="31" t="inlineStr"/>
      <c r="S329" s="19" t="inlineStr"/>
      <c r="T329" s="19" t="inlineStr">
        <is>
          <t>No</t>
        </is>
      </c>
      <c r="U329" s="19" t="inlineStr">
        <is>
          <t>No</t>
        </is>
      </c>
      <c r="V329" s="19" t="inlineStr">
        <is>
          <t>No</t>
        </is>
      </c>
      <c r="W329" s="19" t="inlineStr">
        <is>
          <t>Yes</t>
        </is>
      </c>
    </row>
    <row r="330">
      <c r="A330" s="19" t="n">
        <v>719082</v>
      </c>
      <c r="B330" s="31" t="n">
        <v>46097</v>
      </c>
      <c r="C330" s="19" t="inlineStr">
        <is>
          <t>DEPARTMENT OF FLEET AND FACILITY MANAGEMENT</t>
        </is>
      </c>
      <c r="D330" s="19" t="inlineStr">
        <is>
          <t>MONROE TRUCK EQUIPMENT</t>
        </is>
      </c>
      <c r="E330" s="20" t="inlineStr">
        <is>
          <t>TB/MM/6 INVOICES/$143,877.67</t>
        </is>
      </c>
      <c r="F330" s="21" t="n">
        <v>143877.67</v>
      </c>
      <c r="G330" s="19" t="inlineStr">
        <is>
          <t>1. Pending New Contract - Original Contract Expired. New Contract in Process</t>
        </is>
      </c>
      <c r="H330" s="19" t="inlineStr">
        <is>
          <t>B. City Law Review</t>
        </is>
      </c>
      <c r="I330" s="19" t="inlineStr">
        <is>
          <t>APPROVED</t>
        </is>
      </c>
      <c r="J330" s="19" t="inlineStr">
        <is>
          <t>Yes</t>
        </is>
      </c>
      <c r="K330" s="19" t="inlineStr">
        <is>
          <t>No</t>
        </is>
      </c>
      <c r="L330" s="19" t="inlineStr"/>
      <c r="M330" s="19" t="inlineStr">
        <is>
          <t>RX590958</t>
        </is>
      </c>
      <c r="N330" s="19" t="inlineStr">
        <is>
          <t>E</t>
        </is>
      </c>
      <c r="O330" s="20" t="inlineStr">
        <is>
          <t>No linkage found in awarded contract file</t>
        </is>
      </c>
      <c r="P330" s="19" t="inlineStr"/>
      <c r="Q330" s="19" t="inlineStr"/>
      <c r="R330" s="31" t="inlineStr"/>
      <c r="S330" s="19" t="inlineStr"/>
      <c r="T330" s="19" t="inlineStr">
        <is>
          <t>No</t>
        </is>
      </c>
      <c r="U330" s="19" t="inlineStr">
        <is>
          <t>No</t>
        </is>
      </c>
      <c r="V330" s="19" t="inlineStr">
        <is>
          <t>No</t>
        </is>
      </c>
      <c r="W330" s="19" t="inlineStr">
        <is>
          <t>Yes</t>
        </is>
      </c>
    </row>
    <row r="331">
      <c r="A331" s="19" t="n">
        <v>711007</v>
      </c>
      <c r="B331" s="31" t="n">
        <v>46052</v>
      </c>
      <c r="C331" s="19" t="inlineStr">
        <is>
          <t>DEPARTMENT OF FLEET AND FACILITY MANAGEMENT</t>
        </is>
      </c>
      <c r="D331" s="19" t="inlineStr">
        <is>
          <t>INDUSTRIAL FENCE INC.</t>
        </is>
      </c>
      <c r="E331" s="20" t="inlineStr">
        <is>
          <t>TB/AH/INV#25437/$3749.68</t>
        </is>
      </c>
      <c r="F331" s="21" t="n">
        <v>3749.68</v>
      </c>
      <c r="G331" s="19" t="inlineStr">
        <is>
          <t>1. Pending New Contract - Original Contract Expired. New Contract in Process</t>
        </is>
      </c>
      <c r="H331" s="19" t="inlineStr">
        <is>
          <t>A. Specification Development Phase</t>
        </is>
      </c>
      <c r="I331" s="19" t="inlineStr">
        <is>
          <t>APPROVED</t>
        </is>
      </c>
      <c r="J331" s="19" t="inlineStr">
        <is>
          <t>No</t>
        </is>
      </c>
      <c r="K331" s="19" t="inlineStr">
        <is>
          <t>No</t>
        </is>
      </c>
      <c r="L331" s="19" t="inlineStr">
        <is>
          <t>TBD</t>
        </is>
      </c>
      <c r="M331" s="19" t="inlineStr">
        <is>
          <t>RX596048</t>
        </is>
      </c>
      <c r="N331" s="19" t="inlineStr">
        <is>
          <t>E</t>
        </is>
      </c>
      <c r="O331" s="20" t="inlineStr">
        <is>
          <t>No linkage found in awarded contract file</t>
        </is>
      </c>
      <c r="P331" s="19" t="inlineStr"/>
      <c r="Q331" s="19" t="inlineStr"/>
      <c r="R331" s="31" t="inlineStr"/>
      <c r="S331" s="19" t="inlineStr"/>
      <c r="T331" s="19" t="inlineStr">
        <is>
          <t>No</t>
        </is>
      </c>
      <c r="U331" s="19" t="inlineStr">
        <is>
          <t>No</t>
        </is>
      </c>
      <c r="V331" s="19" t="inlineStr">
        <is>
          <t>No</t>
        </is>
      </c>
      <c r="W331" s="19" t="inlineStr">
        <is>
          <t>No</t>
        </is>
      </c>
    </row>
    <row r="332">
      <c r="A332" s="19" t="n">
        <v>720712</v>
      </c>
      <c r="B332" s="31" t="n">
        <v>46106</v>
      </c>
      <c r="C332" s="19" t="inlineStr">
        <is>
          <t>DEPARTMENT OF FLEET AND FACILITY MANAGEMENT</t>
        </is>
      </c>
      <c r="D332" s="19" t="inlineStr">
        <is>
          <t>DAYSPRING PROFESSIONAL JANITOR</t>
        </is>
      </c>
      <c r="E332" s="20" t="inlineStr">
        <is>
          <t>TB/AH/6 INVOICES/$138890.68</t>
        </is>
      </c>
      <c r="F332" s="21" t="n">
        <v>138890.68</v>
      </c>
      <c r="G332" s="19" t="inlineStr">
        <is>
          <t>1. Pending New Contract - Original Contract Expired. New Contract in Process</t>
        </is>
      </c>
      <c r="H332" s="19" t="inlineStr">
        <is>
          <t>A. Specification Development Phase</t>
        </is>
      </c>
      <c r="I332" s="19" t="inlineStr">
        <is>
          <t>APPROVED</t>
        </is>
      </c>
      <c r="J332" s="19" t="inlineStr">
        <is>
          <t>Yes</t>
        </is>
      </c>
      <c r="K332" s="19" t="inlineStr">
        <is>
          <t>No</t>
        </is>
      </c>
      <c r="L332" s="19" t="inlineStr"/>
      <c r="M332" s="19" t="inlineStr">
        <is>
          <t>RX624331</t>
        </is>
      </c>
      <c r="N332" s="19" t="inlineStr">
        <is>
          <t>E</t>
        </is>
      </c>
      <c r="O332" s="20" t="inlineStr">
        <is>
          <t>No linkage found in awarded contract file</t>
        </is>
      </c>
      <c r="P332" s="19" t="inlineStr"/>
      <c r="Q332" s="19" t="inlineStr"/>
      <c r="R332" s="31" t="inlineStr"/>
      <c r="S332" s="19" t="inlineStr"/>
      <c r="T332" s="19" t="inlineStr">
        <is>
          <t>No</t>
        </is>
      </c>
      <c r="U332" s="19" t="inlineStr">
        <is>
          <t>No</t>
        </is>
      </c>
      <c r="V332" s="19" t="inlineStr">
        <is>
          <t>No</t>
        </is>
      </c>
      <c r="W332" s="19" t="inlineStr">
        <is>
          <t>Yes</t>
        </is>
      </c>
    </row>
    <row r="333">
      <c r="A333" s="19" t="n">
        <v>745040</v>
      </c>
      <c r="B333" s="31" t="n">
        <v>46245</v>
      </c>
      <c r="C333" s="19" t="inlineStr">
        <is>
          <t>DEPARTMENT OF FLEET AND FACILITY MANAGEMENT</t>
        </is>
      </c>
      <c r="D333" s="19" t="inlineStr">
        <is>
          <t>DAYSPRING PROFESSIONAL JANITOR</t>
        </is>
      </c>
      <c r="E333" s="20" t="inlineStr">
        <is>
          <t>TB/VJ/6 INVOICES/$4034.83</t>
        </is>
      </c>
      <c r="F333" s="21" t="n">
        <v>4034.83</v>
      </c>
      <c r="G333" s="19" t="inlineStr">
        <is>
          <t>1. Pending New Contract - Original Contract Expired. New Contract in Process</t>
        </is>
      </c>
      <c r="H333" s="19" t="inlineStr">
        <is>
          <t>A. Specification Development Phase</t>
        </is>
      </c>
      <c r="I333" s="19" t="inlineStr">
        <is>
          <t>APPROVED</t>
        </is>
      </c>
      <c r="J333" s="19" t="inlineStr">
        <is>
          <t>Yes</t>
        </is>
      </c>
      <c r="K333" s="19" t="inlineStr">
        <is>
          <t>No</t>
        </is>
      </c>
      <c r="L333" s="19" t="inlineStr"/>
      <c r="M333" s="19" t="inlineStr">
        <is>
          <t>RX624331</t>
        </is>
      </c>
      <c r="N333" s="19" t="inlineStr">
        <is>
          <t>E</t>
        </is>
      </c>
      <c r="O333" s="20" t="inlineStr">
        <is>
          <t>No linkage found in awarded contract file</t>
        </is>
      </c>
      <c r="P333" s="19" t="inlineStr"/>
      <c r="Q333" s="19" t="inlineStr"/>
      <c r="R333" s="31" t="inlineStr"/>
      <c r="S333" s="19" t="inlineStr"/>
      <c r="T333" s="19" t="inlineStr">
        <is>
          <t>No</t>
        </is>
      </c>
      <c r="U333" s="19" t="inlineStr">
        <is>
          <t>No</t>
        </is>
      </c>
      <c r="V333" s="19" t="inlineStr">
        <is>
          <t>No</t>
        </is>
      </c>
      <c r="W333" s="19" t="inlineStr">
        <is>
          <t>Yes</t>
        </is>
      </c>
    </row>
    <row r="334">
      <c r="A334" s="19" t="n">
        <v>739923</v>
      </c>
      <c r="B334" s="31" t="n">
        <v>46216</v>
      </c>
      <c r="C334" s="19" t="inlineStr">
        <is>
          <t>DEPARTMENT OF FLEET AND FACILITY MANAGEMENT</t>
        </is>
      </c>
      <c r="D334" s="19" t="inlineStr">
        <is>
          <t>DAYSPRING PROFESSIONAL JANITOR</t>
        </is>
      </c>
      <c r="E334" s="20" t="inlineStr">
        <is>
          <t>TB/VJ/2 INVOICES/$538536.76</t>
        </is>
      </c>
      <c r="F334" s="21" t="n">
        <v>538536.76</v>
      </c>
      <c r="G334" s="19" t="inlineStr">
        <is>
          <t>1. Pending New Contract - Original Contract Expired. New Contract in Process</t>
        </is>
      </c>
      <c r="H334" s="19" t="inlineStr">
        <is>
          <t>A. Specification Development Phase</t>
        </is>
      </c>
      <c r="I334" s="19" t="inlineStr">
        <is>
          <t>APPROVED</t>
        </is>
      </c>
      <c r="J334" s="19" t="inlineStr">
        <is>
          <t>Yes</t>
        </is>
      </c>
      <c r="K334" s="19" t="inlineStr">
        <is>
          <t>No</t>
        </is>
      </c>
      <c r="L334" s="19" t="inlineStr"/>
      <c r="M334" s="19" t="inlineStr">
        <is>
          <t>RX624331</t>
        </is>
      </c>
      <c r="N334" s="19" t="inlineStr">
        <is>
          <t>E</t>
        </is>
      </c>
      <c r="O334" s="20" t="inlineStr">
        <is>
          <t>No linkage found in awarded contract file</t>
        </is>
      </c>
      <c r="P334" s="19" t="inlineStr"/>
      <c r="Q334" s="19" t="inlineStr"/>
      <c r="R334" s="31" t="inlineStr"/>
      <c r="S334" s="19" t="inlineStr"/>
      <c r="T334" s="19" t="inlineStr">
        <is>
          <t>No</t>
        </is>
      </c>
      <c r="U334" s="19" t="inlineStr">
        <is>
          <t>No</t>
        </is>
      </c>
      <c r="V334" s="19" t="inlineStr">
        <is>
          <t>No</t>
        </is>
      </c>
      <c r="W334" s="19" t="inlineStr">
        <is>
          <t>Yes</t>
        </is>
      </c>
    </row>
    <row r="335">
      <c r="A335" s="19" t="n">
        <v>711762</v>
      </c>
      <c r="B335" s="31" t="n">
        <v>46055</v>
      </c>
      <c r="C335" s="19" t="inlineStr">
        <is>
          <t>DEPARTMENT OF FLEET AND FACILITY MANAGEMENT</t>
        </is>
      </c>
      <c r="D335" s="19" t="inlineStr">
        <is>
          <t>ABM INDUSTRY GROUPS, LLC</t>
        </is>
      </c>
      <c r="E335" s="20" t="inlineStr">
        <is>
          <t>TB/AH/10 INVOICES/$356,858.55</t>
        </is>
      </c>
      <c r="F335" s="21" t="n">
        <v>356858.55</v>
      </c>
      <c r="G335" s="19" t="inlineStr">
        <is>
          <t>1. Pending New Contract - Original Contract Expired. New Contract in Process</t>
        </is>
      </c>
      <c r="H335" s="19" t="inlineStr">
        <is>
          <t>A. Specification Development Phase</t>
        </is>
      </c>
      <c r="I335" s="19" t="inlineStr">
        <is>
          <t>APPROVED</t>
        </is>
      </c>
      <c r="J335" s="19" t="inlineStr">
        <is>
          <t>Yes</t>
        </is>
      </c>
      <c r="K335" s="19" t="inlineStr">
        <is>
          <t>No</t>
        </is>
      </c>
      <c r="L335" s="19" t="inlineStr">
        <is>
          <t>NO</t>
        </is>
      </c>
      <c r="M335" s="19" t="inlineStr">
        <is>
          <t>RX624331</t>
        </is>
      </c>
      <c r="N335" s="19" t="inlineStr">
        <is>
          <t>E</t>
        </is>
      </c>
      <c r="O335" s="20" t="inlineStr">
        <is>
          <t>No linkage found in awarded contract file</t>
        </is>
      </c>
      <c r="P335" s="19" t="inlineStr"/>
      <c r="Q335" s="19" t="inlineStr"/>
      <c r="R335" s="31" t="inlineStr"/>
      <c r="S335" s="19" t="inlineStr"/>
      <c r="T335" s="19" t="inlineStr">
        <is>
          <t>No</t>
        </is>
      </c>
      <c r="U335" s="19" t="inlineStr">
        <is>
          <t>No</t>
        </is>
      </c>
      <c r="V335" s="19" t="inlineStr">
        <is>
          <t>No</t>
        </is>
      </c>
      <c r="W335" s="19" t="inlineStr">
        <is>
          <t>Yes</t>
        </is>
      </c>
    </row>
    <row r="336">
      <c r="A336" s="19" t="n">
        <v>722923</v>
      </c>
      <c r="B336" s="31" t="n">
        <v>46119</v>
      </c>
      <c r="C336" s="19" t="inlineStr">
        <is>
          <t>DEPARTMENT OF FLEET AND FACILITY MANAGEMENT</t>
        </is>
      </c>
      <c r="D336" s="19" t="inlineStr">
        <is>
          <t>ARLINGTON GLASS &amp; MIRROR</t>
        </is>
      </c>
      <c r="E336" s="20" t="inlineStr">
        <is>
          <t>TB/AO/INV#75148/$1332.50</t>
        </is>
      </c>
      <c r="F336" s="21" t="n">
        <v>1332.5</v>
      </c>
      <c r="G336" s="19" t="inlineStr">
        <is>
          <t>1. Pending New Contract - Original Contract Expired. New Contract in Process</t>
        </is>
      </c>
      <c r="H336" s="19" t="inlineStr">
        <is>
          <t>A. Specification Development Phase</t>
        </is>
      </c>
      <c r="I336" s="19" t="inlineStr">
        <is>
          <t>APPROVED</t>
        </is>
      </c>
      <c r="J336" s="19" t="inlineStr">
        <is>
          <t>Yes</t>
        </is>
      </c>
      <c r="K336" s="19" t="inlineStr">
        <is>
          <t>No</t>
        </is>
      </c>
      <c r="L336" s="19" t="inlineStr"/>
      <c r="M336" s="19" t="inlineStr">
        <is>
          <t>RX647383</t>
        </is>
      </c>
      <c r="N336" s="19" t="inlineStr">
        <is>
          <t>E</t>
        </is>
      </c>
      <c r="O336" s="20" t="inlineStr">
        <is>
          <t>No linkage found in awarded contract file</t>
        </is>
      </c>
      <c r="P336" s="19" t="inlineStr"/>
      <c r="Q336" s="19" t="inlineStr"/>
      <c r="R336" s="31" t="inlineStr"/>
      <c r="S336" s="19" t="inlineStr"/>
      <c r="T336" s="19" t="inlineStr">
        <is>
          <t>No</t>
        </is>
      </c>
      <c r="U336" s="19" t="inlineStr">
        <is>
          <t>No</t>
        </is>
      </c>
      <c r="V336" s="19" t="inlineStr">
        <is>
          <t>No</t>
        </is>
      </c>
      <c r="W336" s="19" t="inlineStr">
        <is>
          <t>Yes</t>
        </is>
      </c>
    </row>
    <row r="337">
      <c r="A337" s="19" t="n">
        <v>728165</v>
      </c>
      <c r="B337" s="31" t="n">
        <v>46142</v>
      </c>
      <c r="C337" s="19" t="inlineStr">
        <is>
          <t>DEPARTMENT OF FLEET AND FACILITY MANAGEMENT</t>
        </is>
      </c>
      <c r="D337" s="19" t="inlineStr">
        <is>
          <t>ARLINGTON GLASS &amp; MIRROR</t>
        </is>
      </c>
      <c r="E337" s="20" t="inlineStr">
        <is>
          <t>TB/AO/INVOICE #75160/$1000.00</t>
        </is>
      </c>
      <c r="F337" s="21" t="n">
        <v>1000</v>
      </c>
      <c r="G337" s="19" t="inlineStr">
        <is>
          <t>1. Pending New Contract - Original Contract Expired. New Contract in Process</t>
        </is>
      </c>
      <c r="H337" s="19" t="inlineStr">
        <is>
          <t>A. Specification Development Phase</t>
        </is>
      </c>
      <c r="I337" s="19" t="inlineStr">
        <is>
          <t>APPROVED</t>
        </is>
      </c>
      <c r="J337" s="19" t="inlineStr">
        <is>
          <t>Yes</t>
        </is>
      </c>
      <c r="K337" s="19" t="inlineStr">
        <is>
          <t>No</t>
        </is>
      </c>
      <c r="L337" s="19" t="inlineStr"/>
      <c r="M337" s="19" t="inlineStr">
        <is>
          <t>RX647383</t>
        </is>
      </c>
      <c r="N337" s="19" t="inlineStr">
        <is>
          <t>E</t>
        </is>
      </c>
      <c r="O337" s="20" t="inlineStr">
        <is>
          <t>No linkage found in awarded contract file</t>
        </is>
      </c>
      <c r="P337" s="19" t="inlineStr"/>
      <c r="Q337" s="19" t="inlineStr"/>
      <c r="R337" s="31" t="inlineStr"/>
      <c r="S337" s="19" t="inlineStr"/>
      <c r="T337" s="19" t="inlineStr">
        <is>
          <t>No</t>
        </is>
      </c>
      <c r="U337" s="19" t="inlineStr">
        <is>
          <t>No</t>
        </is>
      </c>
      <c r="V337" s="19" t="inlineStr">
        <is>
          <t>No</t>
        </is>
      </c>
      <c r="W337" s="19" t="inlineStr">
        <is>
          <t>Yes</t>
        </is>
      </c>
    </row>
    <row r="338">
      <c r="A338" s="19" t="n">
        <v>722902</v>
      </c>
      <c r="B338" s="31" t="n">
        <v>46119</v>
      </c>
      <c r="C338" s="19" t="inlineStr">
        <is>
          <t>DEPARTMENT OF FLEET AND FACILITY MANAGEMENT</t>
        </is>
      </c>
      <c r="D338" s="19" t="inlineStr">
        <is>
          <t>ARLINGTON GLASS &amp; MIRROR</t>
        </is>
      </c>
      <c r="E338" s="20" t="inlineStr">
        <is>
          <t>TB/AO/INV#74621/$8450.00</t>
        </is>
      </c>
      <c r="F338" s="21" t="n">
        <v>8450</v>
      </c>
      <c r="G338" s="19" t="inlineStr">
        <is>
          <t>1. Pending New Contract - Original Contract Expired. New Contract in Process</t>
        </is>
      </c>
      <c r="H338" s="19" t="inlineStr">
        <is>
          <t>A. Specification Development Phase</t>
        </is>
      </c>
      <c r="I338" s="19" t="inlineStr">
        <is>
          <t>APPROVED</t>
        </is>
      </c>
      <c r="J338" s="19" t="inlineStr">
        <is>
          <t>Yes</t>
        </is>
      </c>
      <c r="K338" s="19" t="inlineStr">
        <is>
          <t>No</t>
        </is>
      </c>
      <c r="L338" s="19" t="inlineStr"/>
      <c r="M338" s="19" t="inlineStr">
        <is>
          <t>RX647383</t>
        </is>
      </c>
      <c r="N338" s="19" t="inlineStr">
        <is>
          <t>E</t>
        </is>
      </c>
      <c r="O338" s="20" t="inlineStr">
        <is>
          <t>No linkage found in awarded contract file</t>
        </is>
      </c>
      <c r="P338" s="19" t="inlineStr"/>
      <c r="Q338" s="19" t="inlineStr"/>
      <c r="R338" s="31" t="inlineStr"/>
      <c r="S338" s="19" t="inlineStr"/>
      <c r="T338" s="19" t="inlineStr">
        <is>
          <t>No</t>
        </is>
      </c>
      <c r="U338" s="19" t="inlineStr">
        <is>
          <t>No</t>
        </is>
      </c>
      <c r="V338" s="19" t="inlineStr">
        <is>
          <t>No</t>
        </is>
      </c>
      <c r="W338" s="19" t="inlineStr">
        <is>
          <t>Yes</t>
        </is>
      </c>
    </row>
    <row r="339">
      <c r="A339" s="19" t="n">
        <v>717945</v>
      </c>
      <c r="B339" s="31" t="n">
        <v>46087</v>
      </c>
      <c r="C339" s="19" t="inlineStr">
        <is>
          <t>DEPARTMENT OF FLEET AND FACILITY MANAGEMENT</t>
        </is>
      </c>
      <c r="D339" s="19" t="inlineStr">
        <is>
          <t>ABC Humane Wildlife Control &amp; Prevention, Inc.</t>
        </is>
      </c>
      <c r="E339" s="20" t="inlineStr">
        <is>
          <t>TB/AK/5 INVOICES/$7786.69</t>
        </is>
      </c>
      <c r="F339" s="21" t="n">
        <v>7786.69</v>
      </c>
      <c r="G339" s="19" t="inlineStr">
        <is>
          <t>1. Pending New Contract - Original Contract Expired. New Contract in Process</t>
        </is>
      </c>
      <c r="H339" s="19" t="inlineStr">
        <is>
          <t>A. Specification Development Phase</t>
        </is>
      </c>
      <c r="I339" s="19" t="inlineStr">
        <is>
          <t>APPROVED</t>
        </is>
      </c>
      <c r="J339" s="19" t="inlineStr">
        <is>
          <t>No</t>
        </is>
      </c>
      <c r="K339" s="19" t="inlineStr">
        <is>
          <t>No</t>
        </is>
      </c>
      <c r="L339" s="19" t="inlineStr"/>
      <c r="M339" s="19" t="inlineStr">
        <is>
          <t>RX682957</t>
        </is>
      </c>
      <c r="N339" s="19" t="inlineStr">
        <is>
          <t>E</t>
        </is>
      </c>
      <c r="O339" s="20" t="inlineStr">
        <is>
          <t>No linkage found in awarded contract file</t>
        </is>
      </c>
      <c r="P339" s="19" t="inlineStr"/>
      <c r="Q339" s="19" t="inlineStr"/>
      <c r="R339" s="31" t="inlineStr"/>
      <c r="S339" s="19" t="inlineStr"/>
      <c r="T339" s="19" t="inlineStr">
        <is>
          <t>No</t>
        </is>
      </c>
      <c r="U339" s="19" t="inlineStr">
        <is>
          <t>No</t>
        </is>
      </c>
      <c r="V339" s="19" t="inlineStr">
        <is>
          <t>No</t>
        </is>
      </c>
      <c r="W339" s="19" t="inlineStr">
        <is>
          <t>No</t>
        </is>
      </c>
    </row>
    <row r="340">
      <c r="A340" s="19" t="n">
        <v>716967</v>
      </c>
      <c r="B340" s="31" t="n">
        <v>46092</v>
      </c>
      <c r="C340" s="19" t="inlineStr">
        <is>
          <t>DEPARTMENT OF FLEET AND FACILITY MANAGEMENT</t>
        </is>
      </c>
      <c r="D340" s="19" t="inlineStr">
        <is>
          <t>PRESSURE WASHING SYSTEMS</t>
        </is>
      </c>
      <c r="E340" s="20" t="inlineStr">
        <is>
          <t>TB/MM/2 INVOICES/$1353.00</t>
        </is>
      </c>
      <c r="F340" s="21" t="n">
        <v>0</v>
      </c>
      <c r="G340" s="19" t="inlineStr">
        <is>
          <t>1. Pending New Contract - Original Contract Expired. New Contract in Process</t>
        </is>
      </c>
      <c r="H340" s="19" t="inlineStr">
        <is>
          <t>A. Specification Development Phase</t>
        </is>
      </c>
      <c r="I340" s="19" t="inlineStr"/>
      <c r="J340" s="19" t="inlineStr">
        <is>
          <t>Yes</t>
        </is>
      </c>
      <c r="K340" s="19" t="inlineStr">
        <is>
          <t>No</t>
        </is>
      </c>
      <c r="L340" s="19" t="inlineStr"/>
      <c r="M340" s="19" t="inlineStr">
        <is>
          <t>RX708700</t>
        </is>
      </c>
      <c r="N340" s="19" t="inlineStr">
        <is>
          <t>E</t>
        </is>
      </c>
      <c r="O340" s="20" t="inlineStr">
        <is>
          <t>No linkage found in awarded contract file</t>
        </is>
      </c>
      <c r="P340" s="19" t="inlineStr"/>
      <c r="Q340" s="19" t="inlineStr"/>
      <c r="R340" s="31" t="inlineStr"/>
      <c r="S340" s="19" t="inlineStr"/>
      <c r="T340" s="19" t="inlineStr">
        <is>
          <t>No</t>
        </is>
      </c>
      <c r="U340" s="19" t="inlineStr">
        <is>
          <t>No</t>
        </is>
      </c>
      <c r="V340" s="19" t="inlineStr">
        <is>
          <t>No</t>
        </is>
      </c>
      <c r="W340" s="19" t="inlineStr">
        <is>
          <t>Yes</t>
        </is>
      </c>
    </row>
    <row r="341">
      <c r="A341" s="19" t="n">
        <v>731153</v>
      </c>
      <c r="B341" s="31" t="n">
        <v>46161</v>
      </c>
      <c r="C341" s="19" t="inlineStr">
        <is>
          <t>DEPARTMENT OF FLEET AND FACILITY MANAGEMENT</t>
        </is>
      </c>
      <c r="D341" s="19" t="inlineStr">
        <is>
          <t>AGAE CONTRACTORS, INC.</t>
        </is>
      </c>
      <c r="E341" s="20" t="inlineStr">
        <is>
          <t>TB/INVOICE #S3392-1/$177.75</t>
        </is>
      </c>
      <c r="F341" s="21" t="n">
        <v>177.75</v>
      </c>
      <c r="G341" s="19" t="inlineStr">
        <is>
          <t>1. Pending New Contract - Original Contract Expired. New Contract in Process</t>
        </is>
      </c>
      <c r="H341" s="19" t="inlineStr">
        <is>
          <t>C. Solicitation or Bidding Phase</t>
        </is>
      </c>
      <c r="I341" s="19" t="inlineStr">
        <is>
          <t>APPROVED</t>
        </is>
      </c>
      <c r="J341" s="19" t="inlineStr">
        <is>
          <t>Yes</t>
        </is>
      </c>
      <c r="K341" s="19" t="inlineStr">
        <is>
          <t>No</t>
        </is>
      </c>
      <c r="L341" s="19" t="inlineStr"/>
      <c r="M341" s="19" t="inlineStr">
        <is>
          <t>RX607736</t>
        </is>
      </c>
      <c r="N341" s="19" t="inlineStr">
        <is>
          <t>E</t>
        </is>
      </c>
      <c r="O341" s="20" t="inlineStr">
        <is>
          <t>No linkage found in awarded contract file</t>
        </is>
      </c>
      <c r="P341" s="19" t="inlineStr"/>
      <c r="Q341" s="19" t="inlineStr"/>
      <c r="R341" s="31" t="inlineStr"/>
      <c r="S341" s="19" t="inlineStr"/>
      <c r="T341" s="19" t="inlineStr">
        <is>
          <t>No</t>
        </is>
      </c>
      <c r="U341" s="19" t="inlineStr">
        <is>
          <t>No</t>
        </is>
      </c>
      <c r="V341" s="19" t="inlineStr">
        <is>
          <t>No</t>
        </is>
      </c>
      <c r="W341" s="19" t="inlineStr">
        <is>
          <t>Yes</t>
        </is>
      </c>
    </row>
    <row r="342">
      <c r="A342" s="19" t="n">
        <v>730471</v>
      </c>
      <c r="B342" s="31" t="n">
        <v>46161</v>
      </c>
      <c r="C342" s="19" t="inlineStr">
        <is>
          <t>DEPARTMENT OF FLEET AND FACILITY MANAGEMENT</t>
        </is>
      </c>
      <c r="D342" s="19" t="inlineStr">
        <is>
          <t>INDUSTRIAL FENCE INC.</t>
        </is>
      </c>
      <c r="E342" s="20" t="inlineStr">
        <is>
          <t>TB/VJ/INVOICE #26405/$29,140.56</t>
        </is>
      </c>
      <c r="F342" s="21" t="n">
        <v>29140.56</v>
      </c>
      <c r="G342" s="19" t="inlineStr">
        <is>
          <t>1. Pending New Contract - Original Contract Expired. New Contract in Process</t>
        </is>
      </c>
      <c r="H342" s="19" t="inlineStr">
        <is>
          <t>A. Specification Development Phase</t>
        </is>
      </c>
      <c r="I342" s="19" t="inlineStr">
        <is>
          <t>APPROVED</t>
        </is>
      </c>
      <c r="J342" s="19" t="inlineStr">
        <is>
          <t>No</t>
        </is>
      </c>
      <c r="K342" s="19" t="inlineStr">
        <is>
          <t>No</t>
        </is>
      </c>
      <c r="L342" s="19" t="inlineStr">
        <is>
          <t>TBD</t>
        </is>
      </c>
      <c r="M342" s="19" t="inlineStr">
        <is>
          <t>RX596048</t>
        </is>
      </c>
      <c r="N342" s="19" t="inlineStr">
        <is>
          <t>E</t>
        </is>
      </c>
      <c r="O342" s="20" t="inlineStr">
        <is>
          <t>No linkage found in awarded contract file</t>
        </is>
      </c>
      <c r="P342" s="19" t="inlineStr"/>
      <c r="Q342" s="19" t="inlineStr"/>
      <c r="R342" s="31" t="inlineStr"/>
      <c r="S342" s="19" t="inlineStr"/>
      <c r="T342" s="19" t="inlineStr">
        <is>
          <t>No</t>
        </is>
      </c>
      <c r="U342" s="19" t="inlineStr">
        <is>
          <t>No</t>
        </is>
      </c>
      <c r="V342" s="19" t="inlineStr">
        <is>
          <t>No</t>
        </is>
      </c>
      <c r="W342" s="19" t="inlineStr">
        <is>
          <t>No</t>
        </is>
      </c>
    </row>
    <row r="343">
      <c r="A343" s="19" t="n">
        <v>729994</v>
      </c>
      <c r="B343" s="31" t="n">
        <v>46157</v>
      </c>
      <c r="C343" s="19" t="inlineStr">
        <is>
          <t>DEPARTMENT OF FLEET AND FACILITY MANAGEMENT</t>
        </is>
      </c>
      <c r="D343" s="19" t="inlineStr">
        <is>
          <t>R4 SERVICES, LLC.</t>
        </is>
      </c>
      <c r="E343" s="20" t="inlineStr">
        <is>
          <t>TB/EJ/INVOICE #A381244/$42,182.50</t>
        </is>
      </c>
      <c r="F343" s="21" t="n">
        <v>42182.5</v>
      </c>
      <c r="G343" s="19" t="inlineStr">
        <is>
          <t>1. Pending New Contract - Original Contract Expired. New Contract in Process</t>
        </is>
      </c>
      <c r="H343" s="19" t="inlineStr">
        <is>
          <t>E. ROA - (Recommendation of Award)</t>
        </is>
      </c>
      <c r="I343" s="19" t="inlineStr">
        <is>
          <t>APPROVED</t>
        </is>
      </c>
      <c r="J343" s="19" t="inlineStr">
        <is>
          <t>Yes</t>
        </is>
      </c>
      <c r="K343" s="19" t="inlineStr">
        <is>
          <t>No</t>
        </is>
      </c>
      <c r="L343" s="19" t="inlineStr"/>
      <c r="M343" s="19" t="inlineStr">
        <is>
          <t>RX425669</t>
        </is>
      </c>
      <c r="N343" s="19" t="inlineStr">
        <is>
          <t>E</t>
        </is>
      </c>
      <c r="O343" s="20" t="inlineStr">
        <is>
          <t>No linkage found in awarded contract file</t>
        </is>
      </c>
      <c r="P343" s="19" t="inlineStr"/>
      <c r="Q343" s="19" t="inlineStr"/>
      <c r="R343" s="31" t="inlineStr"/>
      <c r="S343" s="19" t="inlineStr"/>
      <c r="T343" s="19" t="inlineStr">
        <is>
          <t>No</t>
        </is>
      </c>
      <c r="U343" s="19" t="inlineStr">
        <is>
          <t>No</t>
        </is>
      </c>
      <c r="V343" s="19" t="inlineStr">
        <is>
          <t>No</t>
        </is>
      </c>
      <c r="W343" s="19" t="inlineStr">
        <is>
          <t>Yes</t>
        </is>
      </c>
    </row>
    <row r="344">
      <c r="A344" s="19" t="n">
        <v>725239</v>
      </c>
      <c r="B344" s="31" t="n">
        <v>46135</v>
      </c>
      <c r="C344" s="19" t="inlineStr">
        <is>
          <t>DEPARTMENT OF FLEET AND FACILITY MANAGEMENT</t>
        </is>
      </c>
      <c r="D344" s="19" t="inlineStr">
        <is>
          <t>QUALITY CAR WASH, INC.</t>
        </is>
      </c>
      <c r="E344" s="20" t="inlineStr">
        <is>
          <t>TB/9 INVOICES/$12,451.84</t>
        </is>
      </c>
      <c r="F344" s="21" t="n">
        <v>12451.84</v>
      </c>
      <c r="G344" s="19" t="inlineStr">
        <is>
          <t>1. Pending New Contract - Original Contract Expired. New Contract in Process</t>
        </is>
      </c>
      <c r="H344" s="19" t="inlineStr">
        <is>
          <t>A. Specification Development Phase</t>
        </is>
      </c>
      <c r="I344" s="19" t="inlineStr">
        <is>
          <t>APPROVED</t>
        </is>
      </c>
      <c r="J344" s="19" t="inlineStr">
        <is>
          <t>Yes</t>
        </is>
      </c>
      <c r="K344" s="19" t="inlineStr">
        <is>
          <t>No</t>
        </is>
      </c>
      <c r="L344" s="19" t="inlineStr"/>
      <c r="M344" s="19" t="inlineStr">
        <is>
          <t>RX710856</t>
        </is>
      </c>
      <c r="N344" s="19" t="inlineStr">
        <is>
          <t>E</t>
        </is>
      </c>
      <c r="O344" s="20" t="inlineStr">
        <is>
          <t>No linkage found in awarded contract file</t>
        </is>
      </c>
      <c r="P344" s="19" t="inlineStr"/>
      <c r="Q344" s="19" t="inlineStr"/>
      <c r="R344" s="31" t="inlineStr"/>
      <c r="S344" s="19" t="inlineStr"/>
      <c r="T344" s="19" t="inlineStr">
        <is>
          <t>No</t>
        </is>
      </c>
      <c r="U344" s="19" t="inlineStr">
        <is>
          <t>No</t>
        </is>
      </c>
      <c r="V344" s="19" t="inlineStr">
        <is>
          <t>No</t>
        </is>
      </c>
      <c r="W344" s="19" t="inlineStr">
        <is>
          <t>Yes</t>
        </is>
      </c>
    </row>
    <row r="345">
      <c r="A345" s="19" t="n">
        <v>730571</v>
      </c>
      <c r="B345" s="31" t="n">
        <v>46161</v>
      </c>
      <c r="C345" s="19" t="inlineStr">
        <is>
          <t>DEPARTMENT OF FLEET AND FACILITY MANAGEMENT</t>
        </is>
      </c>
      <c r="D345" s="19" t="inlineStr">
        <is>
          <t>5410 Car Wash LLC</t>
        </is>
      </c>
      <c r="E345" s="20" t="inlineStr">
        <is>
          <t>TB/2 INVOICES/$2012.00</t>
        </is>
      </c>
      <c r="F345" s="21" t="n">
        <v>2012</v>
      </c>
      <c r="G345" s="19" t="inlineStr">
        <is>
          <t>1. Pending New Contract - Original Contract Expired. New Contract in Process</t>
        </is>
      </c>
      <c r="H345" s="19" t="inlineStr">
        <is>
          <t>A. Specification Development Phase</t>
        </is>
      </c>
      <c r="I345" s="19" t="inlineStr">
        <is>
          <t>APPROVED</t>
        </is>
      </c>
      <c r="J345" s="19" t="inlineStr">
        <is>
          <t>Yes</t>
        </is>
      </c>
      <c r="K345" s="19" t="inlineStr">
        <is>
          <t>No</t>
        </is>
      </c>
      <c r="L345" s="19" t="inlineStr"/>
      <c r="M345" s="19" t="inlineStr">
        <is>
          <t>RX710856</t>
        </is>
      </c>
      <c r="N345" s="19" t="inlineStr">
        <is>
          <t>E</t>
        </is>
      </c>
      <c r="O345" s="20" t="inlineStr">
        <is>
          <t>No linkage found in awarded contract file</t>
        </is>
      </c>
      <c r="P345" s="19" t="inlineStr"/>
      <c r="Q345" s="19" t="inlineStr"/>
      <c r="R345" s="31" t="inlineStr"/>
      <c r="S345" s="19" t="inlineStr"/>
      <c r="T345" s="19" t="inlineStr">
        <is>
          <t>No</t>
        </is>
      </c>
      <c r="U345" s="19" t="inlineStr">
        <is>
          <t>No</t>
        </is>
      </c>
      <c r="V345" s="19" t="inlineStr">
        <is>
          <t>No</t>
        </is>
      </c>
      <c r="W345" s="19" t="inlineStr">
        <is>
          <t>Yes</t>
        </is>
      </c>
    </row>
    <row r="346">
      <c r="A346" s="19" t="n">
        <v>708470</v>
      </c>
      <c r="B346" s="31" t="n">
        <v>46036</v>
      </c>
      <c r="C346" s="19" t="inlineStr">
        <is>
          <t>CHICAGO FIRE DEPARTMENT</t>
        </is>
      </c>
      <c r="D346" s="19" t="inlineStr">
        <is>
          <t>DS Services of America, Inc.</t>
        </is>
      </c>
      <c r="E346" s="20" t="inlineStr">
        <is>
          <t>Water Services</t>
        </is>
      </c>
      <c r="F346" s="21" t="n">
        <v>3551.22</v>
      </c>
      <c r="G346" s="19" t="inlineStr">
        <is>
          <t>1. Pending New Contract - Original Contract Expired. New Contract in Process</t>
        </is>
      </c>
      <c r="H346" s="19" t="inlineStr">
        <is>
          <t>A. Specification Development Phase</t>
        </is>
      </c>
      <c r="I346" s="19" t="inlineStr">
        <is>
          <t>APPROVED</t>
        </is>
      </c>
      <c r="J346" s="19" t="inlineStr">
        <is>
          <t>Yes</t>
        </is>
      </c>
      <c r="K346" s="19" t="inlineStr">
        <is>
          <t>No</t>
        </is>
      </c>
      <c r="L346" s="19" t="inlineStr"/>
      <c r="M346" s="19" t="inlineStr">
        <is>
          <t>RX676831</t>
        </is>
      </c>
      <c r="N346" s="19" t="inlineStr">
        <is>
          <t>E</t>
        </is>
      </c>
      <c r="O346" s="20" t="inlineStr">
        <is>
          <t>No linkage found in awarded contract file</t>
        </is>
      </c>
      <c r="P346" s="19" t="inlineStr"/>
      <c r="Q346" s="19" t="inlineStr"/>
      <c r="R346" s="31" t="inlineStr"/>
      <c r="S346" s="19" t="inlineStr"/>
      <c r="T346" s="19" t="inlineStr">
        <is>
          <t>No</t>
        </is>
      </c>
      <c r="U346" s="19" t="inlineStr">
        <is>
          <t>No</t>
        </is>
      </c>
      <c r="V346" s="19" t="inlineStr">
        <is>
          <t>No</t>
        </is>
      </c>
      <c r="W346" s="19" t="inlineStr">
        <is>
          <t>Yes</t>
        </is>
      </c>
    </row>
    <row r="347">
      <c r="A347" s="19" t="n">
        <v>716047</v>
      </c>
      <c r="B347" s="31" t="n">
        <v>46078</v>
      </c>
      <c r="C347" s="19" t="inlineStr">
        <is>
          <t>DEPARTMENT OF PROCUREMENT SERVICES</t>
        </is>
      </c>
      <c r="D347" s="19" t="inlineStr">
        <is>
          <t>Service Sanitation Inc.</t>
        </is>
      </c>
      <c r="E347" s="20" t="inlineStr">
        <is>
          <t>RENTAL AND MAINTENANCE OF PORTABLE CHEMICAL TOILETS, SINKS, WASTE WATER BARRELS, PORTABLE WATERLESS HAND SANITIZER DISPENSERS, FRESH WATER TRAILER AND PORTABLE SHOWERS at 10101 S Stony Island Ave Jan 2026</t>
        </is>
      </c>
      <c r="F347" s="21" t="n">
        <v>250</v>
      </c>
      <c r="G347" s="19" t="inlineStr">
        <is>
          <t>2. Pending Amendment/Modification - Line Item Addition / Vendor Limit Increase / Scope Change</t>
        </is>
      </c>
      <c r="H347" s="19" t="inlineStr">
        <is>
          <t>F. SC - (Signature Cycle)</t>
        </is>
      </c>
      <c r="I347" s="19" t="inlineStr">
        <is>
          <t>APPROVED</t>
        </is>
      </c>
      <c r="J347" s="19" t="inlineStr">
        <is>
          <t>Yes</t>
        </is>
      </c>
      <c r="K347" s="19" t="inlineStr">
        <is>
          <t>No</t>
        </is>
      </c>
      <c r="L347" s="19" t="n">
        <v>104512</v>
      </c>
      <c r="M347" s="19" t="inlineStr">
        <is>
          <t>RX701842</t>
        </is>
      </c>
      <c r="N347" s="19" t="inlineStr">
        <is>
          <t>B</t>
        </is>
      </c>
      <c r="O347" s="20" t="inlineStr">
        <is>
          <t>Vendor match + commodity overlap (similarity 0.50)</t>
        </is>
      </c>
      <c r="P347" s="19" t="inlineStr">
        <is>
          <t>381051</t>
        </is>
      </c>
      <c r="Q347" s="19" t="inlineStr">
        <is>
          <t>Service Sanitation Inc.</t>
        </is>
      </c>
      <c r="R347" s="31" t="n">
        <v>46203</v>
      </c>
      <c r="S347" s="19" t="inlineStr">
        <is>
          <t>BID</t>
        </is>
      </c>
      <c r="T347" s="19" t="inlineStr">
        <is>
          <t>Yes</t>
        </is>
      </c>
      <c r="U347" s="19" t="inlineStr">
        <is>
          <t>Yes</t>
        </is>
      </c>
      <c r="V347" s="19" t="inlineStr">
        <is>
          <t>No</t>
        </is>
      </c>
      <c r="W347" s="19" t="inlineStr">
        <is>
          <t>Yes</t>
        </is>
      </c>
    </row>
    <row r="348">
      <c r="A348" s="19" t="n">
        <v>731432</v>
      </c>
      <c r="B348" s="31" t="n">
        <v>46160</v>
      </c>
      <c r="C348" s="19" t="inlineStr">
        <is>
          <t>DEPARTMENT OF PROCUREMENT SERVICES</t>
        </is>
      </c>
      <c r="D348" s="19" t="inlineStr">
        <is>
          <t>BLUETRITON BRANDS INC</t>
        </is>
      </c>
      <c r="E348" s="20" t="inlineStr">
        <is>
          <t>Monthly Drinking Water Services at City of Chicago Salvage Operations May 2026</t>
        </is>
      </c>
      <c r="F348" s="21" t="n">
        <v>96.18000000000001</v>
      </c>
      <c r="G348" s="19" t="inlineStr">
        <is>
          <t>1. Pending New Contract - Original Contract Expired. New Contract in Process</t>
        </is>
      </c>
      <c r="H348" s="19" t="inlineStr">
        <is>
          <t>A. Specification Development Phase</t>
        </is>
      </c>
      <c r="I348" s="19" t="inlineStr">
        <is>
          <t>APPROVED</t>
        </is>
      </c>
      <c r="J348" s="19" t="inlineStr">
        <is>
          <t>Yes</t>
        </is>
      </c>
      <c r="K348" s="19" t="inlineStr">
        <is>
          <t>Yes</t>
        </is>
      </c>
      <c r="L348" s="19" t="n">
        <v>30043</v>
      </c>
      <c r="M348" s="19" t="inlineStr">
        <is>
          <t>RX511569</t>
        </is>
      </c>
      <c r="N348" s="19" t="inlineStr">
        <is>
          <t>E</t>
        </is>
      </c>
      <c r="O348" s="20" t="inlineStr">
        <is>
          <t>No linkage found in awarded contract file</t>
        </is>
      </c>
      <c r="P348" s="19" t="inlineStr"/>
      <c r="Q348" s="19" t="inlineStr"/>
      <c r="R348" s="31" t="inlineStr"/>
      <c r="S348" s="19" t="inlineStr"/>
      <c r="T348" s="19" t="inlineStr">
        <is>
          <t>No</t>
        </is>
      </c>
      <c r="U348" s="19" t="inlineStr">
        <is>
          <t>No</t>
        </is>
      </c>
      <c r="V348" s="19" t="inlineStr">
        <is>
          <t>No</t>
        </is>
      </c>
      <c r="W348" s="19" t="inlineStr">
        <is>
          <t>Yes</t>
        </is>
      </c>
    </row>
    <row r="349">
      <c r="A349" s="19" t="n">
        <v>715858</v>
      </c>
      <c r="B349" s="31" t="n">
        <v>46078</v>
      </c>
      <c r="C349" s="19" t="inlineStr">
        <is>
          <t>DEPARTMENT OF STREETS AND SANITATION</t>
        </is>
      </c>
      <c r="D349" s="19" t="inlineStr">
        <is>
          <t>BANDIT INDUSTRIES, INC</t>
        </is>
      </c>
      <c r="E349" s="20" t="inlineStr">
        <is>
          <t>STUMP GRINDING</t>
        </is>
      </c>
      <c r="F349" s="21" t="n">
        <v>34086.73</v>
      </c>
      <c r="G349" s="19" t="inlineStr">
        <is>
          <t>1. Pending New Contract - Original Contract Expired. New Contract in Process</t>
        </is>
      </c>
      <c r="H349" s="19" t="inlineStr">
        <is>
          <t>D. Solicitation Response Under Evaluation</t>
        </is>
      </c>
      <c r="I349" s="19" t="inlineStr">
        <is>
          <t>APPROVED</t>
        </is>
      </c>
      <c r="J349" s="19" t="inlineStr">
        <is>
          <t>No</t>
        </is>
      </c>
      <c r="K349" s="19" t="inlineStr">
        <is>
          <t>No</t>
        </is>
      </c>
      <c r="L349" s="19" t="inlineStr"/>
      <c r="M349" s="19" t="inlineStr">
        <is>
          <t>VDBANDIT INDUSTRIES</t>
        </is>
      </c>
      <c r="N349" s="19" t="inlineStr">
        <is>
          <t>E</t>
        </is>
      </c>
      <c r="O349" s="20" t="inlineStr">
        <is>
          <t>No linkage found in awarded contract file</t>
        </is>
      </c>
      <c r="P349" s="19" t="inlineStr"/>
      <c r="Q349" s="19" t="inlineStr"/>
      <c r="R349" s="31" t="inlineStr"/>
      <c r="S349" s="19" t="inlineStr"/>
      <c r="T349" s="19" t="inlineStr">
        <is>
          <t>No</t>
        </is>
      </c>
      <c r="U349" s="19" t="inlineStr">
        <is>
          <t>No</t>
        </is>
      </c>
      <c r="V349" s="19" t="inlineStr">
        <is>
          <t>No</t>
        </is>
      </c>
      <c r="W349" s="19" t="inlineStr">
        <is>
          <t>No</t>
        </is>
      </c>
    </row>
    <row r="350">
      <c r="A350" s="19" t="n">
        <v>722313</v>
      </c>
      <c r="B350" s="31" t="n">
        <v>46119</v>
      </c>
      <c r="C350" s="19" t="inlineStr">
        <is>
          <t>DEPARTMENT OF STREETS AND SANITATION</t>
        </is>
      </c>
      <c r="D350" s="19" t="inlineStr">
        <is>
          <t>BLUETRITON BRANDS INC</t>
        </is>
      </c>
      <c r="E350" s="20" t="inlineStr">
        <is>
          <t>water</t>
        </is>
      </c>
      <c r="F350" s="21" t="n">
        <v>180.26</v>
      </c>
      <c r="G350" s="19" t="inlineStr">
        <is>
          <t>6. Bid Protest - Contract Award under Review</t>
        </is>
      </c>
      <c r="H350" s="19" t="inlineStr">
        <is>
          <t>D. Solicitation Response Under Evaluation</t>
        </is>
      </c>
      <c r="I350" s="19" t="inlineStr">
        <is>
          <t>APPROVED</t>
        </is>
      </c>
      <c r="J350" s="19" t="inlineStr">
        <is>
          <t>Yes</t>
        </is>
      </c>
      <c r="K350" s="19" t="inlineStr">
        <is>
          <t>No</t>
        </is>
      </c>
      <c r="L350" s="19" t="n">
        <v>0</v>
      </c>
      <c r="M350" s="19" t="inlineStr">
        <is>
          <t>VDBLUETRITON BRANDS</t>
        </is>
      </c>
      <c r="N350" s="19" t="inlineStr">
        <is>
          <t>E</t>
        </is>
      </c>
      <c r="O350" s="20" t="inlineStr">
        <is>
          <t>No linkage found in awarded contract file</t>
        </is>
      </c>
      <c r="P350" s="19" t="inlineStr"/>
      <c r="Q350" s="19" t="inlineStr"/>
      <c r="R350" s="31" t="inlineStr"/>
      <c r="S350" s="19" t="inlineStr"/>
      <c r="T350" s="19" t="inlineStr">
        <is>
          <t>No</t>
        </is>
      </c>
      <c r="U350" s="19" t="inlineStr">
        <is>
          <t>No</t>
        </is>
      </c>
      <c r="V350" s="19" t="inlineStr">
        <is>
          <t>No</t>
        </is>
      </c>
      <c r="W350" s="19" t="inlineStr">
        <is>
          <t>No</t>
        </is>
      </c>
    </row>
    <row r="351">
      <c r="A351" s="19" t="n">
        <v>738810</v>
      </c>
      <c r="B351" s="31" t="n">
        <v>46212</v>
      </c>
      <c r="C351" s="19" t="inlineStr">
        <is>
          <t>CHICAGO DEPARTMENT OF PUBLIC HEALTH</t>
        </is>
      </c>
      <c r="D351" s="19" t="inlineStr">
        <is>
          <t>INTEGRATED SOLUTIONS CONSULTING CORPORATION</t>
        </is>
      </c>
      <c r="E351" s="20" t="inlineStr">
        <is>
          <t>Consulting Fee June 2026</t>
        </is>
      </c>
      <c r="F351" s="21" t="n">
        <v>3819.14</v>
      </c>
      <c r="G351" s="19" t="inlineStr">
        <is>
          <t>1. Pending New Contract - Original Contract Expired. New Contract in Process</t>
        </is>
      </c>
      <c r="H351" s="19" t="inlineStr">
        <is>
          <t>B. City Law Review</t>
        </is>
      </c>
      <c r="I351" s="19" t="inlineStr">
        <is>
          <t>APPROVED</t>
        </is>
      </c>
      <c r="J351" s="19" t="inlineStr">
        <is>
          <t>Yes</t>
        </is>
      </c>
      <c r="K351" s="19" t="inlineStr">
        <is>
          <t>No</t>
        </is>
      </c>
      <c r="L351" s="19" t="inlineStr">
        <is>
          <t>na</t>
        </is>
      </c>
      <c r="M351" s="19" t="inlineStr">
        <is>
          <t>RX657660</t>
        </is>
      </c>
      <c r="N351" s="19" t="inlineStr">
        <is>
          <t>A</t>
        </is>
      </c>
      <c r="O351" s="20" t="inlineStr">
        <is>
          <t>Requisition ID link: Exhibit B new-contract RX = awarded REQ</t>
        </is>
      </c>
      <c r="P351" s="19" t="inlineStr">
        <is>
          <t>386925</t>
        </is>
      </c>
      <c r="Q351" s="19" t="inlineStr">
        <is>
          <t>INTEGRATED SOLUTIONS CONSULTING CORPORATION</t>
        </is>
      </c>
      <c r="R351" s="31" t="n">
        <v>46220</v>
      </c>
      <c r="S351" s="19" t="inlineStr">
        <is>
          <t>SOLE SOURCE</t>
        </is>
      </c>
      <c r="T351" s="19" t="inlineStr">
        <is>
          <t>No</t>
        </is>
      </c>
      <c r="U351" s="19" t="inlineStr">
        <is>
          <t>Yes</t>
        </is>
      </c>
      <c r="V351" s="19" t="inlineStr">
        <is>
          <t>No</t>
        </is>
      </c>
      <c r="W351" s="19" t="inlineStr">
        <is>
          <t>Yes</t>
        </is>
      </c>
    </row>
    <row r="352">
      <c r="A352" s="19" t="n">
        <v>745295</v>
      </c>
      <c r="B352" s="31" t="n">
        <v>46245</v>
      </c>
      <c r="C352" s="19" t="inlineStr">
        <is>
          <t>CHICAGO DEPARTMENT OF PUBLIC HEALTH</t>
        </is>
      </c>
      <c r="D352" s="19" t="inlineStr">
        <is>
          <t>CLARITY PARTNERS LLC</t>
        </is>
      </c>
      <c r="E352" s="20" t="inlineStr">
        <is>
          <t>HAN Maintenance and Support Services - June 2026</t>
        </is>
      </c>
      <c r="F352" s="21" t="n">
        <v>31978.33</v>
      </c>
      <c r="G352" s="19" t="inlineStr">
        <is>
          <t>2. Pending Amendment/Modification - Line Item Addition / Vendor Limit Increase / Scope Change</t>
        </is>
      </c>
      <c r="H352" s="19" t="inlineStr">
        <is>
          <t>H. One Time Purchase</t>
        </is>
      </c>
      <c r="I352" s="19" t="inlineStr">
        <is>
          <t>APPROVED</t>
        </is>
      </c>
      <c r="J352" s="19" t="inlineStr">
        <is>
          <t>Yes</t>
        </is>
      </c>
      <c r="K352" s="19" t="inlineStr">
        <is>
          <t>No</t>
        </is>
      </c>
      <c r="L352" s="19" t="inlineStr"/>
      <c r="M352" s="19" t="inlineStr">
        <is>
          <t>VDCLARITY PARTNERS</t>
        </is>
      </c>
      <c r="N352" s="19" t="inlineStr">
        <is>
          <t>E</t>
        </is>
      </c>
      <c r="O352" s="20" t="inlineStr">
        <is>
          <t>No linkage found in awarded contract file</t>
        </is>
      </c>
      <c r="P352" s="19" t="inlineStr"/>
      <c r="Q352" s="19" t="inlineStr"/>
      <c r="R352" s="31" t="inlineStr"/>
      <c r="S352" s="19" t="inlineStr"/>
      <c r="T352" s="19" t="inlineStr">
        <is>
          <t>No</t>
        </is>
      </c>
      <c r="U352" s="19" t="inlineStr">
        <is>
          <t>No</t>
        </is>
      </c>
      <c r="V352" s="19" t="inlineStr">
        <is>
          <t>No</t>
        </is>
      </c>
      <c r="W352" s="19" t="inlineStr">
        <is>
          <t>Yes</t>
        </is>
      </c>
    </row>
    <row r="353">
      <c r="A353" s="19" t="n">
        <v>725220</v>
      </c>
      <c r="B353" s="31" t="n">
        <v>46139</v>
      </c>
      <c r="C353" s="19" t="inlineStr">
        <is>
          <t>CHICAGO DEPARTMENT OF PUBLIC HEALTH</t>
        </is>
      </c>
      <c r="D353" s="19" t="inlineStr">
        <is>
          <t>CIS Support, Inc.</t>
        </is>
      </c>
      <c r="E353" s="20" t="inlineStr">
        <is>
          <t>CIS Maintenance/Support &amp; Customization/Premier Support - April 2026</t>
        </is>
      </c>
      <c r="F353" s="21" t="n">
        <v>5800</v>
      </c>
      <c r="G353" s="19" t="inlineStr">
        <is>
          <t>1. Pending New Contract - Original Contract Expired. New Contract in Process</t>
        </is>
      </c>
      <c r="H353" s="19" t="inlineStr">
        <is>
          <t>H. One Time Purchase</t>
        </is>
      </c>
      <c r="I353" s="19" t="inlineStr">
        <is>
          <t>APPROVED</t>
        </is>
      </c>
      <c r="J353" s="19" t="inlineStr">
        <is>
          <t>Yes</t>
        </is>
      </c>
      <c r="K353" s="19" t="inlineStr">
        <is>
          <t>No</t>
        </is>
      </c>
      <c r="L353" s="19" t="inlineStr">
        <is>
          <t>N?A</t>
        </is>
      </c>
      <c r="M353" s="19" t="inlineStr">
        <is>
          <t>VDCIS SUPPORT</t>
        </is>
      </c>
      <c r="N353" s="19" t="inlineStr">
        <is>
          <t>E</t>
        </is>
      </c>
      <c r="O353" s="20" t="inlineStr">
        <is>
          <t>No linkage found in awarded contract file</t>
        </is>
      </c>
      <c r="P353" s="19" t="inlineStr"/>
      <c r="Q353" s="19" t="inlineStr"/>
      <c r="R353" s="31" t="inlineStr"/>
      <c r="S353" s="19" t="inlineStr"/>
      <c r="T353" s="19" t="inlineStr">
        <is>
          <t>No</t>
        </is>
      </c>
      <c r="U353" s="19" t="inlineStr">
        <is>
          <t>No</t>
        </is>
      </c>
      <c r="V353" s="19" t="inlineStr">
        <is>
          <t>No</t>
        </is>
      </c>
      <c r="W353" s="19" t="inlineStr">
        <is>
          <t>Yes</t>
        </is>
      </c>
    </row>
    <row r="354">
      <c r="A354" s="19" t="n">
        <v>720690</v>
      </c>
      <c r="B354" s="31" t="n">
        <v>46107</v>
      </c>
      <c r="C354" s="19" t="inlineStr">
        <is>
          <t>DEPARTMENT OF FLEET AND FACILITY MANAGEMENT</t>
        </is>
      </c>
      <c r="D354" s="19" t="inlineStr">
        <is>
          <t>AGAE CONTRACTORS, INC.</t>
        </is>
      </c>
      <c r="E354" s="20" t="inlineStr">
        <is>
          <t>AGAE CONTRACTORS 50570038 A   JS/ WA/ Invoice No. S3351-1/ $261.45/ WO 5243324/</t>
        </is>
      </c>
      <c r="F354" s="21" t="n">
        <v>261.45</v>
      </c>
      <c r="G354" s="19" t="inlineStr">
        <is>
          <t>1. Pending New Contract - Original Contract Expired. New Contract in Process</t>
        </is>
      </c>
      <c r="H354" s="19" t="inlineStr">
        <is>
          <t>A. Specification Development Phase</t>
        </is>
      </c>
      <c r="I354" s="19" t="inlineStr">
        <is>
          <t>APPROVED</t>
        </is>
      </c>
      <c r="J354" s="19" t="inlineStr">
        <is>
          <t>Yes</t>
        </is>
      </c>
      <c r="K354" s="19" t="inlineStr">
        <is>
          <t>No</t>
        </is>
      </c>
      <c r="L354" s="19" t="inlineStr"/>
      <c r="M354" s="19" t="inlineStr">
        <is>
          <t>RX607736</t>
        </is>
      </c>
      <c r="N354" s="19" t="inlineStr">
        <is>
          <t>E</t>
        </is>
      </c>
      <c r="O354" s="20" t="inlineStr">
        <is>
          <t>No linkage found in awarded contract file</t>
        </is>
      </c>
      <c r="P354" s="19" t="inlineStr"/>
      <c r="Q354" s="19" t="inlineStr"/>
      <c r="R354" s="31" t="inlineStr"/>
      <c r="S354" s="19" t="inlineStr"/>
      <c r="T354" s="19" t="inlineStr">
        <is>
          <t>No</t>
        </is>
      </c>
      <c r="U354" s="19" t="inlineStr">
        <is>
          <t>No</t>
        </is>
      </c>
      <c r="V354" s="19" t="inlineStr">
        <is>
          <t>No</t>
        </is>
      </c>
      <c r="W354" s="19" t="inlineStr">
        <is>
          <t>Yes</t>
        </is>
      </c>
    </row>
    <row r="355">
      <c r="A355" s="19" t="n">
        <v>707827</v>
      </c>
      <c r="B355" s="31" t="n">
        <v>46031</v>
      </c>
      <c r="C355" s="19" t="inlineStr">
        <is>
          <t>DEPARTMENT OF FLEET AND FACILITY MANAGEMENT</t>
        </is>
      </c>
      <c r="D355" s="19" t="inlineStr">
        <is>
          <t>BELLA BAGNO INC</t>
        </is>
      </c>
      <c r="E355" s="20" t="inlineStr">
        <is>
          <t>Bella Bagno  1010329 D   JS/ AO/ Invoice 130069/$ 112,850.35/ WO 5244306/ Legler</t>
        </is>
      </c>
      <c r="F355" s="21" t="n">
        <v>112850.35</v>
      </c>
      <c r="G355" s="19" t="inlineStr">
        <is>
          <t>1. Pending New Contract - Original Contract Expired. New Contract in Process</t>
        </is>
      </c>
      <c r="H355" s="19" t="inlineStr">
        <is>
          <t>D. Solicitation Response Under Evaluation</t>
        </is>
      </c>
      <c r="I355" s="19" t="inlineStr">
        <is>
          <t>APPROVED</t>
        </is>
      </c>
      <c r="J355" s="19" t="inlineStr">
        <is>
          <t>Yes</t>
        </is>
      </c>
      <c r="K355" s="19" t="inlineStr">
        <is>
          <t>Yes</t>
        </is>
      </c>
      <c r="L355" s="19" t="inlineStr">
        <is>
          <t>Not awarded yet, still under DPS review.</t>
        </is>
      </c>
      <c r="M355" s="19" t="inlineStr">
        <is>
          <t>RX628102</t>
        </is>
      </c>
      <c r="N355" s="19" t="inlineStr">
        <is>
          <t>E</t>
        </is>
      </c>
      <c r="O355" s="20" t="inlineStr">
        <is>
          <t>No linkage found in awarded contract file</t>
        </is>
      </c>
      <c r="P355" s="19" t="inlineStr"/>
      <c r="Q355" s="19" t="inlineStr"/>
      <c r="R355" s="31" t="inlineStr"/>
      <c r="S355" s="19" t="inlineStr"/>
      <c r="T355" s="19" t="inlineStr">
        <is>
          <t>No</t>
        </is>
      </c>
      <c r="U355" s="19" t="inlineStr">
        <is>
          <t>No</t>
        </is>
      </c>
      <c r="V355" s="19" t="inlineStr">
        <is>
          <t>No</t>
        </is>
      </c>
      <c r="W355" s="19" t="inlineStr">
        <is>
          <t>Yes</t>
        </is>
      </c>
    </row>
    <row r="356">
      <c r="A356" s="19" t="n">
        <v>741516</v>
      </c>
      <c r="B356" s="31" t="n">
        <v>46223</v>
      </c>
      <c r="C356" s="19" t="inlineStr">
        <is>
          <t>DEPARTMENT OF FLEET AND FACILITY MANAGEMENT</t>
        </is>
      </c>
      <c r="D356" s="19" t="inlineStr">
        <is>
          <t>DAYSPRING PROFESSIONAL JANITOR</t>
        </is>
      </c>
      <c r="E356" s="20" t="inlineStr">
        <is>
          <t>DAYSPRING 51588021 A JS/ VJ/ Invoice # C2606302/ $120,661.87/ June 2026/ CPL</t>
        </is>
      </c>
      <c r="F356" s="21" t="n">
        <v>120661.87</v>
      </c>
      <c r="G356" s="19" t="inlineStr">
        <is>
          <t>1. Pending New Contract - Original Contract Expired. New Contract in Process</t>
        </is>
      </c>
      <c r="H356" s="19" t="inlineStr">
        <is>
          <t>A. Specification Development Phase</t>
        </is>
      </c>
      <c r="I356" s="19" t="inlineStr">
        <is>
          <t>APPROVED</t>
        </is>
      </c>
      <c r="J356" s="19" t="inlineStr">
        <is>
          <t>Yes</t>
        </is>
      </c>
      <c r="K356" s="19" t="inlineStr">
        <is>
          <t>No</t>
        </is>
      </c>
      <c r="L356" s="19" t="inlineStr"/>
      <c r="M356" s="19" t="inlineStr">
        <is>
          <t>RX624331</t>
        </is>
      </c>
      <c r="N356" s="19" t="inlineStr">
        <is>
          <t>E</t>
        </is>
      </c>
      <c r="O356" s="20" t="inlineStr">
        <is>
          <t>No linkage found in awarded contract file</t>
        </is>
      </c>
      <c r="P356" s="19" t="inlineStr"/>
      <c r="Q356" s="19" t="inlineStr"/>
      <c r="R356" s="31" t="inlineStr"/>
      <c r="S356" s="19" t="inlineStr"/>
      <c r="T356" s="19" t="inlineStr">
        <is>
          <t>No</t>
        </is>
      </c>
      <c r="U356" s="19" t="inlineStr">
        <is>
          <t>No</t>
        </is>
      </c>
      <c r="V356" s="19" t="inlineStr">
        <is>
          <t>No</t>
        </is>
      </c>
      <c r="W356" s="19" t="inlineStr">
        <is>
          <t>Yes</t>
        </is>
      </c>
    </row>
    <row r="357">
      <c r="A357" s="19" t="n">
        <v>738116</v>
      </c>
      <c r="B357" s="31" t="n">
        <v>46203</v>
      </c>
      <c r="C357" s="19" t="inlineStr">
        <is>
          <t>DEPARTMENT OF FLEET AND FACILITY MANAGEMENT</t>
        </is>
      </c>
      <c r="D357" s="19" t="inlineStr">
        <is>
          <t>ARLINGTON GLASS &amp; MIRROR</t>
        </is>
      </c>
      <c r="E357" s="20" t="inlineStr">
        <is>
          <t>Arlington Glass 50089341 A  JS/ WA/ 5- Invoices/ $3,829.80/ Stock/ Various Work Orders</t>
        </is>
      </c>
      <c r="F357" s="21" t="n">
        <v>3829.8</v>
      </c>
      <c r="G357" s="19" t="inlineStr">
        <is>
          <t>1. Pending New Contract - Original Contract Expired. New Contract in Process</t>
        </is>
      </c>
      <c r="H357" s="19" t="inlineStr">
        <is>
          <t>A. Specification Development Phase</t>
        </is>
      </c>
      <c r="I357" s="19" t="inlineStr">
        <is>
          <t>APPROVED</t>
        </is>
      </c>
      <c r="J357" s="19" t="inlineStr">
        <is>
          <t>Yes</t>
        </is>
      </c>
      <c r="K357" s="19" t="inlineStr">
        <is>
          <t>No</t>
        </is>
      </c>
      <c r="L357" s="19" t="inlineStr"/>
      <c r="M357" s="19" t="inlineStr">
        <is>
          <t>RX647383</t>
        </is>
      </c>
      <c r="N357" s="19" t="inlineStr">
        <is>
          <t>E</t>
        </is>
      </c>
      <c r="O357" s="20" t="inlineStr">
        <is>
          <t>No linkage found in awarded contract file</t>
        </is>
      </c>
      <c r="P357" s="19" t="inlineStr"/>
      <c r="Q357" s="19" t="inlineStr"/>
      <c r="R357" s="31" t="inlineStr"/>
      <c r="S357" s="19" t="inlineStr"/>
      <c r="T357" s="19" t="inlineStr">
        <is>
          <t>No</t>
        </is>
      </c>
      <c r="U357" s="19" t="inlineStr">
        <is>
          <t>No</t>
        </is>
      </c>
      <c r="V357" s="19" t="inlineStr">
        <is>
          <t>No</t>
        </is>
      </c>
      <c r="W357" s="19" t="inlineStr">
        <is>
          <t>Yes</t>
        </is>
      </c>
    </row>
    <row r="358">
      <c r="A358" s="19" t="n">
        <v>711419</v>
      </c>
      <c r="B358" s="31" t="n">
        <v>46052</v>
      </c>
      <c r="C358" s="19" t="inlineStr">
        <is>
          <t>DEPARTMENT OF FLEET AND FACILITY MANAGEMENT</t>
        </is>
      </c>
      <c r="D358" s="19" t="inlineStr">
        <is>
          <t>PRESSURE WASHING SYSTEMS</t>
        </is>
      </c>
      <c r="E358" s="20" t="inlineStr">
        <is>
          <t>PWS  1064296 B  JS/ MM/ INVOICE - INV110845/ $8,702.00/ DEPT85/ WO 2599518/ OHARE</t>
        </is>
      </c>
      <c r="F358" s="21" t="n">
        <v>8702</v>
      </c>
      <c r="G358" s="19" t="inlineStr">
        <is>
          <t>1. Pending New Contract - Original Contract Expired. New Contract in Process</t>
        </is>
      </c>
      <c r="H358" s="19" t="inlineStr">
        <is>
          <t>A. Specification Development Phase</t>
        </is>
      </c>
      <c r="I358" s="19" t="inlineStr">
        <is>
          <t>APPROVED</t>
        </is>
      </c>
      <c r="J358" s="19" t="inlineStr">
        <is>
          <t>Yes</t>
        </is>
      </c>
      <c r="K358" s="19" t="inlineStr">
        <is>
          <t>No</t>
        </is>
      </c>
      <c r="L358" s="19" t="inlineStr"/>
      <c r="M358" s="19" t="inlineStr">
        <is>
          <t>RX708700</t>
        </is>
      </c>
      <c r="N358" s="19" t="inlineStr">
        <is>
          <t>E</t>
        </is>
      </c>
      <c r="O358" s="20" t="inlineStr">
        <is>
          <t>No linkage found in awarded contract file</t>
        </is>
      </c>
      <c r="P358" s="19" t="inlineStr"/>
      <c r="Q358" s="19" t="inlineStr"/>
      <c r="R358" s="31" t="inlineStr"/>
      <c r="S358" s="19" t="inlineStr"/>
      <c r="T358" s="19" t="inlineStr">
        <is>
          <t>No</t>
        </is>
      </c>
      <c r="U358" s="19" t="inlineStr">
        <is>
          <t>No</t>
        </is>
      </c>
      <c r="V358" s="19" t="inlineStr">
        <is>
          <t>No</t>
        </is>
      </c>
      <c r="W358" s="19" t="inlineStr">
        <is>
          <t>Yes</t>
        </is>
      </c>
    </row>
    <row r="359">
      <c r="A359" s="19" t="n">
        <v>736389</v>
      </c>
      <c r="B359" s="31" t="n">
        <v>46189</v>
      </c>
      <c r="C359" s="19" t="inlineStr">
        <is>
          <t>DEPARTMENT OF FLEET AND FACILITY MANAGEMENT</t>
        </is>
      </c>
      <c r="D359" s="19" t="inlineStr">
        <is>
          <t>JACOB PRESS' SONS INC</t>
        </is>
      </c>
      <c r="E359" s="20" t="inlineStr">
        <is>
          <t>Jacob Press Son 1052840  B  JS/ MM/ Invoice 598001/ $1,874.57/ AVFT15/ WO 2619339/ MW</t>
        </is>
      </c>
      <c r="F359" s="21" t="n">
        <v>1874.57</v>
      </c>
      <c r="G359" s="19" t="inlineStr">
        <is>
          <t>1. Pending New Contract - Original Contract Expired. New Contract in Process</t>
        </is>
      </c>
      <c r="H359" s="19" t="inlineStr">
        <is>
          <t>B. City Law Review</t>
        </is>
      </c>
      <c r="I359" s="19" t="inlineStr">
        <is>
          <t>APPROVED</t>
        </is>
      </c>
      <c r="J359" s="19" t="inlineStr">
        <is>
          <t>Yes</t>
        </is>
      </c>
      <c r="K359" s="19" t="inlineStr">
        <is>
          <t>No</t>
        </is>
      </c>
      <c r="L359" s="19" t="inlineStr"/>
      <c r="M359" s="19" t="inlineStr">
        <is>
          <t>RX590958</t>
        </is>
      </c>
      <c r="N359" s="19" t="inlineStr">
        <is>
          <t>E</t>
        </is>
      </c>
      <c r="O359" s="20" t="inlineStr">
        <is>
          <t>No linkage found in awarded contract file</t>
        </is>
      </c>
      <c r="P359" s="19" t="inlineStr"/>
      <c r="Q359" s="19" t="inlineStr"/>
      <c r="R359" s="31" t="inlineStr"/>
      <c r="S359" s="19" t="inlineStr"/>
      <c r="T359" s="19" t="inlineStr">
        <is>
          <t>No</t>
        </is>
      </c>
      <c r="U359" s="19" t="inlineStr">
        <is>
          <t>No</t>
        </is>
      </c>
      <c r="V359" s="19" t="inlineStr">
        <is>
          <t>No</t>
        </is>
      </c>
      <c r="W359" s="19" t="inlineStr">
        <is>
          <t>Yes</t>
        </is>
      </c>
    </row>
    <row r="360">
      <c r="A360" s="19" t="n">
        <v>733529</v>
      </c>
      <c r="B360" s="31" t="n">
        <v>46171</v>
      </c>
      <c r="C360" s="19" t="inlineStr">
        <is>
          <t>DEPARTMENT OF FLEET AND FACILITY MANAGEMENT</t>
        </is>
      </c>
      <c r="D360" s="19" t="inlineStr">
        <is>
          <t>ABC Humane Wildlife Control &amp; Prevention, Inc.</t>
        </is>
      </c>
      <c r="E360" s="20" t="inlineStr">
        <is>
          <t>ABC HUMANE 57046423 B   JS/ VJ/ 4-Invoices/ $17,394.79/ January CPL</t>
        </is>
      </c>
      <c r="F360" s="21" t="n">
        <v>17394.79</v>
      </c>
      <c r="G360" s="19" t="inlineStr">
        <is>
          <t>1. Pending New Contract - Original Contract Expired. New Contract in Process</t>
        </is>
      </c>
      <c r="H360" s="19" t="inlineStr">
        <is>
          <t>A. Specification Development Phase</t>
        </is>
      </c>
      <c r="I360" s="19" t="inlineStr">
        <is>
          <t>APPROVED</t>
        </is>
      </c>
      <c r="J360" s="19" t="inlineStr">
        <is>
          <t>No</t>
        </is>
      </c>
      <c r="K360" s="19" t="inlineStr">
        <is>
          <t>No</t>
        </is>
      </c>
      <c r="L360" s="19" t="inlineStr"/>
      <c r="M360" s="19" t="inlineStr">
        <is>
          <t>RX682957</t>
        </is>
      </c>
      <c r="N360" s="19" t="inlineStr">
        <is>
          <t>E</t>
        </is>
      </c>
      <c r="O360" s="20" t="inlineStr">
        <is>
          <t>No linkage found in awarded contract file</t>
        </is>
      </c>
      <c r="P360" s="19" t="inlineStr"/>
      <c r="Q360" s="19" t="inlineStr"/>
      <c r="R360" s="31" t="inlineStr"/>
      <c r="S360" s="19" t="inlineStr"/>
      <c r="T360" s="19" t="inlineStr">
        <is>
          <t>No</t>
        </is>
      </c>
      <c r="U360" s="19" t="inlineStr">
        <is>
          <t>No</t>
        </is>
      </c>
      <c r="V360" s="19" t="inlineStr">
        <is>
          <t>No</t>
        </is>
      </c>
      <c r="W360" s="19" t="inlineStr">
        <is>
          <t>No</t>
        </is>
      </c>
    </row>
    <row r="361">
      <c r="A361" s="19" t="n">
        <v>724615</v>
      </c>
      <c r="B361" s="31" t="n">
        <v>46133</v>
      </c>
      <c r="C361" s="19" t="inlineStr">
        <is>
          <t>DEPARTMENT OF FLEET AND FACILITY MANAGEMENT</t>
        </is>
      </c>
      <c r="D361" s="19" t="inlineStr">
        <is>
          <t>C &amp; C COMMUNICATIONS IL</t>
        </is>
      </c>
      <c r="E361" s="20" t="inlineStr">
        <is>
          <t>C&amp;C Communications 1032554 A  JS/ CC/ Invoice # 3360/ $940.45/ WO 5260573/Repairing Detector System</t>
        </is>
      </c>
      <c r="F361" s="21" t="n">
        <v>940.45</v>
      </c>
      <c r="G361" s="19" t="inlineStr">
        <is>
          <t>2. Pending Amendment/Modification - Line Item Addition / Vendor Limit Increase / Scope Change</t>
        </is>
      </c>
      <c r="H361" s="19" t="inlineStr">
        <is>
          <t>A. Specification Development Phase</t>
        </is>
      </c>
      <c r="I361" s="19" t="inlineStr">
        <is>
          <t>APPROVED</t>
        </is>
      </c>
      <c r="J361" s="19" t="inlineStr">
        <is>
          <t>No</t>
        </is>
      </c>
      <c r="K361" s="19" t="inlineStr">
        <is>
          <t>No</t>
        </is>
      </c>
      <c r="L361" s="19" t="inlineStr"/>
      <c r="M361" s="19" t="inlineStr">
        <is>
          <t>RX710994</t>
        </is>
      </c>
      <c r="N361" s="19" t="inlineStr">
        <is>
          <t>E</t>
        </is>
      </c>
      <c r="O361" s="20" t="inlineStr">
        <is>
          <t>No linkage found in awarded contract file</t>
        </is>
      </c>
      <c r="P361" s="19" t="inlineStr"/>
      <c r="Q361" s="19" t="inlineStr"/>
      <c r="R361" s="31" t="inlineStr"/>
      <c r="S361" s="19" t="inlineStr"/>
      <c r="T361" s="19" t="inlineStr">
        <is>
          <t>No</t>
        </is>
      </c>
      <c r="U361" s="19" t="inlineStr">
        <is>
          <t>No</t>
        </is>
      </c>
      <c r="V361" s="19" t="inlineStr">
        <is>
          <t>No</t>
        </is>
      </c>
      <c r="W361" s="19" t="inlineStr">
        <is>
          <t>No</t>
        </is>
      </c>
    </row>
    <row r="362">
      <c r="A362" s="19" t="n">
        <v>726155</v>
      </c>
      <c r="B362" s="31" t="n">
        <v>46135</v>
      </c>
      <c r="C362" s="19" t="inlineStr">
        <is>
          <t>DEPARTMENT OF FLEET AND FACILITY MANAGEMENT</t>
        </is>
      </c>
      <c r="D362" s="19" t="inlineStr">
        <is>
          <t>AGAE CONTRACTORS, INC.</t>
        </is>
      </c>
      <c r="E362" s="20" t="inlineStr">
        <is>
          <t>AGAE Contractors 50570038 A  JS/ WA/ Invoice # S3385-1/ $537.40/ WO 5255581/Brighton Park Library/ No Parking Signs</t>
        </is>
      </c>
      <c r="F362" s="21" t="n">
        <v>537.4</v>
      </c>
      <c r="G362" s="19" t="inlineStr">
        <is>
          <t>1. Pending New Contract - Original Contract Expired. New Contract in Process</t>
        </is>
      </c>
      <c r="H362" s="19" t="inlineStr">
        <is>
          <t>C. Solicitation or Bidding Phase</t>
        </is>
      </c>
      <c r="I362" s="19" t="inlineStr">
        <is>
          <t>APPROVED</t>
        </is>
      </c>
      <c r="J362" s="19" t="inlineStr">
        <is>
          <t>Yes</t>
        </is>
      </c>
      <c r="K362" s="19" t="inlineStr">
        <is>
          <t>No</t>
        </is>
      </c>
      <c r="L362" s="19" t="inlineStr"/>
      <c r="M362" s="19" t="inlineStr">
        <is>
          <t>RX607736</t>
        </is>
      </c>
      <c r="N362" s="19" t="inlineStr">
        <is>
          <t>E</t>
        </is>
      </c>
      <c r="O362" s="20" t="inlineStr">
        <is>
          <t>No linkage found in awarded contract file</t>
        </is>
      </c>
      <c r="P362" s="19" t="inlineStr"/>
      <c r="Q362" s="19" t="inlineStr"/>
      <c r="R362" s="31" t="inlineStr"/>
      <c r="S362" s="19" t="inlineStr"/>
      <c r="T362" s="19" t="inlineStr">
        <is>
          <t>No</t>
        </is>
      </c>
      <c r="U362" s="19" t="inlineStr">
        <is>
          <t>No</t>
        </is>
      </c>
      <c r="V362" s="19" t="inlineStr">
        <is>
          <t>No</t>
        </is>
      </c>
      <c r="W362" s="19" t="inlineStr">
        <is>
          <t>Yes</t>
        </is>
      </c>
    </row>
    <row r="363">
      <c r="A363" s="19" t="n">
        <v>726397</v>
      </c>
      <c r="B363" s="31" t="n">
        <v>46147</v>
      </c>
      <c r="C363" s="19" t="inlineStr">
        <is>
          <t>DEPARTMENT OF FLEET AND FACILITY MANAGEMENT</t>
        </is>
      </c>
      <c r="D363" s="19" t="inlineStr">
        <is>
          <t>R4 SERVICES, LLC.</t>
        </is>
      </c>
      <c r="E363" s="20" t="inlineStr">
        <is>
          <t>R4 Services 1042280 A    JS/ EJ/ 3-Invoices/ $41,278.77/ $124,978.61</t>
        </is>
      </c>
      <c r="F363" s="21" t="n">
        <v>124978.61</v>
      </c>
      <c r="G363" s="19" t="inlineStr">
        <is>
          <t>1. Pending New Contract - Original Contract Expired. New Contract in Process</t>
        </is>
      </c>
      <c r="H363" s="19" t="inlineStr">
        <is>
          <t>E. ROA - (Recommendation of Award)</t>
        </is>
      </c>
      <c r="I363" s="19" t="inlineStr">
        <is>
          <t>APPROVED</t>
        </is>
      </c>
      <c r="J363" s="19" t="inlineStr">
        <is>
          <t>Yes</t>
        </is>
      </c>
      <c r="K363" s="19" t="inlineStr">
        <is>
          <t>No</t>
        </is>
      </c>
      <c r="L363" s="19" t="inlineStr">
        <is>
          <t>No</t>
        </is>
      </c>
      <c r="M363" s="19" t="inlineStr">
        <is>
          <t>RX425669</t>
        </is>
      </c>
      <c r="N363" s="19" t="inlineStr">
        <is>
          <t>E</t>
        </is>
      </c>
      <c r="O363" s="20" t="inlineStr">
        <is>
          <t>No linkage found in awarded contract file</t>
        </is>
      </c>
      <c r="P363" s="19" t="inlineStr"/>
      <c r="Q363" s="19" t="inlineStr"/>
      <c r="R363" s="31" t="inlineStr"/>
      <c r="S363" s="19" t="inlineStr"/>
      <c r="T363" s="19" t="inlineStr">
        <is>
          <t>No</t>
        </is>
      </c>
      <c r="U363" s="19" t="inlineStr">
        <is>
          <t>No</t>
        </is>
      </c>
      <c r="V363" s="19" t="inlineStr">
        <is>
          <t>No</t>
        </is>
      </c>
      <c r="W363" s="19" t="inlineStr">
        <is>
          <t>Yes</t>
        </is>
      </c>
    </row>
    <row r="364">
      <c r="A364" s="19" t="n">
        <v>716858</v>
      </c>
      <c r="B364" s="31" t="n">
        <v>46080</v>
      </c>
      <c r="C364" s="19" t="inlineStr">
        <is>
          <t>DEPARTMENT OF WATER MANAGEMENT</t>
        </is>
      </c>
      <c r="D364" s="19" t="inlineStr">
        <is>
          <t>Service Sanitation Inc.</t>
        </is>
      </c>
      <c r="E364" s="20" t="inlineStr">
        <is>
          <t>SERVICE SANTATION REQ#613315. DCASE IS THE LEAD DEPARTMENT AND THE REQ WAS SENT TO DPS FOR A new contract on 8/13/2024 (BOD-9/11/2025) AND AS OF 1/26/2026 AWAITING REPONSE FROM COMPLIANCE AND DPS LEGAL</t>
        </is>
      </c>
      <c r="F364" s="21" t="n">
        <v>5917</v>
      </c>
      <c r="G364" s="19" t="inlineStr">
        <is>
          <t>1. Pending New Contract - Original Contract Expired. New Contract in Process</t>
        </is>
      </c>
      <c r="H364" s="19" t="inlineStr">
        <is>
          <t>H. One Time Purchase</t>
        </is>
      </c>
      <c r="I364" s="19" t="inlineStr">
        <is>
          <t>APPROVED</t>
        </is>
      </c>
      <c r="J364" s="19" t="inlineStr">
        <is>
          <t>Yes</t>
        </is>
      </c>
      <c r="K364" s="19" t="inlineStr">
        <is>
          <t>Yes</t>
        </is>
      </c>
      <c r="L364" s="19" t="n">
        <v>613315</v>
      </c>
      <c r="M364" s="19" t="inlineStr">
        <is>
          <t>RX613315</t>
        </is>
      </c>
      <c r="N364" s="19" t="inlineStr">
        <is>
          <t>A</t>
        </is>
      </c>
      <c r="O364" s="20" t="inlineStr">
        <is>
          <t>Requisition ID link: Exhibit B new-contract RX = awarded REQ</t>
        </is>
      </c>
      <c r="P364" s="19" t="inlineStr">
        <is>
          <t>381051</t>
        </is>
      </c>
      <c r="Q364" s="19" t="inlineStr">
        <is>
          <t>Service Sanitation Inc.</t>
        </is>
      </c>
      <c r="R364" s="31" t="n">
        <v>46203</v>
      </c>
      <c r="S364" s="19" t="inlineStr">
        <is>
          <t>BID</t>
        </is>
      </c>
      <c r="T364" s="19" t="inlineStr">
        <is>
          <t>Yes</t>
        </is>
      </c>
      <c r="U364" s="19" t="inlineStr">
        <is>
          <t>Yes</t>
        </is>
      </c>
      <c r="V364" s="19" t="inlineStr">
        <is>
          <t>No</t>
        </is>
      </c>
      <c r="W364" s="19" t="inlineStr">
        <is>
          <t>Yes</t>
        </is>
      </c>
    </row>
    <row r="365">
      <c r="A365" s="19" t="n">
        <v>707742</v>
      </c>
      <c r="B365" s="31" t="n">
        <v>46031</v>
      </c>
      <c r="C365" s="19" t="inlineStr">
        <is>
          <t>CHICAGO DEPARTMENT OF AVIATION</t>
        </is>
      </c>
      <c r="D365" s="19" t="inlineStr">
        <is>
          <t>BLUETRITON BRANDS INC</t>
        </is>
      </c>
      <c r="E365" s="20" t="inlineStr">
        <is>
          <t>INV# 05L6710421194Account Number: 6710421194CHICAGO DEPT OF AVIATION - 5TH FLOOR8420 W BRYN MAWR AVEINV# 15L0122238496Account Number: 0122238496CITY OF CHICAGO DEPT OF AVIATION 10601 W HIGGINS RD</t>
        </is>
      </c>
      <c r="F365" s="21" t="n">
        <v>2013.39</v>
      </c>
      <c r="G365" s="19" t="inlineStr">
        <is>
          <t>1. Pending New Contract - Original Contract Expired. New Contract in Process</t>
        </is>
      </c>
      <c r="H365" s="19" t="inlineStr">
        <is>
          <t>A. Specification Development Phase</t>
        </is>
      </c>
      <c r="I365" s="19" t="inlineStr">
        <is>
          <t>APPROVED</t>
        </is>
      </c>
      <c r="J365" s="19" t="inlineStr">
        <is>
          <t>No</t>
        </is>
      </c>
      <c r="K365" s="19" t="inlineStr">
        <is>
          <t>No</t>
        </is>
      </c>
      <c r="L365" s="19" t="inlineStr">
        <is>
          <t>NO</t>
        </is>
      </c>
      <c r="M365" s="19" t="inlineStr">
        <is>
          <t>VDBLUETRITON BRANDS</t>
        </is>
      </c>
      <c r="N365" s="19" t="inlineStr">
        <is>
          <t>E</t>
        </is>
      </c>
      <c r="O365" s="20" t="inlineStr">
        <is>
          <t>No linkage found in awarded contract file</t>
        </is>
      </c>
      <c r="P365" s="19" t="inlineStr"/>
      <c r="Q365" s="19" t="inlineStr"/>
      <c r="R365" s="31" t="inlineStr"/>
      <c r="S365" s="19" t="inlineStr"/>
      <c r="T365" s="19" t="inlineStr">
        <is>
          <t>No</t>
        </is>
      </c>
      <c r="U365" s="19" t="inlineStr">
        <is>
          <t>No</t>
        </is>
      </c>
      <c r="V365" s="19" t="inlineStr">
        <is>
          <t>No</t>
        </is>
      </c>
      <c r="W365" s="19" t="inlineStr">
        <is>
          <t>No</t>
        </is>
      </c>
    </row>
    <row r="366">
      <c r="A366" s="19" t="n">
        <v>729407</v>
      </c>
      <c r="B366" s="31" t="n">
        <v>46150</v>
      </c>
      <c r="C366" s="19" t="inlineStr">
        <is>
          <t>CHICAGO DEPARTMENT OF PUBLIC HEALTH</t>
        </is>
      </c>
      <c r="D366" s="19" t="inlineStr">
        <is>
          <t>FLOWERS COMMUNICATIONS GROUP</t>
        </is>
      </c>
      <c r="E366" s="20" t="inlineStr">
        <is>
          <t>Emergency Prepredness Kit Items</t>
        </is>
      </c>
      <c r="F366" s="21" t="n">
        <v>90000</v>
      </c>
      <c r="G366" s="19" t="inlineStr">
        <is>
          <t>3. One Time Purchase</t>
        </is>
      </c>
      <c r="H366" s="19" t="inlineStr">
        <is>
          <t>H. One Time Purchase</t>
        </is>
      </c>
      <c r="I366" s="19" t="inlineStr">
        <is>
          <t>APPROVED</t>
        </is>
      </c>
      <c r="J366" s="19" t="inlineStr">
        <is>
          <t>No</t>
        </is>
      </c>
      <c r="K366" s="19" t="inlineStr">
        <is>
          <t>No</t>
        </is>
      </c>
      <c r="L366" s="19" t="inlineStr"/>
      <c r="M366" s="19" t="inlineStr">
        <is>
          <t>VDFLOWERS COMMUNICATIONS</t>
        </is>
      </c>
      <c r="N366" s="19" t="inlineStr">
        <is>
          <t>E</t>
        </is>
      </c>
      <c r="O366" s="20" t="inlineStr">
        <is>
          <t>No linkage found in awarded contract file</t>
        </is>
      </c>
      <c r="P366" s="19" t="inlineStr"/>
      <c r="Q366" s="19" t="inlineStr"/>
      <c r="R366" s="31" t="inlineStr"/>
      <c r="S366" s="19" t="inlineStr"/>
      <c r="T366" s="19" t="inlineStr">
        <is>
          <t>No</t>
        </is>
      </c>
      <c r="U366" s="19" t="inlineStr">
        <is>
          <t>No</t>
        </is>
      </c>
      <c r="V366" s="19" t="inlineStr">
        <is>
          <t>No</t>
        </is>
      </c>
      <c r="W366" s="19" t="inlineStr">
        <is>
          <t>No</t>
        </is>
      </c>
    </row>
    <row r="367">
      <c r="A367" s="19" t="n">
        <v>745799</v>
      </c>
      <c r="B367" s="31" t="n">
        <v>46251</v>
      </c>
      <c r="C367" s="19" t="inlineStr">
        <is>
          <t>DEPARTMENT OF FLEET AND FACILITY MANAGEMENT</t>
        </is>
      </c>
      <c r="D367" s="19" t="inlineStr">
        <is>
          <t>P. R. STREICH &amp; SONS</t>
        </is>
      </c>
      <c r="E367" s="20" t="inlineStr">
        <is>
          <t>PR STREICH JK / MM / INV# 57419 / $5,331.42 / WO 2623109</t>
        </is>
      </c>
      <c r="F367" s="21" t="n">
        <v>5331.42</v>
      </c>
      <c r="G367" s="19" t="inlineStr">
        <is>
          <t>1. Pending New Contract - Original Contract Expired. New Contract in Process</t>
        </is>
      </c>
      <c r="H367" s="19" t="inlineStr">
        <is>
          <t>B. City Law Review</t>
        </is>
      </c>
      <c r="I367" s="19" t="inlineStr">
        <is>
          <t>APPROVED</t>
        </is>
      </c>
      <c r="J367" s="19" t="inlineStr">
        <is>
          <t>Yes</t>
        </is>
      </c>
      <c r="K367" s="19" t="inlineStr">
        <is>
          <t>No</t>
        </is>
      </c>
      <c r="L367" s="19" t="inlineStr">
        <is>
          <t>TBD</t>
        </is>
      </c>
      <c r="M367" s="19" t="inlineStr">
        <is>
          <t>RX679901</t>
        </is>
      </c>
      <c r="N367" s="19" t="inlineStr">
        <is>
          <t>E</t>
        </is>
      </c>
      <c r="O367" s="20" t="inlineStr">
        <is>
          <t>No linkage found in awarded contract file</t>
        </is>
      </c>
      <c r="P367" s="19" t="inlineStr"/>
      <c r="Q367" s="19" t="inlineStr"/>
      <c r="R367" s="31" t="inlineStr"/>
      <c r="S367" s="19" t="inlineStr"/>
      <c r="T367" s="19" t="inlineStr">
        <is>
          <t>No</t>
        </is>
      </c>
      <c r="U367" s="19" t="inlineStr">
        <is>
          <t>No</t>
        </is>
      </c>
      <c r="V367" s="19" t="inlineStr">
        <is>
          <t>No</t>
        </is>
      </c>
      <c r="W367" s="19" t="inlineStr">
        <is>
          <t>Yes</t>
        </is>
      </c>
    </row>
    <row r="368">
      <c r="A368" s="19" t="n">
        <v>734489</v>
      </c>
      <c r="B368" s="31" t="n">
        <v>46182</v>
      </c>
      <c r="C368" s="19" t="inlineStr">
        <is>
          <t>DEPARTMENT OF WATER MANAGEMENT</t>
        </is>
      </c>
      <c r="D368" s="19" t="inlineStr">
        <is>
          <t>MAT CONSTRUCTION</t>
        </is>
      </c>
      <c r="E368" s="20" t="inlineStr">
        <is>
          <t>Street and Parkway and Restoration Project No. 19-623 Central South Region</t>
        </is>
      </c>
      <c r="F368" s="21" t="n">
        <v>687712.6800000001</v>
      </c>
      <c r="G368" s="19" t="inlineStr">
        <is>
          <t>1. Pending New Contract - Original Contract Expired. New Contract in Process</t>
        </is>
      </c>
      <c r="H368" s="19" t="inlineStr">
        <is>
          <t>H. One Time Purchase</t>
        </is>
      </c>
      <c r="I368" s="19" t="inlineStr">
        <is>
          <t>APPROVED</t>
        </is>
      </c>
      <c r="J368" s="19" t="inlineStr">
        <is>
          <t>Yes</t>
        </is>
      </c>
      <c r="K368" s="19" t="inlineStr">
        <is>
          <t>Yes</t>
        </is>
      </c>
      <c r="L368" s="19" t="n">
        <v>272862</v>
      </c>
      <c r="M368" s="19" t="inlineStr">
        <is>
          <t>RX492772</t>
        </is>
      </c>
      <c r="N368" s="19" t="inlineStr">
        <is>
          <t>E</t>
        </is>
      </c>
      <c r="O368" s="20" t="inlineStr">
        <is>
          <t>No linkage found in awarded contract file</t>
        </is>
      </c>
      <c r="P368" s="19" t="inlineStr"/>
      <c r="Q368" s="19" t="inlineStr"/>
      <c r="R368" s="31" t="inlineStr"/>
      <c r="S368" s="19" t="inlineStr"/>
      <c r="T368" s="19" t="inlineStr">
        <is>
          <t>No</t>
        </is>
      </c>
      <c r="U368" s="19" t="inlineStr">
        <is>
          <t>No</t>
        </is>
      </c>
      <c r="V368" s="19" t="inlineStr">
        <is>
          <t>No</t>
        </is>
      </c>
      <c r="W368" s="19" t="inlineStr">
        <is>
          <t>Yes</t>
        </is>
      </c>
    </row>
    <row r="369">
      <c r="A369" s="19" t="n">
        <v>745238</v>
      </c>
      <c r="B369" s="31" t="n">
        <v>46245</v>
      </c>
      <c r="C369" s="19" t="inlineStr">
        <is>
          <t>DEPARTMENT OF FLEET AND FACILITY MANAGEMENT</t>
        </is>
      </c>
      <c r="D369" s="19" t="inlineStr">
        <is>
          <t>CHRISTY WEBBER LANDSCAPES</t>
        </is>
      </c>
      <c r="E369" s="20" t="inlineStr">
        <is>
          <t>WB/VJ/8INVOICES/$39273.96</t>
        </is>
      </c>
      <c r="F369" s="21" t="n">
        <v>39273.96</v>
      </c>
      <c r="G369" s="19" t="inlineStr">
        <is>
          <t>1. Pending New Contract - Original Contract Expired. New Contract in Process</t>
        </is>
      </c>
      <c r="H369" s="19" t="inlineStr">
        <is>
          <t>B. City Law Review</t>
        </is>
      </c>
      <c r="I369" s="19" t="inlineStr">
        <is>
          <t>APPROVED</t>
        </is>
      </c>
      <c r="J369" s="19" t="inlineStr">
        <is>
          <t>Yes</t>
        </is>
      </c>
      <c r="K369" s="19" t="inlineStr">
        <is>
          <t>No</t>
        </is>
      </c>
      <c r="L369" s="19" t="inlineStr"/>
      <c r="M369" s="19" t="inlineStr">
        <is>
          <t>RX679137</t>
        </is>
      </c>
      <c r="N369" s="19" t="inlineStr">
        <is>
          <t>E</t>
        </is>
      </c>
      <c r="O369" s="20" t="inlineStr">
        <is>
          <t>No linkage found in awarded contract file</t>
        </is>
      </c>
      <c r="P369" s="19" t="inlineStr"/>
      <c r="Q369" s="19" t="inlineStr"/>
      <c r="R369" s="31" t="inlineStr"/>
      <c r="S369" s="19" t="inlineStr"/>
      <c r="T369" s="19" t="inlineStr">
        <is>
          <t>No</t>
        </is>
      </c>
      <c r="U369" s="19" t="inlineStr">
        <is>
          <t>No</t>
        </is>
      </c>
      <c r="V369" s="19" t="inlineStr">
        <is>
          <t>No</t>
        </is>
      </c>
      <c r="W369" s="19" t="inlineStr">
        <is>
          <t>Yes</t>
        </is>
      </c>
    </row>
    <row r="370">
      <c r="A370" s="19" t="n">
        <v>741260</v>
      </c>
      <c r="B370" s="31" t="n">
        <v>46220</v>
      </c>
      <c r="C370" s="19" t="inlineStr">
        <is>
          <t>DEPARTMENT OF FLEET AND FACILITY MANAGEMENT</t>
        </is>
      </c>
      <c r="D370" s="19" t="inlineStr">
        <is>
          <t>CAR WASH PARTNERS INC</t>
        </is>
      </c>
      <c r="E370" s="20" t="inlineStr">
        <is>
          <t>WB/CA/2 INVOICES/$13862.00</t>
        </is>
      </c>
      <c r="F370" s="21" t="n">
        <v>0</v>
      </c>
      <c r="G370" s="19" t="inlineStr">
        <is>
          <t>1. Pending New Contract - Original Contract Expired. New Contract in Process</t>
        </is>
      </c>
      <c r="H370" s="19" t="inlineStr">
        <is>
          <t>A. Specification Development Phase</t>
        </is>
      </c>
      <c r="I370" s="19" t="inlineStr">
        <is>
          <t>APPROVED</t>
        </is>
      </c>
      <c r="J370" s="19" t="inlineStr">
        <is>
          <t>Yes</t>
        </is>
      </c>
      <c r="K370" s="19" t="inlineStr">
        <is>
          <t>No</t>
        </is>
      </c>
      <c r="L370" s="19" t="inlineStr"/>
      <c r="M370" s="19" t="inlineStr">
        <is>
          <t>RX710856</t>
        </is>
      </c>
      <c r="N370" s="19" t="inlineStr">
        <is>
          <t>E</t>
        </is>
      </c>
      <c r="O370" s="20" t="inlineStr">
        <is>
          <t>No linkage found in awarded contract file</t>
        </is>
      </c>
      <c r="P370" s="19" t="inlineStr"/>
      <c r="Q370" s="19" t="inlineStr"/>
      <c r="R370" s="31" t="inlineStr"/>
      <c r="S370" s="19" t="inlineStr"/>
      <c r="T370" s="19" t="inlineStr">
        <is>
          <t>No</t>
        </is>
      </c>
      <c r="U370" s="19" t="inlineStr">
        <is>
          <t>No</t>
        </is>
      </c>
      <c r="V370" s="19" t="inlineStr">
        <is>
          <t>No</t>
        </is>
      </c>
      <c r="W370" s="19" t="inlineStr">
        <is>
          <t>Yes</t>
        </is>
      </c>
    </row>
    <row r="371">
      <c r="A371" s="19" t="n">
        <v>743313</v>
      </c>
      <c r="B371" s="31" t="n">
        <v>46238</v>
      </c>
      <c r="C371" s="19" t="inlineStr">
        <is>
          <t>DEPARTMENT OF FLEET AND FACILITY MANAGEMENT</t>
        </is>
      </c>
      <c r="D371" s="19" t="inlineStr">
        <is>
          <t>P. R. STREICH &amp; SONS</t>
        </is>
      </c>
      <c r="E371" s="20" t="inlineStr">
        <is>
          <t>WB/MM/INVOICE#57455/$6683.40</t>
        </is>
      </c>
      <c r="F371" s="21" t="n">
        <v>6683.4</v>
      </c>
      <c r="G371" s="19" t="inlineStr">
        <is>
          <t>1. Pending New Contract - Original Contract Expired. New Contract in Process</t>
        </is>
      </c>
      <c r="H371" s="19" t="inlineStr">
        <is>
          <t>B. City Law Review</t>
        </is>
      </c>
      <c r="I371" s="19" t="inlineStr">
        <is>
          <t>APPROVED</t>
        </is>
      </c>
      <c r="J371" s="19" t="inlineStr">
        <is>
          <t>Yes</t>
        </is>
      </c>
      <c r="K371" s="19" t="inlineStr">
        <is>
          <t>No</t>
        </is>
      </c>
      <c r="L371" s="19" t="inlineStr">
        <is>
          <t>TBD</t>
        </is>
      </c>
      <c r="M371" s="19" t="inlineStr">
        <is>
          <t>RX679901</t>
        </is>
      </c>
      <c r="N371" s="19" t="inlineStr">
        <is>
          <t>E</t>
        </is>
      </c>
      <c r="O371" s="20" t="inlineStr">
        <is>
          <t>No linkage found in awarded contract file</t>
        </is>
      </c>
      <c r="P371" s="19" t="inlineStr"/>
      <c r="Q371" s="19" t="inlineStr"/>
      <c r="R371" s="31" t="inlineStr"/>
      <c r="S371" s="19" t="inlineStr"/>
      <c r="T371" s="19" t="inlineStr">
        <is>
          <t>No</t>
        </is>
      </c>
      <c r="U371" s="19" t="inlineStr">
        <is>
          <t>No</t>
        </is>
      </c>
      <c r="V371" s="19" t="inlineStr">
        <is>
          <t>No</t>
        </is>
      </c>
      <c r="W371" s="19" t="inlineStr">
        <is>
          <t>Yes</t>
        </is>
      </c>
    </row>
    <row r="372">
      <c r="A372" s="19" t="n">
        <v>746780</v>
      </c>
      <c r="B372" s="31" t="n">
        <v>46254.36091435186</v>
      </c>
      <c r="C372" s="19" t="inlineStr">
        <is>
          <t>DEPARTMENT OF FLEET AND FACILITY MANAGEMENT</t>
        </is>
      </c>
      <c r="D372" s="19" t="inlineStr">
        <is>
          <t>JACOB PRESS' SONS INC</t>
        </is>
      </c>
      <c r="E372" s="20" t="inlineStr">
        <is>
          <t>WB/CA/INVOICE598027/$1872.53</t>
        </is>
      </c>
      <c r="F372" s="21" t="n">
        <v>1872.53</v>
      </c>
      <c r="G372" s="19" t="inlineStr">
        <is>
          <t>1. Pending New Contract - Original Contract Expired. New Contract in Process</t>
        </is>
      </c>
      <c r="H372" s="19" t="inlineStr">
        <is>
          <t>B. City Law Review</t>
        </is>
      </c>
      <c r="I372" s="19" t="inlineStr"/>
      <c r="J372" s="19" t="inlineStr">
        <is>
          <t>Yes</t>
        </is>
      </c>
      <c r="K372" s="19" t="inlineStr">
        <is>
          <t>No</t>
        </is>
      </c>
      <c r="L372" s="19" t="inlineStr"/>
      <c r="M372" s="19" t="inlineStr">
        <is>
          <t>RX590958</t>
        </is>
      </c>
      <c r="N372" s="19" t="inlineStr">
        <is>
          <t>E</t>
        </is>
      </c>
      <c r="O372" s="20" t="inlineStr">
        <is>
          <t>No linkage found in awarded contract file</t>
        </is>
      </c>
      <c r="P372" s="19" t="inlineStr"/>
      <c r="Q372" s="19" t="inlineStr"/>
      <c r="R372" s="31" t="inlineStr"/>
      <c r="S372" s="19" t="inlineStr"/>
      <c r="T372" s="19" t="inlineStr">
        <is>
          <t>No</t>
        </is>
      </c>
      <c r="U372" s="19" t="inlineStr">
        <is>
          <t>No</t>
        </is>
      </c>
      <c r="V372" s="19" t="inlineStr">
        <is>
          <t>No</t>
        </is>
      </c>
      <c r="W372" s="19" t="inlineStr">
        <is>
          <t>Yes</t>
        </is>
      </c>
    </row>
    <row r="373">
      <c r="A373" s="19" t="n">
        <v>738292</v>
      </c>
      <c r="B373" s="31" t="n">
        <v>46203</v>
      </c>
      <c r="C373" s="19" t="inlineStr">
        <is>
          <t>DEPARTMENT OF FLEET AND FACILITY MANAGEMENT</t>
        </is>
      </c>
      <c r="D373" s="19" t="inlineStr">
        <is>
          <t>The RIV LLC</t>
        </is>
      </c>
      <c r="E373" s="20" t="inlineStr">
        <is>
          <t>Currently, Lookin Good Car Wash (PO 124960) is the CityÂ¿s only contracted provider servicing Districts 2, 7, 8, 9, and 21; however, they do not have sufficient capacity to service the entire City fleet. A termination letter was issued on Ma</t>
        </is>
      </c>
      <c r="F373" s="21" t="n">
        <v>440</v>
      </c>
      <c r="G373" s="19" t="inlineStr">
        <is>
          <t>1. Pending New Contract - Original Contract Expired. New Contract in Process</t>
        </is>
      </c>
      <c r="H373" s="19" t="inlineStr">
        <is>
          <t>A. Specification Development Phase</t>
        </is>
      </c>
      <c r="I373" s="19" t="inlineStr">
        <is>
          <t>APPROVED</t>
        </is>
      </c>
      <c r="J373" s="19" t="inlineStr">
        <is>
          <t>Yes</t>
        </is>
      </c>
      <c r="K373" s="19" t="inlineStr">
        <is>
          <t>No</t>
        </is>
      </c>
      <c r="L373" s="19" t="inlineStr"/>
      <c r="M373" s="19" t="inlineStr">
        <is>
          <t>RX710856</t>
        </is>
      </c>
      <c r="N373" s="19" t="inlineStr">
        <is>
          <t>E</t>
        </is>
      </c>
      <c r="O373" s="20" t="inlineStr">
        <is>
          <t>No linkage found in awarded contract file</t>
        </is>
      </c>
      <c r="P373" s="19" t="inlineStr"/>
      <c r="Q373" s="19" t="inlineStr"/>
      <c r="R373" s="31" t="inlineStr"/>
      <c r="S373" s="19" t="inlineStr"/>
      <c r="T373" s="19" t="inlineStr">
        <is>
          <t>No</t>
        </is>
      </c>
      <c r="U373" s="19" t="inlineStr">
        <is>
          <t>No</t>
        </is>
      </c>
      <c r="V373" s="19" t="inlineStr">
        <is>
          <t>No</t>
        </is>
      </c>
      <c r="W373" s="19" t="inlineStr">
        <is>
          <t>Yes</t>
        </is>
      </c>
    </row>
    <row r="374">
      <c r="A374" s="19" t="n">
        <v>742158</v>
      </c>
      <c r="B374" s="31" t="n">
        <v>46226</v>
      </c>
      <c r="C374" s="19" t="inlineStr">
        <is>
          <t>DEPARTMENT OF FLEET AND FACILITY MANAGEMENT</t>
        </is>
      </c>
      <c r="D374" s="19" t="inlineStr">
        <is>
          <t>The RIV LLC</t>
        </is>
      </c>
      <c r="E374" s="20" t="inlineStr">
        <is>
          <t>WB/CA/2INVOICES/$265.00</t>
        </is>
      </c>
      <c r="F374" s="21" t="n">
        <v>265</v>
      </c>
      <c r="G374" s="19" t="inlineStr">
        <is>
          <t>1. Pending New Contract - Original Contract Expired. New Contract in Process</t>
        </is>
      </c>
      <c r="H374" s="19" t="inlineStr">
        <is>
          <t>A. Specification Development Phase</t>
        </is>
      </c>
      <c r="I374" s="19" t="inlineStr">
        <is>
          <t>APPROVED</t>
        </is>
      </c>
      <c r="J374" s="19" t="inlineStr">
        <is>
          <t>Yes</t>
        </is>
      </c>
      <c r="K374" s="19" t="inlineStr">
        <is>
          <t>No</t>
        </is>
      </c>
      <c r="L374" s="19" t="inlineStr"/>
      <c r="M374" s="19" t="inlineStr">
        <is>
          <t>RX710856</t>
        </is>
      </c>
      <c r="N374" s="19" t="inlineStr">
        <is>
          <t>E</t>
        </is>
      </c>
      <c r="O374" s="20" t="inlineStr">
        <is>
          <t>No linkage found in awarded contract file</t>
        </is>
      </c>
      <c r="P374" s="19" t="inlineStr"/>
      <c r="Q374" s="19" t="inlineStr"/>
      <c r="R374" s="31" t="inlineStr"/>
      <c r="S374" s="19" t="inlineStr"/>
      <c r="T374" s="19" t="inlineStr">
        <is>
          <t>No</t>
        </is>
      </c>
      <c r="U374" s="19" t="inlineStr">
        <is>
          <t>No</t>
        </is>
      </c>
      <c r="V374" s="19" t="inlineStr">
        <is>
          <t>No</t>
        </is>
      </c>
      <c r="W374" s="19" t="inlineStr">
        <is>
          <t>Yes</t>
        </is>
      </c>
    </row>
    <row r="375">
      <c r="A375" s="19" t="n">
        <v>746827</v>
      </c>
      <c r="B375" s="31" t="n">
        <v>46254.47296296297</v>
      </c>
      <c r="C375" s="19" t="inlineStr">
        <is>
          <t>CHICAGO FIRE DEPARTMENT</t>
        </is>
      </c>
      <c r="D375" s="19" t="inlineStr">
        <is>
          <t>ACORN GARAGE INC</t>
        </is>
      </c>
      <c r="E375" s="20" t="inlineStr">
        <is>
          <t>INV#204737</t>
        </is>
      </c>
      <c r="F375" s="21" t="n">
        <v>1248</v>
      </c>
      <c r="G375" s="19" t="inlineStr">
        <is>
          <t>1. Pending New Contract - Original Contract Expired. New Contract in Process</t>
        </is>
      </c>
      <c r="H375" s="19" t="inlineStr">
        <is>
          <t>H. One Time Purchase</t>
        </is>
      </c>
      <c r="I375" s="19" t="inlineStr"/>
      <c r="J375" s="19" t="inlineStr">
        <is>
          <t>No</t>
        </is>
      </c>
      <c r="K375" s="19" t="inlineStr">
        <is>
          <t>No</t>
        </is>
      </c>
      <c r="L375" s="19" t="inlineStr"/>
      <c r="M375" s="19" t="inlineStr">
        <is>
          <t>RX680611</t>
        </is>
      </c>
      <c r="N375" s="19" t="inlineStr">
        <is>
          <t>E</t>
        </is>
      </c>
      <c r="O375" s="20" t="inlineStr">
        <is>
          <t>No linkage found in awarded contract file</t>
        </is>
      </c>
      <c r="P375" s="19" t="inlineStr"/>
      <c r="Q375" s="19" t="inlineStr"/>
      <c r="R375" s="31" t="inlineStr"/>
      <c r="S375" s="19" t="inlineStr"/>
      <c r="T375" s="19" t="inlineStr">
        <is>
          <t>No</t>
        </is>
      </c>
      <c r="U375" s="19" t="inlineStr">
        <is>
          <t>No</t>
        </is>
      </c>
      <c r="V375" s="19" t="inlineStr">
        <is>
          <t>No</t>
        </is>
      </c>
      <c r="W375" s="19" t="inlineStr">
        <is>
          <t>No</t>
        </is>
      </c>
    </row>
    <row r="376">
      <c r="A376" s="19" t="n">
        <v>743445</v>
      </c>
      <c r="B376" s="31" t="n">
        <v>46238</v>
      </c>
      <c r="C376" s="19" t="inlineStr">
        <is>
          <t>DEPARTMENT OF BUILDINGS</t>
        </is>
      </c>
      <c r="D376" s="19" t="inlineStr">
        <is>
          <t>A &amp; D PROPERTY SERVICES, INC.</t>
        </is>
      </c>
      <c r="E376" s="20" t="inlineStr">
        <is>
          <t>BOARD UP SERVICES</t>
        </is>
      </c>
      <c r="F376" s="21" t="n">
        <v>59850</v>
      </c>
      <c r="G376" s="19" t="inlineStr">
        <is>
          <t>1. Pending New Contract - Original Contract Expired. New Contract in Process</t>
        </is>
      </c>
      <c r="H376" s="19" t="inlineStr">
        <is>
          <t>C. Solicitation or Bidding Phase</t>
        </is>
      </c>
      <c r="I376" s="19" t="inlineStr">
        <is>
          <t>APPROVED</t>
        </is>
      </c>
      <c r="J376" s="19" t="inlineStr">
        <is>
          <t>Yes</t>
        </is>
      </c>
      <c r="K376" s="19" t="inlineStr">
        <is>
          <t>No</t>
        </is>
      </c>
      <c r="L376" s="19" t="n">
        <v>32040</v>
      </c>
      <c r="M376" s="19" t="inlineStr">
        <is>
          <t>RX734541</t>
        </is>
      </c>
      <c r="N376" s="19" t="inlineStr">
        <is>
          <t>E</t>
        </is>
      </c>
      <c r="O376" s="20" t="inlineStr">
        <is>
          <t>No linkage found in awarded contract file</t>
        </is>
      </c>
      <c r="P376" s="19" t="inlineStr"/>
      <c r="Q376" s="19" t="inlineStr"/>
      <c r="R376" s="31" t="inlineStr"/>
      <c r="S376" s="19" t="inlineStr"/>
      <c r="T376" s="19" t="inlineStr">
        <is>
          <t>No</t>
        </is>
      </c>
      <c r="U376" s="19" t="inlineStr">
        <is>
          <t>No</t>
        </is>
      </c>
      <c r="V376" s="19" t="inlineStr">
        <is>
          <t>No</t>
        </is>
      </c>
      <c r="W376" s="19" t="inlineStr">
        <is>
          <t>Yes</t>
        </is>
      </c>
    </row>
    <row r="377">
      <c r="A377" s="19" t="n">
        <v>743434</v>
      </c>
      <c r="B377" s="31" t="n">
        <v>46238</v>
      </c>
      <c r="C377" s="19" t="inlineStr">
        <is>
          <t>DEPARTMENT OF BUILDINGS</t>
        </is>
      </c>
      <c r="D377" s="19" t="inlineStr">
        <is>
          <t>A &amp; D PROPERTY SERVICES, INC.</t>
        </is>
      </c>
      <c r="E377" s="20" t="inlineStr">
        <is>
          <t>BOARD UP SERVICES</t>
        </is>
      </c>
      <c r="F377" s="21" t="n">
        <v>39150</v>
      </c>
      <c r="G377" s="19" t="inlineStr">
        <is>
          <t>1. Pending New Contract - Original Contract Expired. New Contract in Process</t>
        </is>
      </c>
      <c r="H377" s="19" t="inlineStr">
        <is>
          <t>C. Solicitation or Bidding Phase</t>
        </is>
      </c>
      <c r="I377" s="19" t="inlineStr">
        <is>
          <t>APPROVED</t>
        </is>
      </c>
      <c r="J377" s="19" t="inlineStr">
        <is>
          <t>Yes</t>
        </is>
      </c>
      <c r="K377" s="19" t="inlineStr">
        <is>
          <t>No</t>
        </is>
      </c>
      <c r="L377" s="19" t="n">
        <v>32040</v>
      </c>
      <c r="M377" s="19" t="inlineStr">
        <is>
          <t>RX734541</t>
        </is>
      </c>
      <c r="N377" s="19" t="inlineStr">
        <is>
          <t>E</t>
        </is>
      </c>
      <c r="O377" s="20" t="inlineStr">
        <is>
          <t>No linkage found in awarded contract file</t>
        </is>
      </c>
      <c r="P377" s="19" t="inlineStr"/>
      <c r="Q377" s="19" t="inlineStr"/>
      <c r="R377" s="31" t="inlineStr"/>
      <c r="S377" s="19" t="inlineStr"/>
      <c r="T377" s="19" t="inlineStr">
        <is>
          <t>No</t>
        </is>
      </c>
      <c r="U377" s="19" t="inlineStr">
        <is>
          <t>No</t>
        </is>
      </c>
      <c r="V377" s="19" t="inlineStr">
        <is>
          <t>No</t>
        </is>
      </c>
      <c r="W377" s="19" t="inlineStr">
        <is>
          <t>Yes</t>
        </is>
      </c>
    </row>
    <row r="378">
      <c r="A378" s="19" t="n">
        <v>741566</v>
      </c>
      <c r="B378" s="31" t="n">
        <v>46223</v>
      </c>
      <c r="C378" s="19" t="inlineStr">
        <is>
          <t>CHICAGO POLICE DEPARTMENT</t>
        </is>
      </c>
      <c r="D378" s="19" t="inlineStr">
        <is>
          <t>Primo Brands</t>
        </is>
      </c>
      <c r="E378" s="20" t="inlineStr">
        <is>
          <t>Water Servies</t>
        </is>
      </c>
      <c r="F378" s="21" t="n">
        <v>85.92</v>
      </c>
      <c r="G378" s="19" t="inlineStr">
        <is>
          <t>1. Pending New Contract - Original Contract Expired. New Contract in Process</t>
        </is>
      </c>
      <c r="H378" s="19" t="inlineStr">
        <is>
          <t>A. Specification Development Phase</t>
        </is>
      </c>
      <c r="I378" s="19" t="inlineStr">
        <is>
          <t>APPROVED</t>
        </is>
      </c>
      <c r="J378" s="19" t="inlineStr">
        <is>
          <t>Yes</t>
        </is>
      </c>
      <c r="K378" s="19" t="inlineStr">
        <is>
          <t>No</t>
        </is>
      </c>
      <c r="L378" s="19" t="inlineStr"/>
      <c r="M378" s="19" t="inlineStr">
        <is>
          <t>RX676831</t>
        </is>
      </c>
      <c r="N378" s="19" t="inlineStr">
        <is>
          <t>E</t>
        </is>
      </c>
      <c r="O378" s="20" t="inlineStr">
        <is>
          <t>No linkage found in awarded contract file</t>
        </is>
      </c>
      <c r="P378" s="19" t="inlineStr"/>
      <c r="Q378" s="19" t="inlineStr"/>
      <c r="R378" s="31" t="inlineStr"/>
      <c r="S378" s="19" t="inlineStr"/>
      <c r="T378" s="19" t="inlineStr">
        <is>
          <t>No</t>
        </is>
      </c>
      <c r="U378" s="19" t="inlineStr">
        <is>
          <t>No</t>
        </is>
      </c>
      <c r="V378" s="19" t="inlineStr">
        <is>
          <t>No</t>
        </is>
      </c>
      <c r="W378" s="19" t="inlineStr">
        <is>
          <t>Yes</t>
        </is>
      </c>
    </row>
    <row r="379">
      <c r="A379" s="19" t="n">
        <v>733675</v>
      </c>
      <c r="B379" s="31" t="n">
        <v>46174</v>
      </c>
      <c r="C379" s="19" t="inlineStr">
        <is>
          <t>CHICAGO POLICE DEPARTMENT</t>
        </is>
      </c>
      <c r="D379" s="19" t="inlineStr">
        <is>
          <t>Primo Brands</t>
        </is>
      </c>
      <c r="E379" s="20" t="inlineStr">
        <is>
          <t>Water Services</t>
        </is>
      </c>
      <c r="F379" s="21" t="n">
        <v>106.15</v>
      </c>
      <c r="G379" s="19" t="inlineStr">
        <is>
          <t>1. Pending New Contract - Original Contract Expired. New Contract in Process</t>
        </is>
      </c>
      <c r="H379" s="19" t="inlineStr">
        <is>
          <t>A. Specification Development Phase</t>
        </is>
      </c>
      <c r="I379" s="19" t="inlineStr">
        <is>
          <t>APPROVED</t>
        </is>
      </c>
      <c r="J379" s="19" t="inlineStr">
        <is>
          <t>Yes</t>
        </is>
      </c>
      <c r="K379" s="19" t="inlineStr">
        <is>
          <t>No</t>
        </is>
      </c>
      <c r="L379" s="19" t="inlineStr"/>
      <c r="M379" s="19" t="inlineStr">
        <is>
          <t>RX676831</t>
        </is>
      </c>
      <c r="N379" s="19" t="inlineStr">
        <is>
          <t>E</t>
        </is>
      </c>
      <c r="O379" s="20" t="inlineStr">
        <is>
          <t>No linkage found in awarded contract file</t>
        </is>
      </c>
      <c r="P379" s="19" t="inlineStr"/>
      <c r="Q379" s="19" t="inlineStr"/>
      <c r="R379" s="31" t="inlineStr"/>
      <c r="S379" s="19" t="inlineStr"/>
      <c r="T379" s="19" t="inlineStr">
        <is>
          <t>No</t>
        </is>
      </c>
      <c r="U379" s="19" t="inlineStr">
        <is>
          <t>No</t>
        </is>
      </c>
      <c r="V379" s="19" t="inlineStr">
        <is>
          <t>No</t>
        </is>
      </c>
      <c r="W379" s="19" t="inlineStr">
        <is>
          <t>Yes</t>
        </is>
      </c>
    </row>
    <row r="380">
      <c r="A380" s="19" t="n">
        <v>736440</v>
      </c>
      <c r="B380" s="31" t="n">
        <v>46203</v>
      </c>
      <c r="C380" s="19" t="inlineStr">
        <is>
          <t>DEPARTMENT OF FAMILY AND SUPPORT SERVICES</t>
        </is>
      </c>
      <c r="D380" s="19" t="inlineStr">
        <is>
          <t>Service Sanitation Inc.</t>
        </is>
      </c>
      <c r="E380" s="20" t="inlineStr">
        <is>
          <t>Aps 11189_SANITATION SERVICES</t>
        </is>
      </c>
      <c r="F380" s="21" t="n">
        <v>13920</v>
      </c>
      <c r="G380" s="19" t="inlineStr">
        <is>
          <t>2. Pending Amendment/Modification - Line Item Addition / Vendor Limit Increase / Scope Change</t>
        </is>
      </c>
      <c r="H380" s="19" t="inlineStr">
        <is>
          <t>G. Not Applicable (Office Depot use Only)</t>
        </is>
      </c>
      <c r="I380" s="19" t="inlineStr">
        <is>
          <t>APPROVED</t>
        </is>
      </c>
      <c r="J380" s="19" t="inlineStr">
        <is>
          <t>No</t>
        </is>
      </c>
      <c r="K380" s="19" t="inlineStr">
        <is>
          <t>No</t>
        </is>
      </c>
      <c r="L380" s="19" t="n">
        <v>104512</v>
      </c>
      <c r="M380" s="19" t="inlineStr">
        <is>
          <t>RX700212</t>
        </is>
      </c>
      <c r="N380" s="19" t="inlineStr">
        <is>
          <t>C</t>
        </is>
      </c>
      <c r="O380" s="20" t="inlineStr">
        <is>
          <t>Vendor name match only (similarity 0.00)</t>
        </is>
      </c>
      <c r="P380" s="19" t="inlineStr">
        <is>
          <t>381051</t>
        </is>
      </c>
      <c r="Q380" s="19" t="inlineStr">
        <is>
          <t>Service Sanitation Inc.</t>
        </is>
      </c>
      <c r="R380" s="31" t="n">
        <v>46203</v>
      </c>
      <c r="S380" s="19" t="inlineStr">
        <is>
          <t>BID</t>
        </is>
      </c>
      <c r="T380" s="19" t="inlineStr">
        <is>
          <t>Yes</t>
        </is>
      </c>
      <c r="U380" s="19" t="inlineStr">
        <is>
          <t>No</t>
        </is>
      </c>
      <c r="V380" s="19" t="inlineStr">
        <is>
          <t>No</t>
        </is>
      </c>
      <c r="W380" s="19" t="inlineStr">
        <is>
          <t>No</t>
        </is>
      </c>
    </row>
    <row r="381">
      <c r="A381" s="19" t="n">
        <v>742887</v>
      </c>
      <c r="B381" s="31" t="n">
        <v>46231</v>
      </c>
      <c r="C381" s="19" t="inlineStr">
        <is>
          <t>DEPARTMENT OF FAMILY AND SUPPORT SERVICES</t>
        </is>
      </c>
      <c r="D381" s="19" t="inlineStr">
        <is>
          <t>Service Sanitation Inc.</t>
        </is>
      </c>
      <c r="E381" s="20" t="inlineStr">
        <is>
          <t>Exhibit B_3_7644</t>
        </is>
      </c>
      <c r="F381" s="21" t="n">
        <v>7644</v>
      </c>
      <c r="G381" s="19" t="inlineStr">
        <is>
          <t>1. Pending New Contract - Original Contract Expired. New Contract in Process</t>
        </is>
      </c>
      <c r="H381" s="19" t="inlineStr">
        <is>
          <t>A. Specification Development Phase</t>
        </is>
      </c>
      <c r="I381" s="19" t="inlineStr">
        <is>
          <t>APPROVED</t>
        </is>
      </c>
      <c r="J381" s="19" t="inlineStr">
        <is>
          <t>No</t>
        </is>
      </c>
      <c r="K381" s="19" t="inlineStr">
        <is>
          <t>Yes</t>
        </is>
      </c>
      <c r="L381" s="19" t="n">
        <v>348927</v>
      </c>
      <c r="M381" s="19" t="inlineStr">
        <is>
          <t>VDSANITATION</t>
        </is>
      </c>
      <c r="N381" s="19" t="inlineStr">
        <is>
          <t>A</t>
        </is>
      </c>
      <c r="O381" s="20" t="inlineStr">
        <is>
          <t>Contract number link: reported number = awarded PO</t>
        </is>
      </c>
      <c r="P381" s="19" t="inlineStr">
        <is>
          <t>381051</t>
        </is>
      </c>
      <c r="Q381" s="19" t="inlineStr">
        <is>
          <t>Service Sanitation Inc.</t>
        </is>
      </c>
      <c r="R381" s="31" t="n">
        <v>46203</v>
      </c>
      <c r="S381" s="19" t="inlineStr">
        <is>
          <t>BID</t>
        </is>
      </c>
      <c r="T381" s="19" t="inlineStr">
        <is>
          <t>Yes</t>
        </is>
      </c>
      <c r="U381" s="19" t="inlineStr">
        <is>
          <t>No</t>
        </is>
      </c>
      <c r="V381" s="19" t="inlineStr">
        <is>
          <t>Yes</t>
        </is>
      </c>
      <c r="W381" s="19" t="inlineStr">
        <is>
          <t>No</t>
        </is>
      </c>
    </row>
    <row r="382">
      <c r="A382" s="19" t="n">
        <v>728642</v>
      </c>
      <c r="B382" s="31" t="n">
        <v>46146</v>
      </c>
      <c r="C382" s="19" t="inlineStr">
        <is>
          <t>DEPARTMENT OF FLEET AND FACILITY MANAGEMENT</t>
        </is>
      </c>
      <c r="D382" s="19" t="inlineStr">
        <is>
          <t>RUNNION EQUIPMENT CO</t>
        </is>
      </c>
      <c r="E382" s="20" t="inlineStr">
        <is>
          <t>We currently do not have a contract in place due to City Utility (PO # 17836) no longer performing this work for us. These aerial bucket trucks are used by CDOT (street light and traffic signal installation and repair), Streets &amp; Sanitation</t>
        </is>
      </c>
      <c r="F382" s="21" t="n">
        <v>8854.860000000001</v>
      </c>
      <c r="G382" s="19" t="inlineStr">
        <is>
          <t>1. Pending New Contract - Original Contract Expired. New Contract in Process</t>
        </is>
      </c>
      <c r="H382" s="19" t="inlineStr">
        <is>
          <t>B. City Law Review</t>
        </is>
      </c>
      <c r="I382" s="19" t="inlineStr">
        <is>
          <t>APPROVED</t>
        </is>
      </c>
      <c r="J382" s="19" t="inlineStr">
        <is>
          <t>Yes</t>
        </is>
      </c>
      <c r="K382" s="19" t="inlineStr">
        <is>
          <t>No</t>
        </is>
      </c>
      <c r="L382" s="19" t="inlineStr"/>
      <c r="M382" s="19" t="inlineStr">
        <is>
          <t>RX590958</t>
        </is>
      </c>
      <c r="N382" s="19" t="inlineStr">
        <is>
          <t>E</t>
        </is>
      </c>
      <c r="O382" s="20" t="inlineStr">
        <is>
          <t>No linkage found in awarded contract file</t>
        </is>
      </c>
      <c r="P382" s="19" t="inlineStr"/>
      <c r="Q382" s="19" t="inlineStr"/>
      <c r="R382" s="31" t="inlineStr"/>
      <c r="S382" s="19" t="inlineStr"/>
      <c r="T382" s="19" t="inlineStr">
        <is>
          <t>No</t>
        </is>
      </c>
      <c r="U382" s="19" t="inlineStr">
        <is>
          <t>No</t>
        </is>
      </c>
      <c r="V382" s="19" t="inlineStr">
        <is>
          <t>No</t>
        </is>
      </c>
      <c r="W382" s="19" t="inlineStr">
        <is>
          <t>Yes</t>
        </is>
      </c>
    </row>
    <row r="383">
      <c r="A383" s="19" t="n">
        <v>722385</v>
      </c>
      <c r="B383" s="31" t="n">
        <v>46119</v>
      </c>
      <c r="C383" s="19" t="inlineStr">
        <is>
          <t>DEPARTMENT OF FLEET AND FACILITY MANAGEMENT</t>
        </is>
      </c>
      <c r="D383" s="19" t="inlineStr">
        <is>
          <t>DAYSPRING PROFESSIONAL JANITOR</t>
        </is>
      </c>
      <c r="E383" s="20" t="inlineStr">
        <is>
          <t>There was an active contract for Comprehensive Custodial Services for Zones 1, 2, and 4, which expire on February 13, 2026.  2FM previously submitted a modification request for a time extension and vendor limit increase (VLI) under RX 680</t>
        </is>
      </c>
      <c r="F383" s="21" t="n">
        <v>124384.84</v>
      </c>
      <c r="G383" s="19" t="inlineStr">
        <is>
          <t>1. Pending New Contract - Original Contract Expired. New Contract in Process</t>
        </is>
      </c>
      <c r="H383" s="19" t="inlineStr">
        <is>
          <t>A. Specification Development Phase</t>
        </is>
      </c>
      <c r="I383" s="19" t="inlineStr">
        <is>
          <t>APPROVED</t>
        </is>
      </c>
      <c r="J383" s="19" t="inlineStr">
        <is>
          <t>Yes</t>
        </is>
      </c>
      <c r="K383" s="19" t="inlineStr">
        <is>
          <t>No</t>
        </is>
      </c>
      <c r="L383" s="19" t="inlineStr"/>
      <c r="M383" s="19" t="inlineStr">
        <is>
          <t>RX624331</t>
        </is>
      </c>
      <c r="N383" s="19" t="inlineStr">
        <is>
          <t>E</t>
        </is>
      </c>
      <c r="O383" s="20" t="inlineStr">
        <is>
          <t>No linkage found in awarded contract file</t>
        </is>
      </c>
      <c r="P383" s="19" t="inlineStr"/>
      <c r="Q383" s="19" t="inlineStr"/>
      <c r="R383" s="31" t="inlineStr"/>
      <c r="S383" s="19" t="inlineStr"/>
      <c r="T383" s="19" t="inlineStr">
        <is>
          <t>No</t>
        </is>
      </c>
      <c r="U383" s="19" t="inlineStr">
        <is>
          <t>No</t>
        </is>
      </c>
      <c r="V383" s="19" t="inlineStr">
        <is>
          <t>No</t>
        </is>
      </c>
      <c r="W383" s="19" t="inlineStr">
        <is>
          <t>Yes</t>
        </is>
      </c>
    </row>
    <row r="384">
      <c r="A384" s="19" t="n">
        <v>720550</v>
      </c>
      <c r="B384" s="31" t="n">
        <v>46107</v>
      </c>
      <c r="C384" s="19" t="inlineStr">
        <is>
          <t>DEPARTMENT OF FLEET AND FACILITY MANAGEMENT</t>
        </is>
      </c>
      <c r="D384" s="19" t="inlineStr">
        <is>
          <t>ABM INDUSTRY GROUPS, LLC</t>
        </is>
      </c>
      <c r="E384" s="20" t="inlineStr">
        <is>
          <t>FFM submitted a new Request for Proposals for Target Market Comprehensive Custodial Services to DPS on July 25, 2025, under Specification No. 1307455 / RX 624331.</t>
        </is>
      </c>
      <c r="F384" s="21" t="n">
        <v>73189</v>
      </c>
      <c r="G384" s="19" t="inlineStr">
        <is>
          <t>1. Pending New Contract - Original Contract Expired. New Contract in Process</t>
        </is>
      </c>
      <c r="H384" s="19" t="inlineStr">
        <is>
          <t>A. Specification Development Phase</t>
        </is>
      </c>
      <c r="I384" s="19" t="inlineStr">
        <is>
          <t>APPROVED</t>
        </is>
      </c>
      <c r="J384" s="19" t="inlineStr">
        <is>
          <t>Yes</t>
        </is>
      </c>
      <c r="K384" s="19" t="inlineStr">
        <is>
          <t>No</t>
        </is>
      </c>
      <c r="L384" s="19" t="inlineStr"/>
      <c r="M384" s="19" t="inlineStr">
        <is>
          <t>RX624331</t>
        </is>
      </c>
      <c r="N384" s="19" t="inlineStr">
        <is>
          <t>E</t>
        </is>
      </c>
      <c r="O384" s="20" t="inlineStr">
        <is>
          <t>No linkage found in awarded contract file</t>
        </is>
      </c>
      <c r="P384" s="19" t="inlineStr"/>
      <c r="Q384" s="19" t="inlineStr"/>
      <c r="R384" s="31" t="inlineStr"/>
      <c r="S384" s="19" t="inlineStr"/>
      <c r="T384" s="19" t="inlineStr">
        <is>
          <t>No</t>
        </is>
      </c>
      <c r="U384" s="19" t="inlineStr">
        <is>
          <t>No</t>
        </is>
      </c>
      <c r="V384" s="19" t="inlineStr">
        <is>
          <t>No</t>
        </is>
      </c>
      <c r="W384" s="19" t="inlineStr">
        <is>
          <t>Yes</t>
        </is>
      </c>
    </row>
    <row r="385">
      <c r="A385" s="19" t="n">
        <v>721733</v>
      </c>
      <c r="B385" s="31" t="n">
        <v>46107</v>
      </c>
      <c r="C385" s="19" t="inlineStr">
        <is>
          <t>DEPARTMENT OF FLEET AND FACILITY MANAGEMENT</t>
        </is>
      </c>
      <c r="D385" s="19" t="inlineStr">
        <is>
          <t>ABM INDUSTRY GROUPS, LLC</t>
        </is>
      </c>
      <c r="E385" s="20" t="inlineStr">
        <is>
          <t>There was an active contract for Comprehensive Custodial Services for Zones 1, 2, and 4, which expire on February 13, 2026.  2FM previously submitted a modification request for a time extension and vendor limit increase (VLI) under RX 68067</t>
        </is>
      </c>
      <c r="F385" s="21" t="n">
        <v>178463.76</v>
      </c>
      <c r="G385" s="19" t="inlineStr">
        <is>
          <t>1. Pending New Contract - Original Contract Expired. New Contract in Process</t>
        </is>
      </c>
      <c r="H385" s="19" t="inlineStr">
        <is>
          <t>A. Specification Development Phase</t>
        </is>
      </c>
      <c r="I385" s="19" t="inlineStr">
        <is>
          <t>APPROVED</t>
        </is>
      </c>
      <c r="J385" s="19" t="inlineStr">
        <is>
          <t>Yes</t>
        </is>
      </c>
      <c r="K385" s="19" t="inlineStr">
        <is>
          <t>No</t>
        </is>
      </c>
      <c r="L385" s="19" t="inlineStr"/>
      <c r="M385" s="19" t="inlineStr">
        <is>
          <t>RX624331</t>
        </is>
      </c>
      <c r="N385" s="19" t="inlineStr">
        <is>
          <t>E</t>
        </is>
      </c>
      <c r="O385" s="20" t="inlineStr">
        <is>
          <t>No linkage found in awarded contract file</t>
        </is>
      </c>
      <c r="P385" s="19" t="inlineStr"/>
      <c r="Q385" s="19" t="inlineStr"/>
      <c r="R385" s="31" t="inlineStr"/>
      <c r="S385" s="19" t="inlineStr"/>
      <c r="T385" s="19" t="inlineStr">
        <is>
          <t>No</t>
        </is>
      </c>
      <c r="U385" s="19" t="inlineStr">
        <is>
          <t>No</t>
        </is>
      </c>
      <c r="V385" s="19" t="inlineStr">
        <is>
          <t>No</t>
        </is>
      </c>
      <c r="W385" s="19" t="inlineStr">
        <is>
          <t>Yes</t>
        </is>
      </c>
    </row>
    <row r="386">
      <c r="A386" s="19" t="n">
        <v>714471</v>
      </c>
      <c r="B386" s="31" t="n">
        <v>46070</v>
      </c>
      <c r="C386" s="19" t="inlineStr">
        <is>
          <t>DEPARTMENT OF FLEET AND FACILITY MANAGEMENT</t>
        </is>
      </c>
      <c r="D386" s="19" t="inlineStr">
        <is>
          <t>WISS, JANNEY, ELSTNER, &amp; ASSOCIATES, INC.</t>
        </is>
      </c>
      <c r="E386" s="20" t="inlineStr">
        <is>
          <t>Current Spec 127930's Scope of services for this Exhibit B is outside of the current contract. Additional language was added to the new Specification for A/E, Spec#132104 Req.#607835, to address this scope gap in the future. Spec#132104 Req</t>
        </is>
      </c>
      <c r="F386" s="21" t="n">
        <v>14500</v>
      </c>
      <c r="G386" s="19" t="inlineStr">
        <is>
          <t>1. Pending New Contract - Original Contract Expired. New Contract in Process</t>
        </is>
      </c>
      <c r="H386" s="19" t="inlineStr">
        <is>
          <t>H. One Time Purchase</t>
        </is>
      </c>
      <c r="I386" s="19" t="inlineStr">
        <is>
          <t>APPROVED</t>
        </is>
      </c>
      <c r="J386" s="19" t="inlineStr">
        <is>
          <t>Yes</t>
        </is>
      </c>
      <c r="K386" s="19" t="inlineStr">
        <is>
          <t>No</t>
        </is>
      </c>
      <c r="L386" s="19" t="n">
        <v>203199</v>
      </c>
      <c r="M386" s="19" t="inlineStr">
        <is>
          <t>RX607835</t>
        </is>
      </c>
      <c r="N386" s="19" t="inlineStr">
        <is>
          <t>E</t>
        </is>
      </c>
      <c r="O386" s="20" t="inlineStr">
        <is>
          <t>No linkage found in awarded contract file</t>
        </is>
      </c>
      <c r="P386" s="19" t="inlineStr"/>
      <c r="Q386" s="19" t="inlineStr"/>
      <c r="R386" s="31" t="inlineStr"/>
      <c r="S386" s="19" t="inlineStr"/>
      <c r="T386" s="19" t="inlineStr">
        <is>
          <t>No</t>
        </is>
      </c>
      <c r="U386" s="19" t="inlineStr">
        <is>
          <t>No</t>
        </is>
      </c>
      <c r="V386" s="19" t="inlineStr">
        <is>
          <t>No</t>
        </is>
      </c>
      <c r="W386" s="19" t="inlineStr">
        <is>
          <t>Yes</t>
        </is>
      </c>
    </row>
    <row r="387">
      <c r="A387" s="19" t="n">
        <v>711369</v>
      </c>
      <c r="B387" s="31" t="n">
        <v>46052</v>
      </c>
      <c r="C387" s="19" t="inlineStr">
        <is>
          <t>DEPARTMENT OF FLEET AND FACILITY MANAGEMENT</t>
        </is>
      </c>
      <c r="D387" s="19" t="inlineStr">
        <is>
          <t>ABC Humane Wildlife Control &amp; Prevention, Inc.</t>
        </is>
      </c>
      <c r="E387" s="20" t="inlineStr">
        <is>
          <t>Revised Invoice # 2967C</t>
        </is>
      </c>
      <c r="F387" s="21" t="n">
        <v>16662.04</v>
      </c>
      <c r="G387" s="19" t="inlineStr">
        <is>
          <t>1. Pending New Contract - Original Contract Expired. New Contract in Process</t>
        </is>
      </c>
      <c r="H387" s="19" t="inlineStr">
        <is>
          <t>A. Specification Development Phase</t>
        </is>
      </c>
      <c r="I387" s="19" t="inlineStr">
        <is>
          <t>APPROVED</t>
        </is>
      </c>
      <c r="J387" s="19" t="inlineStr">
        <is>
          <t>No</t>
        </is>
      </c>
      <c r="K387" s="19" t="inlineStr">
        <is>
          <t>No</t>
        </is>
      </c>
      <c r="L387" s="19" t="inlineStr"/>
      <c r="M387" s="19" t="inlineStr">
        <is>
          <t>RX682957</t>
        </is>
      </c>
      <c r="N387" s="19" t="inlineStr">
        <is>
          <t>E</t>
        </is>
      </c>
      <c r="O387" s="20" t="inlineStr">
        <is>
          <t>No linkage found in awarded contract file</t>
        </is>
      </c>
      <c r="P387" s="19" t="inlineStr"/>
      <c r="Q387" s="19" t="inlineStr"/>
      <c r="R387" s="31" t="inlineStr"/>
      <c r="S387" s="19" t="inlineStr"/>
      <c r="T387" s="19" t="inlineStr">
        <is>
          <t>No</t>
        </is>
      </c>
      <c r="U387" s="19" t="inlineStr">
        <is>
          <t>No</t>
        </is>
      </c>
      <c r="V387" s="19" t="inlineStr">
        <is>
          <t>No</t>
        </is>
      </c>
      <c r="W387" s="19" t="inlineStr">
        <is>
          <t>No</t>
        </is>
      </c>
    </row>
    <row r="388">
      <c r="A388" s="19" t="n">
        <v>726125</v>
      </c>
      <c r="B388" s="31" t="n">
        <v>46136</v>
      </c>
      <c r="C388" s="19" t="inlineStr">
        <is>
          <t>DEPARTMENT OF FLEET AND FACILITY MANAGEMENT</t>
        </is>
      </c>
      <c r="D388" s="19" t="inlineStr">
        <is>
          <t>ABM INDUSTRY GROUPS, LLC</t>
        </is>
      </c>
      <c r="E388" s="20" t="inlineStr">
        <is>
          <t>There was an active contract for Comprehensive Custodial Services for Zones 1, 2, and 4, which expire on February 13, 2026. 2FM previously submitted a modification request for a time extension and vendor limit increase (VLI) under RX 680</t>
        </is>
      </c>
      <c r="F388" s="21" t="n">
        <v>1968154.34</v>
      </c>
      <c r="G388" s="19" t="inlineStr">
        <is>
          <t>1. Pending New Contract - Original Contract Expired. New Contract in Process</t>
        </is>
      </c>
      <c r="H388" s="19" t="inlineStr">
        <is>
          <t>A. Specification Development Phase</t>
        </is>
      </c>
      <c r="I388" s="19" t="inlineStr">
        <is>
          <t>APPROVED</t>
        </is>
      </c>
      <c r="J388" s="19" t="inlineStr">
        <is>
          <t>Yes</t>
        </is>
      </c>
      <c r="K388" s="19" t="inlineStr">
        <is>
          <t>No</t>
        </is>
      </c>
      <c r="L388" s="19" t="inlineStr"/>
      <c r="M388" s="19" t="inlineStr">
        <is>
          <t>RX624331</t>
        </is>
      </c>
      <c r="N388" s="19" t="inlineStr">
        <is>
          <t>E</t>
        </is>
      </c>
      <c r="O388" s="20" t="inlineStr">
        <is>
          <t>No linkage found in awarded contract file</t>
        </is>
      </c>
      <c r="P388" s="19" t="inlineStr"/>
      <c r="Q388" s="19" t="inlineStr"/>
      <c r="R388" s="31" t="inlineStr"/>
      <c r="S388" s="19" t="inlineStr"/>
      <c r="T388" s="19" t="inlineStr">
        <is>
          <t>No</t>
        </is>
      </c>
      <c r="U388" s="19" t="inlineStr">
        <is>
          <t>No</t>
        </is>
      </c>
      <c r="V388" s="19" t="inlineStr">
        <is>
          <t>No</t>
        </is>
      </c>
      <c r="W388" s="19" t="inlineStr">
        <is>
          <t>Yes</t>
        </is>
      </c>
    </row>
    <row r="389">
      <c r="A389" s="19" t="n">
        <v>730296</v>
      </c>
      <c r="B389" s="31" t="n">
        <v>46162</v>
      </c>
      <c r="C389" s="19" t="inlineStr">
        <is>
          <t>DEPARTMENT OF FLEET AND FACILITY MANAGEMENT</t>
        </is>
      </c>
      <c r="D389" s="19" t="inlineStr">
        <is>
          <t>LYNCH CHICAGO</t>
        </is>
      </c>
      <c r="E389" s="20" t="inlineStr">
        <is>
          <t>Lynch ChicagoÂ¿s contract (PO 33814) for Self-Loading Wheel Lift Tow Trucks, Car Carriers, and related repairs expired on 7/25/25. Fleet placed the 2025 vehicle order prior to the contract expiration; however, the contract was allowed to lap</t>
        </is>
      </c>
      <c r="F389" s="21" t="n">
        <v>1889.29</v>
      </c>
      <c r="G389" s="19" t="inlineStr">
        <is>
          <t>1. Pending New Contract - Original Contract Expired. New Contract in Process</t>
        </is>
      </c>
      <c r="H389" s="19" t="inlineStr">
        <is>
          <t>B. City Law Review</t>
        </is>
      </c>
      <c r="I389" s="19" t="inlineStr">
        <is>
          <t>APPROVED</t>
        </is>
      </c>
      <c r="J389" s="19" t="inlineStr">
        <is>
          <t>Yes</t>
        </is>
      </c>
      <c r="K389" s="19" t="inlineStr">
        <is>
          <t>No</t>
        </is>
      </c>
      <c r="L389" s="19" t="inlineStr"/>
      <c r="M389" s="19" t="inlineStr">
        <is>
          <t>RX590958</t>
        </is>
      </c>
      <c r="N389" s="19" t="inlineStr">
        <is>
          <t>E</t>
        </is>
      </c>
      <c r="O389" s="20" t="inlineStr">
        <is>
          <t>No linkage found in awarded contract file</t>
        </is>
      </c>
      <c r="P389" s="19" t="inlineStr"/>
      <c r="Q389" s="19" t="inlineStr"/>
      <c r="R389" s="31" t="inlineStr"/>
      <c r="S389" s="19" t="inlineStr"/>
      <c r="T389" s="19" t="inlineStr">
        <is>
          <t>No</t>
        </is>
      </c>
      <c r="U389" s="19" t="inlineStr">
        <is>
          <t>No</t>
        </is>
      </c>
      <c r="V389" s="19" t="inlineStr">
        <is>
          <t>No</t>
        </is>
      </c>
      <c r="W389" s="19" t="inlineStr">
        <is>
          <t>Yes</t>
        </is>
      </c>
    </row>
    <row r="390">
      <c r="A390" s="19" t="n">
        <v>729089</v>
      </c>
      <c r="B390" s="31" t="n">
        <v>46147</v>
      </c>
      <c r="C390" s="19" t="inlineStr">
        <is>
          <t>DEPARTMENT OF FLEET AND FACILITY MANAGEMENT</t>
        </is>
      </c>
      <c r="D390" s="19" t="inlineStr">
        <is>
          <t>RAE PRODUCTS &amp; CHEMICALS CORP.</t>
        </is>
      </c>
      <c r="E390" s="20" t="inlineStr">
        <is>
          <t>S&amp;S Lead Dept.  2FM utilizes PO 92930 for the Purchase of Paint Products and Accessories.  The contract expired on 3/7/25.   S&amp;S submitted a replacement spec under Spec. 1322693, RX. 724825. 2FM will need to pay for these services via an Ex</t>
        </is>
      </c>
      <c r="F390" s="21" t="n">
        <v>46777.11</v>
      </c>
      <c r="G390" s="19" t="inlineStr">
        <is>
          <t>1. Pending New Contract - Original Contract Expired. New Contract in Process</t>
        </is>
      </c>
      <c r="H390" s="19" t="inlineStr">
        <is>
          <t>A. Specification Development Phase</t>
        </is>
      </c>
      <c r="I390" s="19" t="inlineStr">
        <is>
          <t>APPROVED</t>
        </is>
      </c>
      <c r="J390" s="19" t="inlineStr">
        <is>
          <t>No</t>
        </is>
      </c>
      <c r="K390" s="19" t="inlineStr">
        <is>
          <t>No</t>
        </is>
      </c>
      <c r="L390" s="19" t="inlineStr">
        <is>
          <t>TBD</t>
        </is>
      </c>
      <c r="M390" s="19" t="inlineStr">
        <is>
          <t>RX724825</t>
        </is>
      </c>
      <c r="N390" s="19" t="inlineStr">
        <is>
          <t>E</t>
        </is>
      </c>
      <c r="O390" s="20" t="inlineStr">
        <is>
          <t>No linkage found in awarded contract file</t>
        </is>
      </c>
      <c r="P390" s="19" t="inlineStr"/>
      <c r="Q390" s="19" t="inlineStr"/>
      <c r="R390" s="31" t="inlineStr"/>
      <c r="S390" s="19" t="inlineStr"/>
      <c r="T390" s="19" t="inlineStr">
        <is>
          <t>No</t>
        </is>
      </c>
      <c r="U390" s="19" t="inlineStr">
        <is>
          <t>No</t>
        </is>
      </c>
      <c r="V390" s="19" t="inlineStr">
        <is>
          <t>No</t>
        </is>
      </c>
      <c r="W390" s="19" t="inlineStr">
        <is>
          <t>No</t>
        </is>
      </c>
    </row>
    <row r="391">
      <c r="A391" s="19" t="n">
        <v>728657</v>
      </c>
      <c r="B391" s="31" t="n">
        <v>46191</v>
      </c>
      <c r="C391" s="19" t="inlineStr">
        <is>
          <t>CHICAGO ANIMAL CARE AND CONTROL</t>
        </is>
      </c>
      <c r="D391" s="19" t="inlineStr">
        <is>
          <t>LEGEND &amp; WHITE ANIMAL HEALTH</t>
        </is>
      </c>
      <c r="E391" s="20" t="inlineStr">
        <is>
          <t>Animal Care Supplies Jan-Mar 2026</t>
        </is>
      </c>
      <c r="F391" s="21" t="n">
        <v>20176.4</v>
      </c>
      <c r="G391" s="19" t="inlineStr">
        <is>
          <t>1. Pending New Contract - Original Contract Expired. New Contract in Process</t>
        </is>
      </c>
      <c r="H391" s="19" t="inlineStr">
        <is>
          <t>A. Specification Development Phase</t>
        </is>
      </c>
      <c r="I391" s="19" t="inlineStr">
        <is>
          <t>DENIED</t>
        </is>
      </c>
      <c r="J391" s="19" t="inlineStr">
        <is>
          <t>No</t>
        </is>
      </c>
      <c r="K391" s="19" t="inlineStr">
        <is>
          <t>No</t>
        </is>
      </c>
      <c r="L391" s="19" t="inlineStr"/>
      <c r="M391" s="19" t="inlineStr">
        <is>
          <t>VDLEGEND WHITE ANIMAL HEALTH</t>
        </is>
      </c>
      <c r="N391" s="19" t="inlineStr">
        <is>
          <t>E</t>
        </is>
      </c>
      <c r="O391" s="20" t="inlineStr">
        <is>
          <t>No linkage found in awarded contract file</t>
        </is>
      </c>
      <c r="P391" s="19" t="inlineStr"/>
      <c r="Q391" s="19" t="inlineStr"/>
      <c r="R391" s="31" t="inlineStr"/>
      <c r="S391" s="19" t="inlineStr"/>
      <c r="T391" s="19" t="inlineStr">
        <is>
          <t>No</t>
        </is>
      </c>
      <c r="U391" s="19" t="inlineStr">
        <is>
          <t>No</t>
        </is>
      </c>
      <c r="V391" s="19" t="inlineStr">
        <is>
          <t>No</t>
        </is>
      </c>
      <c r="W391" s="19" t="inlineStr">
        <is>
          <t>No</t>
        </is>
      </c>
    </row>
    <row r="392">
      <c r="A392" s="19" t="n">
        <v>728763</v>
      </c>
      <c r="B392" s="31" t="n">
        <v>46191</v>
      </c>
      <c r="C392" s="19" t="inlineStr">
        <is>
          <t>CHICAGO ANIMAL CARE AND CONTROL</t>
        </is>
      </c>
      <c r="D392" s="19" t="inlineStr">
        <is>
          <t>MIDWEST VETERINARY SUPPLY, INC.</t>
        </is>
      </c>
      <c r="E392" s="20" t="inlineStr">
        <is>
          <t>VETERINARY CLEANING SUPPLIES</t>
        </is>
      </c>
      <c r="F392" s="21" t="n">
        <v>4120.71</v>
      </c>
      <c r="G392" s="19" t="inlineStr">
        <is>
          <t>1. Pending New Contract - Original Contract Expired. New Contract in Process</t>
        </is>
      </c>
      <c r="H392" s="19" t="inlineStr">
        <is>
          <t>B. City Law Review</t>
        </is>
      </c>
      <c r="I392" s="19" t="inlineStr">
        <is>
          <t>DENIED</t>
        </is>
      </c>
      <c r="J392" s="19" t="inlineStr">
        <is>
          <t>Yes</t>
        </is>
      </c>
      <c r="K392" s="19" t="inlineStr">
        <is>
          <t>No</t>
        </is>
      </c>
      <c r="L392" s="19" t="inlineStr">
        <is>
          <t>NO</t>
        </is>
      </c>
      <c r="M392" s="19" t="inlineStr">
        <is>
          <t>RX428355</t>
        </is>
      </c>
      <c r="N392" s="19" t="inlineStr">
        <is>
          <t>E</t>
        </is>
      </c>
      <c r="O392" s="20" t="inlineStr">
        <is>
          <t>No linkage found in awarded contract file</t>
        </is>
      </c>
      <c r="P392" s="19" t="inlineStr"/>
      <c r="Q392" s="19" t="inlineStr"/>
      <c r="R392" s="31" t="inlineStr"/>
      <c r="S392" s="19" t="inlineStr"/>
      <c r="T392" s="19" t="inlineStr">
        <is>
          <t>No</t>
        </is>
      </c>
      <c r="U392" s="19" t="inlineStr">
        <is>
          <t>No</t>
        </is>
      </c>
      <c r="V392" s="19" t="inlineStr">
        <is>
          <t>No</t>
        </is>
      </c>
      <c r="W392" s="19" t="inlineStr">
        <is>
          <t>Yes</t>
        </is>
      </c>
    </row>
    <row r="393">
      <c r="A393" s="19" t="n">
        <v>708680</v>
      </c>
      <c r="B393" s="31" t="n">
        <v>46052</v>
      </c>
      <c r="C393" s="19" t="inlineStr">
        <is>
          <t>CHICAGO DEPARTMENT OF PUBLIC HEALTH</t>
        </is>
      </c>
      <c r="D393" s="19" t="inlineStr">
        <is>
          <t>Youth Marketing Connection LLC</t>
        </is>
      </c>
      <c r="E393" s="20" t="inlineStr">
        <is>
          <t>Web hosting &amp; transition, storage fees for Me &amp; Nic Broke Up,</t>
        </is>
      </c>
      <c r="F393" s="21" t="n">
        <v>1956.4</v>
      </c>
      <c r="G393" s="19" t="inlineStr">
        <is>
          <t>3. One Time Purchase</t>
        </is>
      </c>
      <c r="H393" s="19" t="inlineStr">
        <is>
          <t>H. One Time Purchase</t>
        </is>
      </c>
      <c r="I393" s="19" t="inlineStr">
        <is>
          <t>APPROVED</t>
        </is>
      </c>
      <c r="J393" s="19" t="inlineStr">
        <is>
          <t>No</t>
        </is>
      </c>
      <c r="K393" s="19" t="inlineStr">
        <is>
          <t>No</t>
        </is>
      </c>
      <c r="L393" s="19" t="inlineStr"/>
      <c r="M393" s="19" t="inlineStr">
        <is>
          <t>VDYOUTH MARKETING CONNECTION</t>
        </is>
      </c>
      <c r="N393" s="19" t="inlineStr">
        <is>
          <t>E</t>
        </is>
      </c>
      <c r="O393" s="20" t="inlineStr">
        <is>
          <t>No linkage found in awarded contract file</t>
        </is>
      </c>
      <c r="P393" s="19" t="inlineStr"/>
      <c r="Q393" s="19" t="inlineStr"/>
      <c r="R393" s="31" t="inlineStr"/>
      <c r="S393" s="19" t="inlineStr"/>
      <c r="T393" s="19" t="inlineStr">
        <is>
          <t>No</t>
        </is>
      </c>
      <c r="U393" s="19" t="inlineStr">
        <is>
          <t>No</t>
        </is>
      </c>
      <c r="V393" s="19" t="inlineStr">
        <is>
          <t>No</t>
        </is>
      </c>
      <c r="W393" s="19" t="inlineStr">
        <is>
          <t>No</t>
        </is>
      </c>
    </row>
    <row r="394">
      <c r="A394" s="19" t="n">
        <v>725196</v>
      </c>
      <c r="B394" s="31" t="n">
        <v>46136</v>
      </c>
      <c r="C394" s="19" t="inlineStr">
        <is>
          <t>CHICAGO POLICE DEPARTMENT</t>
        </is>
      </c>
      <c r="D394" s="19" t="inlineStr">
        <is>
          <t xml:space="preserve">REPUBLIC SERVICES INC </t>
        </is>
      </c>
      <c r="E394" s="20" t="inlineStr">
        <is>
          <t>Republic Services Inv# 0710-005835139</t>
        </is>
      </c>
      <c r="F394" s="21" t="n">
        <v>4039.62</v>
      </c>
      <c r="G394" s="19" t="inlineStr">
        <is>
          <t>1. Pending New Contract - Original Contract Expired. New Contract in Process</t>
        </is>
      </c>
      <c r="H394" s="19" t="inlineStr">
        <is>
          <t>A. Specification Development Phase</t>
        </is>
      </c>
      <c r="I394" s="19" t="inlineStr">
        <is>
          <t>APPROVED</t>
        </is>
      </c>
      <c r="J394" s="19" t="inlineStr">
        <is>
          <t>Yes</t>
        </is>
      </c>
      <c r="K394" s="19" t="inlineStr">
        <is>
          <t>No</t>
        </is>
      </c>
      <c r="L394" s="19" t="inlineStr"/>
      <c r="M394" s="19" t="inlineStr">
        <is>
          <t>RX669739</t>
        </is>
      </c>
      <c r="N394" s="19" t="inlineStr">
        <is>
          <t>E</t>
        </is>
      </c>
      <c r="O394" s="20" t="inlineStr">
        <is>
          <t>No linkage found in awarded contract file</t>
        </is>
      </c>
      <c r="P394" s="19" t="inlineStr"/>
      <c r="Q394" s="19" t="inlineStr"/>
      <c r="R394" s="31" t="inlineStr"/>
      <c r="S394" s="19" t="inlineStr"/>
      <c r="T394" s="19" t="inlineStr">
        <is>
          <t>No</t>
        </is>
      </c>
      <c r="U394" s="19" t="inlineStr">
        <is>
          <t>No</t>
        </is>
      </c>
      <c r="V394" s="19" t="inlineStr">
        <is>
          <t>No</t>
        </is>
      </c>
      <c r="W394" s="19" t="inlineStr">
        <is>
          <t>Yes</t>
        </is>
      </c>
    </row>
    <row r="395">
      <c r="A395" s="19" t="n">
        <v>735629</v>
      </c>
      <c r="B395" s="31" t="n">
        <v>46189</v>
      </c>
      <c r="C395" s="19" t="inlineStr">
        <is>
          <t>DEPARTMENT OF STREETS AND SANITATION</t>
        </is>
      </c>
      <c r="D395" s="19" t="inlineStr">
        <is>
          <t>BLUETRITON BRANDS INC</t>
        </is>
      </c>
      <c r="E395" s="20" t="inlineStr">
        <is>
          <t>Ice Mountain Brand drinking water</t>
        </is>
      </c>
      <c r="F395" s="21" t="n">
        <v>42.52</v>
      </c>
      <c r="G395" s="19" t="inlineStr">
        <is>
          <t>1. Pending New Contract - Original Contract Expired. New Contract in Process</t>
        </is>
      </c>
      <c r="H395" s="19" t="inlineStr">
        <is>
          <t>B. City Law Review</t>
        </is>
      </c>
      <c r="I395" s="19" t="inlineStr">
        <is>
          <t>APPROVED</t>
        </is>
      </c>
      <c r="J395" s="19" t="inlineStr">
        <is>
          <t>Yes</t>
        </is>
      </c>
      <c r="K395" s="19" t="inlineStr">
        <is>
          <t>No</t>
        </is>
      </c>
      <c r="L395" s="19" t="n">
        <v>0</v>
      </c>
      <c r="M395" s="19" t="inlineStr">
        <is>
          <t>RX676831</t>
        </is>
      </c>
      <c r="N395" s="19" t="inlineStr">
        <is>
          <t>E</t>
        </is>
      </c>
      <c r="O395" s="20" t="inlineStr">
        <is>
          <t>No linkage found in awarded contract file</t>
        </is>
      </c>
      <c r="P395" s="19" t="inlineStr"/>
      <c r="Q395" s="19" t="inlineStr"/>
      <c r="R395" s="31" t="inlineStr"/>
      <c r="S395" s="19" t="inlineStr"/>
      <c r="T395" s="19" t="inlineStr">
        <is>
          <t>No</t>
        </is>
      </c>
      <c r="U395" s="19" t="inlineStr">
        <is>
          <t>No</t>
        </is>
      </c>
      <c r="V395" s="19" t="inlineStr">
        <is>
          <t>No</t>
        </is>
      </c>
      <c r="W395" s="19" t="inlineStr">
        <is>
          <t>Yes</t>
        </is>
      </c>
    </row>
    <row r="396">
      <c r="A396" s="19" t="n">
        <v>719664</v>
      </c>
      <c r="B396" s="31" t="n">
        <v>46097</v>
      </c>
      <c r="C396" s="19" t="inlineStr">
        <is>
          <t>DEPARTMENT OF STREETS AND SANITATION</t>
        </is>
      </c>
      <c r="D396" s="19" t="inlineStr">
        <is>
          <t>BLUETRITON BRANDS INC</t>
        </is>
      </c>
      <c r="E396" s="20" t="inlineStr">
        <is>
          <t>Ice Mountain Brand drinking water</t>
        </is>
      </c>
      <c r="F396" s="21" t="n">
        <v>32.05</v>
      </c>
      <c r="G396" s="19" t="inlineStr">
        <is>
          <t>1. Pending New Contract - Original Contract Expired. New Contract in Process</t>
        </is>
      </c>
      <c r="H396" s="19" t="inlineStr">
        <is>
          <t>B. City Law Review</t>
        </is>
      </c>
      <c r="I396" s="19" t="inlineStr">
        <is>
          <t>APPROVED</t>
        </is>
      </c>
      <c r="J396" s="19" t="inlineStr">
        <is>
          <t>Yes</t>
        </is>
      </c>
      <c r="K396" s="19" t="inlineStr">
        <is>
          <t>No</t>
        </is>
      </c>
      <c r="L396" s="19" t="n">
        <v>0</v>
      </c>
      <c r="M396" s="19" t="inlineStr">
        <is>
          <t>RX676831</t>
        </is>
      </c>
      <c r="N396" s="19" t="inlineStr">
        <is>
          <t>E</t>
        </is>
      </c>
      <c r="O396" s="20" t="inlineStr">
        <is>
          <t>No linkage found in awarded contract file</t>
        </is>
      </c>
      <c r="P396" s="19" t="inlineStr"/>
      <c r="Q396" s="19" t="inlineStr"/>
      <c r="R396" s="31" t="inlineStr"/>
      <c r="S396" s="19" t="inlineStr"/>
      <c r="T396" s="19" t="inlineStr">
        <is>
          <t>No</t>
        </is>
      </c>
      <c r="U396" s="19" t="inlineStr">
        <is>
          <t>No</t>
        </is>
      </c>
      <c r="V396" s="19" t="inlineStr">
        <is>
          <t>No</t>
        </is>
      </c>
      <c r="W396" s="19" t="inlineStr">
        <is>
          <t>Yes</t>
        </is>
      </c>
    </row>
    <row r="397">
      <c r="A397" s="19" t="n">
        <v>745743</v>
      </c>
      <c r="B397" s="31" t="n">
        <v>46251</v>
      </c>
      <c r="C397" s="19" t="inlineStr">
        <is>
          <t>CHICAGO DEPARTMENT OF TRANSPORTATION</t>
        </is>
      </c>
      <c r="D397" s="19" t="inlineStr">
        <is>
          <t>PALM ELECTRIC COMPANY</t>
        </is>
      </c>
      <c r="E397" s="20" t="inlineStr">
        <is>
          <t>C THRUmR DRUM BRAKE 18" SPRING SET, WAGNER FOOTPRINT, ELECTROHYDRAULIC 3PH</t>
        </is>
      </c>
      <c r="F397" s="21" t="n">
        <v>32090.83</v>
      </c>
      <c r="G397" s="19" t="inlineStr">
        <is>
          <t>1. Pending New Contract - Original Contract Expired. New Contract in Process</t>
        </is>
      </c>
      <c r="H397" s="19" t="inlineStr">
        <is>
          <t>B. City Law Review</t>
        </is>
      </c>
      <c r="I397" s="19" t="inlineStr">
        <is>
          <t>APPROVED</t>
        </is>
      </c>
      <c r="J397" s="19" t="inlineStr">
        <is>
          <t>Yes</t>
        </is>
      </c>
      <c r="K397" s="19" t="inlineStr">
        <is>
          <t>No</t>
        </is>
      </c>
      <c r="L397" s="19" t="inlineStr">
        <is>
          <t>na</t>
        </is>
      </c>
      <c r="M397" s="19" t="inlineStr">
        <is>
          <t>RX650171</t>
        </is>
      </c>
      <c r="N397" s="19" t="inlineStr">
        <is>
          <t>E</t>
        </is>
      </c>
      <c r="O397" s="20" t="inlineStr">
        <is>
          <t>No linkage found in awarded contract file</t>
        </is>
      </c>
      <c r="P397" s="19" t="inlineStr"/>
      <c r="Q397" s="19" t="inlineStr"/>
      <c r="R397" s="31" t="inlineStr"/>
      <c r="S397" s="19" t="inlineStr"/>
      <c r="T397" s="19" t="inlineStr">
        <is>
          <t>No</t>
        </is>
      </c>
      <c r="U397" s="19" t="inlineStr">
        <is>
          <t>No</t>
        </is>
      </c>
      <c r="V397" s="19" t="inlineStr">
        <is>
          <t>No</t>
        </is>
      </c>
      <c r="W397" s="19" t="inlineStr">
        <is>
          <t>Yes</t>
        </is>
      </c>
    </row>
    <row r="398">
      <c r="A398" s="19" t="n">
        <v>743037</v>
      </c>
      <c r="B398" s="31" t="n">
        <v>46231</v>
      </c>
      <c r="C398" s="19" t="inlineStr">
        <is>
          <t>CHICAGO DEPARTMENT OF TRANSPORTATION</t>
        </is>
      </c>
      <c r="D398" s="19" t="inlineStr">
        <is>
          <t>A SAFE HAVEN FOUNDATION</t>
        </is>
      </c>
      <c r="E398" s="20" t="inlineStr">
        <is>
          <t>Landscape Maintenance Services</t>
        </is>
      </c>
      <c r="F398" s="21" t="n">
        <v>27426.53</v>
      </c>
      <c r="G398" s="19" t="inlineStr">
        <is>
          <t>1. Pending New Contract - Original Contract Expired. New Contract in Process</t>
        </is>
      </c>
      <c r="H398" s="19" t="inlineStr">
        <is>
          <t>A. Specification Development Phase</t>
        </is>
      </c>
      <c r="I398" s="19" t="inlineStr">
        <is>
          <t>APPROVED</t>
        </is>
      </c>
      <c r="J398" s="19" t="inlineStr">
        <is>
          <t>Yes</t>
        </is>
      </c>
      <c r="K398" s="19" t="inlineStr">
        <is>
          <t>No</t>
        </is>
      </c>
      <c r="L398" s="19" t="inlineStr">
        <is>
          <t>na</t>
        </is>
      </c>
      <c r="M398" s="19" t="inlineStr">
        <is>
          <t>RX596443</t>
        </is>
      </c>
      <c r="N398" s="19" t="inlineStr">
        <is>
          <t>E</t>
        </is>
      </c>
      <c r="O398" s="20" t="inlineStr">
        <is>
          <t>No linkage found in awarded contract file</t>
        </is>
      </c>
      <c r="P398" s="19" t="inlineStr"/>
      <c r="Q398" s="19" t="inlineStr"/>
      <c r="R398" s="31" t="inlineStr"/>
      <c r="S398" s="19" t="inlineStr"/>
      <c r="T398" s="19" t="inlineStr">
        <is>
          <t>No</t>
        </is>
      </c>
      <c r="U398" s="19" t="inlineStr">
        <is>
          <t>No</t>
        </is>
      </c>
      <c r="V398" s="19" t="inlineStr">
        <is>
          <t>No</t>
        </is>
      </c>
      <c r="W398" s="19" t="inlineStr">
        <is>
          <t>Yes</t>
        </is>
      </c>
    </row>
    <row r="399">
      <c r="A399" s="19" t="n">
        <v>711145</v>
      </c>
      <c r="B399" s="31" t="n">
        <v>46052</v>
      </c>
      <c r="C399" s="19" t="inlineStr">
        <is>
          <t>CHICAGO DEPARTMENT OF TRANSPORTATION</t>
        </is>
      </c>
      <c r="D399" s="19" t="inlineStr">
        <is>
          <t>GRAYBAR ELECTRIC CO INC</t>
        </is>
      </c>
      <c r="E399" s="20" t="inlineStr">
        <is>
          <t>ELECTRICALPRODUCTS AND SUPPLIES</t>
        </is>
      </c>
      <c r="F399" s="21" t="n">
        <v>69314.85000000001</v>
      </c>
      <c r="G399" s="19" t="inlineStr">
        <is>
          <t>1. Pending New Contract - Original Contract Expired. New Contract in Process</t>
        </is>
      </c>
      <c r="H399" s="19" t="inlineStr">
        <is>
          <t>B. City Law Review</t>
        </is>
      </c>
      <c r="I399" s="19" t="inlineStr">
        <is>
          <t>APPROVED</t>
        </is>
      </c>
      <c r="J399" s="19" t="inlineStr">
        <is>
          <t>Yes</t>
        </is>
      </c>
      <c r="K399" s="19" t="inlineStr">
        <is>
          <t>No</t>
        </is>
      </c>
      <c r="L399" s="19" t="inlineStr">
        <is>
          <t>na</t>
        </is>
      </c>
      <c r="M399" s="19" t="inlineStr">
        <is>
          <t>RX696070</t>
        </is>
      </c>
      <c r="N399" s="19" t="inlineStr">
        <is>
          <t>E</t>
        </is>
      </c>
      <c r="O399" s="20" t="inlineStr">
        <is>
          <t>No linkage found in awarded contract file</t>
        </is>
      </c>
      <c r="P399" s="19" t="inlineStr"/>
      <c r="Q399" s="19" t="inlineStr"/>
      <c r="R399" s="31" t="inlineStr"/>
      <c r="S399" s="19" t="inlineStr"/>
      <c r="T399" s="19" t="inlineStr">
        <is>
          <t>No</t>
        </is>
      </c>
      <c r="U399" s="19" t="inlineStr">
        <is>
          <t>No</t>
        </is>
      </c>
      <c r="V399" s="19" t="inlineStr">
        <is>
          <t>No</t>
        </is>
      </c>
      <c r="W399" s="19" t="inlineStr">
        <is>
          <t>Yes</t>
        </is>
      </c>
    </row>
    <row r="400">
      <c r="A400" s="19" t="n">
        <v>723495</v>
      </c>
      <c r="B400" s="31" t="n">
        <v>46119</v>
      </c>
      <c r="C400" s="19" t="inlineStr">
        <is>
          <t>CHICAGO DEPARTMENT OF TRANSPORTATION</t>
        </is>
      </c>
      <c r="D400" s="19" t="inlineStr">
        <is>
          <t>Yellowstone Landscape, Inc</t>
        </is>
      </c>
      <c r="E400" s="20" t="inlineStr">
        <is>
          <t>Landscape Services North &amp; South LSD</t>
        </is>
      </c>
      <c r="F400" s="21" t="n">
        <v>2255</v>
      </c>
      <c r="G400" s="19" t="inlineStr">
        <is>
          <t>1. Pending New Contract - Original Contract Expired. New Contract in Process</t>
        </is>
      </c>
      <c r="H400" s="19" t="inlineStr">
        <is>
          <t>B. City Law Review</t>
        </is>
      </c>
      <c r="I400" s="19" t="inlineStr">
        <is>
          <t>APPROVED</t>
        </is>
      </c>
      <c r="J400" s="19" t="inlineStr">
        <is>
          <t>Yes</t>
        </is>
      </c>
      <c r="K400" s="19" t="inlineStr">
        <is>
          <t>No</t>
        </is>
      </c>
      <c r="L400" s="19" t="inlineStr">
        <is>
          <t>na</t>
        </is>
      </c>
      <c r="M400" s="19" t="inlineStr">
        <is>
          <t>RX635010</t>
        </is>
      </c>
      <c r="N400" s="19" t="inlineStr">
        <is>
          <t>E</t>
        </is>
      </c>
      <c r="O400" s="20" t="inlineStr">
        <is>
          <t>No linkage found in awarded contract file</t>
        </is>
      </c>
      <c r="P400" s="19" t="inlineStr"/>
      <c r="Q400" s="19" t="inlineStr"/>
      <c r="R400" s="31" t="inlineStr"/>
      <c r="S400" s="19" t="inlineStr"/>
      <c r="T400" s="19" t="inlineStr">
        <is>
          <t>No</t>
        </is>
      </c>
      <c r="U400" s="19" t="inlineStr">
        <is>
          <t>No</t>
        </is>
      </c>
      <c r="V400" s="19" t="inlineStr">
        <is>
          <t>No</t>
        </is>
      </c>
      <c r="W400" s="19" t="inlineStr">
        <is>
          <t>Yes</t>
        </is>
      </c>
    </row>
    <row r="401">
      <c r="A401" s="19" t="n">
        <v>715574</v>
      </c>
      <c r="B401" s="31" t="n">
        <v>46077</v>
      </c>
      <c r="C401" s="19" t="inlineStr">
        <is>
          <t>CHICAGO POLICE DEPARTMENT</t>
        </is>
      </c>
      <c r="D401" s="19" t="inlineStr">
        <is>
          <t>Primo Brands</t>
        </is>
      </c>
      <c r="E401" s="20" t="inlineStr">
        <is>
          <t>Water Services</t>
        </is>
      </c>
      <c r="F401" s="21" t="n">
        <v>86.93000000000001</v>
      </c>
      <c r="G401" s="19" t="inlineStr">
        <is>
          <t>1. Pending New Contract - Original Contract Expired. New Contract in Process</t>
        </is>
      </c>
      <c r="H401" s="19" t="inlineStr">
        <is>
          <t>A. Specification Development Phase</t>
        </is>
      </c>
      <c r="I401" s="19" t="inlineStr">
        <is>
          <t>APPROVED</t>
        </is>
      </c>
      <c r="J401" s="19" t="inlineStr">
        <is>
          <t>Yes</t>
        </is>
      </c>
      <c r="K401" s="19" t="inlineStr">
        <is>
          <t>No</t>
        </is>
      </c>
      <c r="L401" s="19" t="inlineStr"/>
      <c r="M401" s="19" t="inlineStr">
        <is>
          <t>RX676831</t>
        </is>
      </c>
      <c r="N401" s="19" t="inlineStr">
        <is>
          <t>E</t>
        </is>
      </c>
      <c r="O401" s="20" t="inlineStr">
        <is>
          <t>No linkage found in awarded contract file</t>
        </is>
      </c>
      <c r="P401" s="19" t="inlineStr"/>
      <c r="Q401" s="19" t="inlineStr"/>
      <c r="R401" s="31" t="inlineStr"/>
      <c r="S401" s="19" t="inlineStr"/>
      <c r="T401" s="19" t="inlineStr">
        <is>
          <t>No</t>
        </is>
      </c>
      <c r="U401" s="19" t="inlineStr">
        <is>
          <t>No</t>
        </is>
      </c>
      <c r="V401" s="19" t="inlineStr">
        <is>
          <t>No</t>
        </is>
      </c>
      <c r="W401" s="19" t="inlineStr">
        <is>
          <t>Yes</t>
        </is>
      </c>
    </row>
    <row r="402">
      <c r="A402" s="19" t="n">
        <v>740325</v>
      </c>
      <c r="B402" s="31" t="n">
        <v>46217</v>
      </c>
      <c r="C402" s="19" t="inlineStr">
        <is>
          <t>CHICAGO DEPARTMENT OF AVIATION</t>
        </is>
      </c>
      <c r="D402" s="19" t="inlineStr">
        <is>
          <t>BLUETRITON BRANDS INC</t>
        </is>
      </c>
      <c r="E402" s="20" t="inlineStr">
        <is>
          <t>Account Number: 0122238496 - Office Supplies</t>
        </is>
      </c>
      <c r="F402" s="21" t="n">
        <v>1998.44</v>
      </c>
      <c r="G402" s="19" t="inlineStr">
        <is>
          <t>1. Pending New Contract - Original Contract Expired. New Contract in Process</t>
        </is>
      </c>
      <c r="H402" s="19" t="inlineStr">
        <is>
          <t>A. Specification Development Phase</t>
        </is>
      </c>
      <c r="I402" s="19" t="inlineStr">
        <is>
          <t>APPROVED</t>
        </is>
      </c>
      <c r="J402" s="19" t="inlineStr">
        <is>
          <t>No</t>
        </is>
      </c>
      <c r="K402" s="19" t="inlineStr">
        <is>
          <t>No</t>
        </is>
      </c>
      <c r="L402" s="19" t="inlineStr"/>
      <c r="M402" s="19" t="inlineStr">
        <is>
          <t>VDBLUETRITON BRANDS</t>
        </is>
      </c>
      <c r="N402" s="19" t="inlineStr">
        <is>
          <t>E</t>
        </is>
      </c>
      <c r="O402" s="20" t="inlineStr">
        <is>
          <t>No linkage found in awarded contract file</t>
        </is>
      </c>
      <c r="P402" s="19" t="inlineStr"/>
      <c r="Q402" s="19" t="inlineStr"/>
      <c r="R402" s="31" t="inlineStr"/>
      <c r="S402" s="19" t="inlineStr"/>
      <c r="T402" s="19" t="inlineStr">
        <is>
          <t>No</t>
        </is>
      </c>
      <c r="U402" s="19" t="inlineStr">
        <is>
          <t>No</t>
        </is>
      </c>
      <c r="V402" s="19" t="inlineStr">
        <is>
          <t>No</t>
        </is>
      </c>
      <c r="W402" s="19" t="inlineStr">
        <is>
          <t>No</t>
        </is>
      </c>
    </row>
    <row r="403">
      <c r="A403" s="19" t="n">
        <v>733486</v>
      </c>
      <c r="B403" s="31" t="n">
        <v>46174</v>
      </c>
      <c r="C403" s="19" t="inlineStr">
        <is>
          <t>OFFICE OF CITY CLERK</t>
        </is>
      </c>
      <c r="D403" s="19" t="inlineStr">
        <is>
          <t>TAYLOR COMMUNICATIONS INC</t>
        </is>
      </c>
      <c r="E403" s="20" t="inlineStr">
        <is>
          <t>Passenger City Stickers</t>
        </is>
      </c>
      <c r="F403" s="21" t="n">
        <v>52945.29</v>
      </c>
      <c r="G403" s="19" t="inlineStr">
        <is>
          <t>1. Pending New Contract - Original Contract Expired. New Contract in Process</t>
        </is>
      </c>
      <c r="H403" s="19" t="inlineStr">
        <is>
          <t>B. City Law Review</t>
        </is>
      </c>
      <c r="I403" s="19" t="inlineStr">
        <is>
          <t>APPROVED</t>
        </is>
      </c>
      <c r="J403" s="19" t="inlineStr">
        <is>
          <t>Yes</t>
        </is>
      </c>
      <c r="K403" s="19" t="inlineStr">
        <is>
          <t>No</t>
        </is>
      </c>
      <c r="L403" s="19" t="inlineStr"/>
      <c r="M403" s="19" t="inlineStr">
        <is>
          <t>RX712876</t>
        </is>
      </c>
      <c r="N403" s="19" t="inlineStr">
        <is>
          <t>E</t>
        </is>
      </c>
      <c r="O403" s="20" t="inlineStr">
        <is>
          <t>No linkage found in awarded contract file</t>
        </is>
      </c>
      <c r="P403" s="19" t="inlineStr"/>
      <c r="Q403" s="19" t="inlineStr"/>
      <c r="R403" s="31" t="inlineStr"/>
      <c r="S403" s="19" t="inlineStr"/>
      <c r="T403" s="19" t="inlineStr">
        <is>
          <t>No</t>
        </is>
      </c>
      <c r="U403" s="19" t="inlineStr">
        <is>
          <t>No</t>
        </is>
      </c>
      <c r="V403" s="19" t="inlineStr">
        <is>
          <t>No</t>
        </is>
      </c>
      <c r="W403" s="19" t="inlineStr">
        <is>
          <t>Yes</t>
        </is>
      </c>
    </row>
    <row r="404">
      <c r="A404" s="19" t="n">
        <v>746133</v>
      </c>
      <c r="B404" s="31" t="n">
        <v>46251</v>
      </c>
      <c r="C404" s="19" t="inlineStr">
        <is>
          <t>OFFICE OF CITY CLERK</t>
        </is>
      </c>
      <c r="D404" s="19" t="inlineStr">
        <is>
          <t>OMICRON TECHNOLOGY SOLUTIONS LLC</t>
        </is>
      </c>
      <c r="E404" s="20" t="inlineStr">
        <is>
          <t>Film and Ribbon for CityKey program</t>
        </is>
      </c>
      <c r="F404" s="21" t="n">
        <v>102140</v>
      </c>
      <c r="G404" s="19" t="inlineStr">
        <is>
          <t>1. Pending New Contract - Original Contract Expired. New Contract in Process</t>
        </is>
      </c>
      <c r="H404" s="19" t="inlineStr">
        <is>
          <t>B. City Law Review</t>
        </is>
      </c>
      <c r="I404" s="19" t="inlineStr">
        <is>
          <t>APPROVED</t>
        </is>
      </c>
      <c r="J404" s="19" t="inlineStr">
        <is>
          <t>Yes</t>
        </is>
      </c>
      <c r="K404" s="19" t="inlineStr">
        <is>
          <t>No</t>
        </is>
      </c>
      <c r="L404" s="19" t="inlineStr"/>
      <c r="M404" s="19" t="inlineStr">
        <is>
          <t>RX608757</t>
        </is>
      </c>
      <c r="N404" s="19" t="inlineStr">
        <is>
          <t>E</t>
        </is>
      </c>
      <c r="O404" s="20" t="inlineStr">
        <is>
          <t>No linkage found in awarded contract file</t>
        </is>
      </c>
      <c r="P404" s="19" t="inlineStr"/>
      <c r="Q404" s="19" t="inlineStr"/>
      <c r="R404" s="31" t="inlineStr"/>
      <c r="S404" s="19" t="inlineStr"/>
      <c r="T404" s="19" t="inlineStr">
        <is>
          <t>No</t>
        </is>
      </c>
      <c r="U404" s="19" t="inlineStr">
        <is>
          <t>No</t>
        </is>
      </c>
      <c r="V404" s="19" t="inlineStr">
        <is>
          <t>No</t>
        </is>
      </c>
      <c r="W404" s="19" t="inlineStr">
        <is>
          <t>Yes</t>
        </is>
      </c>
    </row>
    <row r="405">
      <c r="A405" s="19" t="n">
        <v>734496</v>
      </c>
      <c r="B405" s="31" t="n">
        <v>46181</v>
      </c>
      <c r="C405" s="19" t="inlineStr">
        <is>
          <t>OFFICE OF CITY CLERK</t>
        </is>
      </c>
      <c r="D405" s="19" t="inlineStr">
        <is>
          <t>OMICRON TECHNOLOGY SOLUTIONS LLC</t>
        </is>
      </c>
      <c r="E405" s="20" t="inlineStr">
        <is>
          <t>Omicron - equipment for CityKey</t>
        </is>
      </c>
      <c r="F405" s="21" t="n">
        <v>3660.02</v>
      </c>
      <c r="G405" s="19" t="inlineStr">
        <is>
          <t>1. Pending New Contract - Original Contract Expired. New Contract in Process</t>
        </is>
      </c>
      <c r="H405" s="19" t="inlineStr">
        <is>
          <t>B. City Law Review</t>
        </is>
      </c>
      <c r="I405" s="19" t="inlineStr">
        <is>
          <t>APPROVED</t>
        </is>
      </c>
      <c r="J405" s="19" t="inlineStr">
        <is>
          <t>Yes</t>
        </is>
      </c>
      <c r="K405" s="19" t="inlineStr">
        <is>
          <t>No</t>
        </is>
      </c>
      <c r="L405" s="19" t="inlineStr"/>
      <c r="M405" s="19" t="inlineStr">
        <is>
          <t>RX608757</t>
        </is>
      </c>
      <c r="N405" s="19" t="inlineStr">
        <is>
          <t>E</t>
        </is>
      </c>
      <c r="O405" s="20" t="inlineStr">
        <is>
          <t>No linkage found in awarded contract file</t>
        </is>
      </c>
      <c r="P405" s="19" t="inlineStr"/>
      <c r="Q405" s="19" t="inlineStr"/>
      <c r="R405" s="31" t="inlineStr"/>
      <c r="S405" s="19" t="inlineStr"/>
      <c r="T405" s="19" t="inlineStr">
        <is>
          <t>No</t>
        </is>
      </c>
      <c r="U405" s="19" t="inlineStr">
        <is>
          <t>No</t>
        </is>
      </c>
      <c r="V405" s="19" t="inlineStr">
        <is>
          <t>No</t>
        </is>
      </c>
      <c r="W405" s="19" t="inlineStr">
        <is>
          <t>Yes</t>
        </is>
      </c>
    </row>
    <row r="406">
      <c r="A406" s="19" t="n">
        <v>721315</v>
      </c>
      <c r="B406" s="31" t="n">
        <v>46107</v>
      </c>
      <c r="C406" s="19" t="inlineStr">
        <is>
          <t>DEPARTMENT OF STREETS AND SANITATION</t>
        </is>
      </c>
      <c r="D406" s="19" t="inlineStr">
        <is>
          <t>BLUETRITON BRANDS INC</t>
        </is>
      </c>
      <c r="E406" s="20" t="inlineStr">
        <is>
          <t>WATER - DRINKING</t>
        </is>
      </c>
      <c r="F406" s="21" t="n">
        <v>844.3200000000001</v>
      </c>
      <c r="G406" s="19" t="inlineStr">
        <is>
          <t>1. Pending New Contract - Original Contract Expired. New Contract in Process</t>
        </is>
      </c>
      <c r="H406" s="19" t="inlineStr">
        <is>
          <t>A. Specification Development Phase</t>
        </is>
      </c>
      <c r="I406" s="19" t="inlineStr">
        <is>
          <t>APPROVED</t>
        </is>
      </c>
      <c r="J406" s="19" t="inlineStr">
        <is>
          <t>Yes</t>
        </is>
      </c>
      <c r="K406" s="19" t="inlineStr">
        <is>
          <t>No</t>
        </is>
      </c>
      <c r="L406" s="19" t="inlineStr"/>
      <c r="M406" s="19" t="inlineStr">
        <is>
          <t>RX511569</t>
        </is>
      </c>
      <c r="N406" s="19" t="inlineStr">
        <is>
          <t>E</t>
        </is>
      </c>
      <c r="O406" s="20" t="inlineStr">
        <is>
          <t>No linkage found in awarded contract file</t>
        </is>
      </c>
      <c r="P406" s="19" t="inlineStr"/>
      <c r="Q406" s="19" t="inlineStr"/>
      <c r="R406" s="31" t="inlineStr"/>
      <c r="S406" s="19" t="inlineStr"/>
      <c r="T406" s="19" t="inlineStr">
        <is>
          <t>No</t>
        </is>
      </c>
      <c r="U406" s="19" t="inlineStr">
        <is>
          <t>No</t>
        </is>
      </c>
      <c r="V406" s="19" t="inlineStr">
        <is>
          <t>No</t>
        </is>
      </c>
      <c r="W406" s="19" t="inlineStr">
        <is>
          <t>Yes</t>
        </is>
      </c>
    </row>
    <row r="407">
      <c r="A407" s="19" t="n">
        <v>733284</v>
      </c>
      <c r="B407" s="31" t="n">
        <v>46174</v>
      </c>
      <c r="C407" s="19" t="inlineStr">
        <is>
          <t>DEPARTMENT OF STREETS AND SANITATION</t>
        </is>
      </c>
      <c r="D407" s="19" t="inlineStr">
        <is>
          <t>BLUETRITON BRANDS INC</t>
        </is>
      </c>
      <c r="E407" s="20" t="inlineStr">
        <is>
          <t>WATER - DRINKING</t>
        </is>
      </c>
      <c r="F407" s="21" t="n">
        <v>768.51</v>
      </c>
      <c r="G407" s="19" t="inlineStr">
        <is>
          <t>1. Pending New Contract - Original Contract Expired. New Contract in Process</t>
        </is>
      </c>
      <c r="H407" s="19" t="inlineStr">
        <is>
          <t>A. Specification Development Phase</t>
        </is>
      </c>
      <c r="I407" s="19" t="inlineStr">
        <is>
          <t>APPROVED</t>
        </is>
      </c>
      <c r="J407" s="19" t="inlineStr">
        <is>
          <t>Yes</t>
        </is>
      </c>
      <c r="K407" s="19" t="inlineStr">
        <is>
          <t>No</t>
        </is>
      </c>
      <c r="L407" s="19" t="inlineStr"/>
      <c r="M407" s="19" t="inlineStr">
        <is>
          <t>RX511569</t>
        </is>
      </c>
      <c r="N407" s="19" t="inlineStr">
        <is>
          <t>E</t>
        </is>
      </c>
      <c r="O407" s="20" t="inlineStr">
        <is>
          <t>No linkage found in awarded contract file</t>
        </is>
      </c>
      <c r="P407" s="19" t="inlineStr"/>
      <c r="Q407" s="19" t="inlineStr"/>
      <c r="R407" s="31" t="inlineStr"/>
      <c r="S407" s="19" t="inlineStr"/>
      <c r="T407" s="19" t="inlineStr">
        <is>
          <t>No</t>
        </is>
      </c>
      <c r="U407" s="19" t="inlineStr">
        <is>
          <t>No</t>
        </is>
      </c>
      <c r="V407" s="19" t="inlineStr">
        <is>
          <t>No</t>
        </is>
      </c>
      <c r="W407" s="19" t="inlineStr">
        <is>
          <t>Yes</t>
        </is>
      </c>
    </row>
    <row r="408">
      <c r="A408" s="19" t="n">
        <v>710018</v>
      </c>
      <c r="B408" s="31" t="n">
        <v>46051</v>
      </c>
      <c r="C408" s="19" t="inlineStr">
        <is>
          <t>DEPARTMENT OF FLEET AND FACILITY MANAGEMENT</t>
        </is>
      </c>
      <c r="D408" s="19" t="inlineStr">
        <is>
          <t>POLACH APPRAISAL GROUP, INC</t>
        </is>
      </c>
      <c r="E408" s="20" t="inlineStr">
        <is>
          <t>TB/MS/INV #16467/$18,135.00</t>
        </is>
      </c>
      <c r="F408" s="21" t="n">
        <v>18135</v>
      </c>
      <c r="G408" s="19" t="inlineStr">
        <is>
          <t>3. One Time Purchase</t>
        </is>
      </c>
      <c r="H408" s="19" t="inlineStr">
        <is>
          <t>H. One Time Purchase</t>
        </is>
      </c>
      <c r="I408" s="19" t="inlineStr">
        <is>
          <t>APPROVED</t>
        </is>
      </c>
      <c r="J408" s="19" t="inlineStr">
        <is>
          <t>Yes</t>
        </is>
      </c>
      <c r="K408" s="19" t="inlineStr">
        <is>
          <t>No</t>
        </is>
      </c>
      <c r="L408" s="19" t="inlineStr"/>
      <c r="M408" s="19" t="inlineStr">
        <is>
          <t>VDPOLACH APPRAISAL</t>
        </is>
      </c>
      <c r="N408" s="19" t="inlineStr">
        <is>
          <t>E</t>
        </is>
      </c>
      <c r="O408" s="20" t="inlineStr">
        <is>
          <t>No linkage found in awarded contract file</t>
        </is>
      </c>
      <c r="P408" s="19" t="inlineStr"/>
      <c r="Q408" s="19" t="inlineStr"/>
      <c r="R408" s="31" t="inlineStr"/>
      <c r="S408" s="19" t="inlineStr"/>
      <c r="T408" s="19" t="inlineStr">
        <is>
          <t>No</t>
        </is>
      </c>
      <c r="U408" s="19" t="inlineStr">
        <is>
          <t>No</t>
        </is>
      </c>
      <c r="V408" s="19" t="inlineStr">
        <is>
          <t>No</t>
        </is>
      </c>
      <c r="W408" s="19" t="inlineStr">
        <is>
          <t>No</t>
        </is>
      </c>
    </row>
    <row r="409">
      <c r="A409" s="19" t="n">
        <v>720705</v>
      </c>
      <c r="B409" s="31" t="n">
        <v>46107</v>
      </c>
      <c r="C409" s="19" t="inlineStr">
        <is>
          <t>DEPARTMENT OF FLEET AND FACILITY MANAGEMENT</t>
        </is>
      </c>
      <c r="D409" s="19" t="inlineStr">
        <is>
          <t>RUNNION EQUIPMENT CO</t>
        </is>
      </c>
      <c r="E409" s="20" t="inlineStr">
        <is>
          <t>TB/MM/9 INVOICES/$9541.13</t>
        </is>
      </c>
      <c r="F409" s="21" t="n">
        <v>9541.129999999999</v>
      </c>
      <c r="G409" s="19" t="inlineStr">
        <is>
          <t>1. Pending New Contract - Original Contract Expired. New Contract in Process</t>
        </is>
      </c>
      <c r="H409" s="19" t="inlineStr">
        <is>
          <t>B. City Law Review</t>
        </is>
      </c>
      <c r="I409" s="19" t="inlineStr">
        <is>
          <t>APPROVED</t>
        </is>
      </c>
      <c r="J409" s="19" t="inlineStr">
        <is>
          <t>Yes</t>
        </is>
      </c>
      <c r="K409" s="19" t="inlineStr">
        <is>
          <t>No</t>
        </is>
      </c>
      <c r="L409" s="19" t="inlineStr"/>
      <c r="M409" s="19" t="inlineStr">
        <is>
          <t>RX590958</t>
        </is>
      </c>
      <c r="N409" s="19" t="inlineStr">
        <is>
          <t>E</t>
        </is>
      </c>
      <c r="O409" s="20" t="inlineStr">
        <is>
          <t>No linkage found in awarded contract file</t>
        </is>
      </c>
      <c r="P409" s="19" t="inlineStr"/>
      <c r="Q409" s="19" t="inlineStr"/>
      <c r="R409" s="31" t="inlineStr"/>
      <c r="S409" s="19" t="inlineStr"/>
      <c r="T409" s="19" t="inlineStr">
        <is>
          <t>No</t>
        </is>
      </c>
      <c r="U409" s="19" t="inlineStr">
        <is>
          <t>No</t>
        </is>
      </c>
      <c r="V409" s="19" t="inlineStr">
        <is>
          <t>No</t>
        </is>
      </c>
      <c r="W409" s="19" t="inlineStr">
        <is>
          <t>Yes</t>
        </is>
      </c>
    </row>
    <row r="410">
      <c r="A410" s="19" t="n">
        <v>735735</v>
      </c>
      <c r="B410" s="31" t="n">
        <v>46189</v>
      </c>
      <c r="C410" s="19" t="inlineStr">
        <is>
          <t>DEPARTMENT OF FLEET AND FACILITY MANAGEMENT</t>
        </is>
      </c>
      <c r="D410" s="19" t="inlineStr">
        <is>
          <t>RUNNION EQUIPMENT CO</t>
        </is>
      </c>
      <c r="E410" s="20" t="inlineStr">
        <is>
          <t>TB/MM/INVOICE #INV67642/$1006.75</t>
        </is>
      </c>
      <c r="F410" s="21" t="n">
        <v>1006.75</v>
      </c>
      <c r="G410" s="19" t="inlineStr">
        <is>
          <t>1. Pending New Contract - Original Contract Expired. New Contract in Process</t>
        </is>
      </c>
      <c r="H410" s="19" t="inlineStr">
        <is>
          <t>B. City Law Review</t>
        </is>
      </c>
      <c r="I410" s="19" t="inlineStr">
        <is>
          <t>APPROVED</t>
        </is>
      </c>
      <c r="J410" s="19" t="inlineStr">
        <is>
          <t>Yes</t>
        </is>
      </c>
      <c r="K410" s="19" t="inlineStr">
        <is>
          <t>No</t>
        </is>
      </c>
      <c r="L410" s="19" t="inlineStr"/>
      <c r="M410" s="19" t="inlineStr">
        <is>
          <t>RX590958</t>
        </is>
      </c>
      <c r="N410" s="19" t="inlineStr">
        <is>
          <t>E</t>
        </is>
      </c>
      <c r="O410" s="20" t="inlineStr">
        <is>
          <t>No linkage found in awarded contract file</t>
        </is>
      </c>
      <c r="P410" s="19" t="inlineStr"/>
      <c r="Q410" s="19" t="inlineStr"/>
      <c r="R410" s="31" t="inlineStr"/>
      <c r="S410" s="19" t="inlineStr"/>
      <c r="T410" s="19" t="inlineStr">
        <is>
          <t>No</t>
        </is>
      </c>
      <c r="U410" s="19" t="inlineStr">
        <is>
          <t>No</t>
        </is>
      </c>
      <c r="V410" s="19" t="inlineStr">
        <is>
          <t>No</t>
        </is>
      </c>
      <c r="W410" s="19" t="inlineStr">
        <is>
          <t>Yes</t>
        </is>
      </c>
    </row>
    <row r="411">
      <c r="A411" s="19" t="n">
        <v>708552</v>
      </c>
      <c r="B411" s="31" t="n">
        <v>46036</v>
      </c>
      <c r="C411" s="19" t="inlineStr">
        <is>
          <t>DEPARTMENT OF FLEET AND FACILITY MANAGEMENT</t>
        </is>
      </c>
      <c r="D411" s="19" t="inlineStr">
        <is>
          <t>CAR WASH PARTNERS INC</t>
        </is>
      </c>
      <c r="E411" s="20" t="inlineStr">
        <is>
          <t>TB/2 INVOICES/$11,866.00</t>
        </is>
      </c>
      <c r="F411" s="21" t="n">
        <v>11866</v>
      </c>
      <c r="G411" s="19" t="inlineStr">
        <is>
          <t>1. Pending New Contract - Original Contract Expired. New Contract in Process</t>
        </is>
      </c>
      <c r="H411" s="19" t="inlineStr">
        <is>
          <t>A. Specification Development Phase</t>
        </is>
      </c>
      <c r="I411" s="19" t="inlineStr">
        <is>
          <t>APPROVED</t>
        </is>
      </c>
      <c r="J411" s="19" t="inlineStr">
        <is>
          <t>Yes</t>
        </is>
      </c>
      <c r="K411" s="19" t="inlineStr">
        <is>
          <t>No</t>
        </is>
      </c>
      <c r="L411" s="19" t="inlineStr"/>
      <c r="M411" s="19" t="inlineStr">
        <is>
          <t>RX689540</t>
        </is>
      </c>
      <c r="N411" s="19" t="inlineStr">
        <is>
          <t>E</t>
        </is>
      </c>
      <c r="O411" s="20" t="inlineStr">
        <is>
          <t>No linkage found in awarded contract file</t>
        </is>
      </c>
      <c r="P411" s="19" t="inlineStr"/>
      <c r="Q411" s="19" t="inlineStr"/>
      <c r="R411" s="31" t="inlineStr"/>
      <c r="S411" s="19" t="inlineStr"/>
      <c r="T411" s="19" t="inlineStr">
        <is>
          <t>No</t>
        </is>
      </c>
      <c r="U411" s="19" t="inlineStr">
        <is>
          <t>No</t>
        </is>
      </c>
      <c r="V411" s="19" t="inlineStr">
        <is>
          <t>No</t>
        </is>
      </c>
      <c r="W411" s="19" t="inlineStr">
        <is>
          <t>Yes</t>
        </is>
      </c>
    </row>
    <row r="412">
      <c r="A412" s="19" t="n">
        <v>728171</v>
      </c>
      <c r="B412" s="31" t="n">
        <v>46142</v>
      </c>
      <c r="C412" s="19" t="inlineStr">
        <is>
          <t>DEPARTMENT OF FLEET AND FACILITY MANAGEMENT</t>
        </is>
      </c>
      <c r="D412" s="19" t="inlineStr">
        <is>
          <t>CAR WASH PARTNERS INC</t>
        </is>
      </c>
      <c r="E412" s="20" t="inlineStr">
        <is>
          <t>TB/2 INVOICES/$13,398.00</t>
        </is>
      </c>
      <c r="F412" s="21" t="n">
        <v>13398</v>
      </c>
      <c r="G412" s="19" t="inlineStr">
        <is>
          <t>1. Pending New Contract - Original Contract Expired. New Contract in Process</t>
        </is>
      </c>
      <c r="H412" s="19" t="inlineStr">
        <is>
          <t>A. Specification Development Phase</t>
        </is>
      </c>
      <c r="I412" s="19" t="inlineStr">
        <is>
          <t>APPROVED</t>
        </is>
      </c>
      <c r="J412" s="19" t="inlineStr">
        <is>
          <t>Yes</t>
        </is>
      </c>
      <c r="K412" s="19" t="inlineStr">
        <is>
          <t>No</t>
        </is>
      </c>
      <c r="L412" s="19" t="inlineStr"/>
      <c r="M412" s="19" t="inlineStr">
        <is>
          <t>RX710856</t>
        </is>
      </c>
      <c r="N412" s="19" t="inlineStr">
        <is>
          <t>E</t>
        </is>
      </c>
      <c r="O412" s="20" t="inlineStr">
        <is>
          <t>No linkage found in awarded contract file</t>
        </is>
      </c>
      <c r="P412" s="19" t="inlineStr"/>
      <c r="Q412" s="19" t="inlineStr"/>
      <c r="R412" s="31" t="inlineStr"/>
      <c r="S412" s="19" t="inlineStr"/>
      <c r="T412" s="19" t="inlineStr">
        <is>
          <t>No</t>
        </is>
      </c>
      <c r="U412" s="19" t="inlineStr">
        <is>
          <t>No</t>
        </is>
      </c>
      <c r="V412" s="19" t="inlineStr">
        <is>
          <t>No</t>
        </is>
      </c>
      <c r="W412" s="19" t="inlineStr">
        <is>
          <t>Yes</t>
        </is>
      </c>
    </row>
    <row r="413">
      <c r="A413" s="19" t="n">
        <v>728181</v>
      </c>
      <c r="B413" s="31" t="n">
        <v>46142</v>
      </c>
      <c r="C413" s="19" t="inlineStr">
        <is>
          <t>DEPARTMENT OF FLEET AND FACILITY MANAGEMENT</t>
        </is>
      </c>
      <c r="D413" s="19" t="inlineStr">
        <is>
          <t>CAR WASH PARTNERS INC</t>
        </is>
      </c>
      <c r="E413" s="20" t="inlineStr">
        <is>
          <t>TB/2 INVOICES/$15,719.00</t>
        </is>
      </c>
      <c r="F413" s="21" t="n">
        <v>15719</v>
      </c>
      <c r="G413" s="19" t="inlineStr">
        <is>
          <t>1. Pending New Contract - Original Contract Expired. New Contract in Process</t>
        </is>
      </c>
      <c r="H413" s="19" t="inlineStr">
        <is>
          <t>A. Specification Development Phase</t>
        </is>
      </c>
      <c r="I413" s="19" t="inlineStr">
        <is>
          <t>APPROVED</t>
        </is>
      </c>
      <c r="J413" s="19" t="inlineStr">
        <is>
          <t>Yes</t>
        </is>
      </c>
      <c r="K413" s="19" t="inlineStr">
        <is>
          <t>No</t>
        </is>
      </c>
      <c r="L413" s="19" t="inlineStr"/>
      <c r="M413" s="19" t="inlineStr">
        <is>
          <t>RX710856</t>
        </is>
      </c>
      <c r="N413" s="19" t="inlineStr">
        <is>
          <t>E</t>
        </is>
      </c>
      <c r="O413" s="20" t="inlineStr">
        <is>
          <t>No linkage found in awarded contract file</t>
        </is>
      </c>
      <c r="P413" s="19" t="inlineStr"/>
      <c r="Q413" s="19" t="inlineStr"/>
      <c r="R413" s="31" t="inlineStr"/>
      <c r="S413" s="19" t="inlineStr"/>
      <c r="T413" s="19" t="inlineStr">
        <is>
          <t>No</t>
        </is>
      </c>
      <c r="U413" s="19" t="inlineStr">
        <is>
          <t>No</t>
        </is>
      </c>
      <c r="V413" s="19" t="inlineStr">
        <is>
          <t>No</t>
        </is>
      </c>
      <c r="W413" s="19" t="inlineStr">
        <is>
          <t>Yes</t>
        </is>
      </c>
    </row>
    <row r="414">
      <c r="A414" s="19" t="n">
        <v>744425</v>
      </c>
      <c r="B414" s="31" t="n">
        <v>46241</v>
      </c>
      <c r="C414" s="19" t="inlineStr">
        <is>
          <t>DEPARTMENT OF FLEET AND FACILITY MANAGEMENT</t>
        </is>
      </c>
      <c r="D414" s="19" t="inlineStr">
        <is>
          <t>CORPORATE CLEANING SERVICES</t>
        </is>
      </c>
      <c r="E414" s="20" t="inlineStr">
        <is>
          <t>TB/VJ/INVOICE #76270/$8200.00</t>
        </is>
      </c>
      <c r="F414" s="21" t="n">
        <v>8200</v>
      </c>
      <c r="G414" s="19" t="inlineStr">
        <is>
          <t>1. Pending New Contract - Original Contract Expired. New Contract in Process</t>
        </is>
      </c>
      <c r="H414" s="19" t="inlineStr">
        <is>
          <t>A. Specification Development Phase</t>
        </is>
      </c>
      <c r="I414" s="19" t="inlineStr">
        <is>
          <t>APPROVED</t>
        </is>
      </c>
      <c r="J414" s="19" t="inlineStr">
        <is>
          <t>No</t>
        </is>
      </c>
      <c r="K414" s="19" t="inlineStr">
        <is>
          <t>No</t>
        </is>
      </c>
      <c r="L414" s="19" t="inlineStr"/>
      <c r="M414" s="19" t="inlineStr">
        <is>
          <t>RX631607</t>
        </is>
      </c>
      <c r="N414" s="19" t="inlineStr">
        <is>
          <t>E</t>
        </is>
      </c>
      <c r="O414" s="20" t="inlineStr">
        <is>
          <t>No linkage found in awarded contract file</t>
        </is>
      </c>
      <c r="P414" s="19" t="inlineStr"/>
      <c r="Q414" s="19" t="inlineStr"/>
      <c r="R414" s="31" t="inlineStr"/>
      <c r="S414" s="19" t="inlineStr"/>
      <c r="T414" s="19" t="inlineStr">
        <is>
          <t>No</t>
        </is>
      </c>
      <c r="U414" s="19" t="inlineStr">
        <is>
          <t>No</t>
        </is>
      </c>
      <c r="V414" s="19" t="inlineStr">
        <is>
          <t>No</t>
        </is>
      </c>
      <c r="W414" s="19" t="inlineStr">
        <is>
          <t>No</t>
        </is>
      </c>
    </row>
    <row r="415">
      <c r="A415" s="19" t="n">
        <v>742351</v>
      </c>
      <c r="B415" s="31" t="n">
        <v>46226</v>
      </c>
      <c r="C415" s="19" t="inlineStr">
        <is>
          <t>DEPARTMENT OF FLEET AND FACILITY MANAGEMENT</t>
        </is>
      </c>
      <c r="D415" s="19" t="inlineStr">
        <is>
          <t>DIVERSE FACILITY SOLUTION INC.</t>
        </is>
      </c>
      <c r="E415" s="20" t="inlineStr">
        <is>
          <t>TB/VJ/4 INVOICES/$324,672.49</t>
        </is>
      </c>
      <c r="F415" s="21" t="n">
        <v>324672.49</v>
      </c>
      <c r="G415" s="19" t="inlineStr">
        <is>
          <t>1. Pending New Contract - Original Contract Expired. New Contract in Process</t>
        </is>
      </c>
      <c r="H415" s="19" t="inlineStr">
        <is>
          <t>A. Specification Development Phase</t>
        </is>
      </c>
      <c r="I415" s="19" t="inlineStr">
        <is>
          <t>APPROVED</t>
        </is>
      </c>
      <c r="J415" s="19" t="inlineStr">
        <is>
          <t>Yes</t>
        </is>
      </c>
      <c r="K415" s="19" t="inlineStr">
        <is>
          <t>No</t>
        </is>
      </c>
      <c r="L415" s="19" t="inlineStr"/>
      <c r="M415" s="19" t="inlineStr">
        <is>
          <t>RX624331</t>
        </is>
      </c>
      <c r="N415" s="19" t="inlineStr">
        <is>
          <t>E</t>
        </is>
      </c>
      <c r="O415" s="20" t="inlineStr">
        <is>
          <t>No linkage found in awarded contract file</t>
        </is>
      </c>
      <c r="P415" s="19" t="inlineStr"/>
      <c r="Q415" s="19" t="inlineStr"/>
      <c r="R415" s="31" t="inlineStr"/>
      <c r="S415" s="19" t="inlineStr"/>
      <c r="T415" s="19" t="inlineStr">
        <is>
          <t>No</t>
        </is>
      </c>
      <c r="U415" s="19" t="inlineStr">
        <is>
          <t>No</t>
        </is>
      </c>
      <c r="V415" s="19" t="inlineStr">
        <is>
          <t>No</t>
        </is>
      </c>
      <c r="W415" s="19" t="inlineStr">
        <is>
          <t>Yes</t>
        </is>
      </c>
    </row>
    <row r="416">
      <c r="A416" s="19" t="n">
        <v>711607</v>
      </c>
      <c r="B416" s="31" t="n">
        <v>46052</v>
      </c>
      <c r="C416" s="19" t="inlineStr">
        <is>
          <t>DEPARTMENT OF FLEET AND FACILITY MANAGEMENT</t>
        </is>
      </c>
      <c r="D416" s="19" t="inlineStr">
        <is>
          <t>RICOH USA INC</t>
        </is>
      </c>
      <c r="E416" s="20" t="inlineStr">
        <is>
          <t>TB/GR/INV #5072349294/$6015.80</t>
        </is>
      </c>
      <c r="F416" s="21" t="n">
        <v>6015.8</v>
      </c>
      <c r="G416" s="19" t="inlineStr">
        <is>
          <t>2. Pending Amendment/Modification - Line Item Addition / Vendor Limit Increase / Scope Change</t>
        </is>
      </c>
      <c r="H416" s="19" t="inlineStr">
        <is>
          <t>A. Specification Development Phase</t>
        </is>
      </c>
      <c r="I416" s="19" t="inlineStr">
        <is>
          <t>APPROVED</t>
        </is>
      </c>
      <c r="J416" s="19" t="inlineStr">
        <is>
          <t>No</t>
        </is>
      </c>
      <c r="K416" s="19" t="inlineStr">
        <is>
          <t>No</t>
        </is>
      </c>
      <c r="L416" s="19" t="inlineStr"/>
      <c r="M416" s="19" t="inlineStr">
        <is>
          <t>RX658738</t>
        </is>
      </c>
      <c r="N416" s="19" t="inlineStr">
        <is>
          <t>E</t>
        </is>
      </c>
      <c r="O416" s="20" t="inlineStr">
        <is>
          <t>No linkage found in awarded contract file</t>
        </is>
      </c>
      <c r="P416" s="19" t="inlineStr"/>
      <c r="Q416" s="19" t="inlineStr"/>
      <c r="R416" s="31" t="inlineStr"/>
      <c r="S416" s="19" t="inlineStr"/>
      <c r="T416" s="19" t="inlineStr">
        <is>
          <t>No</t>
        </is>
      </c>
      <c r="U416" s="19" t="inlineStr">
        <is>
          <t>No</t>
        </is>
      </c>
      <c r="V416" s="19" t="inlineStr">
        <is>
          <t>No</t>
        </is>
      </c>
      <c r="W416" s="19" t="inlineStr">
        <is>
          <t>No</t>
        </is>
      </c>
    </row>
    <row r="417">
      <c r="A417" s="19" t="n">
        <v>728321</v>
      </c>
      <c r="B417" s="31" t="n">
        <v>46142</v>
      </c>
      <c r="C417" s="19" t="inlineStr">
        <is>
          <t>DEPARTMENT OF FLEET AND FACILITY MANAGEMENT</t>
        </is>
      </c>
      <c r="D417" s="19" t="inlineStr">
        <is>
          <t>SPEEDY GONZALEZ LANDSCAPING INC</t>
        </is>
      </c>
      <c r="E417" s="20" t="inlineStr">
        <is>
          <t>TB/AH/9 INVOICES/$43,876.11</t>
        </is>
      </c>
      <c r="F417" s="21" t="n">
        <v>43876.11</v>
      </c>
      <c r="G417" s="19" t="inlineStr">
        <is>
          <t>2. Pending Amendment/Modification - Line Item Addition / Vendor Limit Increase / Scope Change</t>
        </is>
      </c>
      <c r="H417" s="19" t="inlineStr">
        <is>
          <t>C. Solicitation or Bidding Phase</t>
        </is>
      </c>
      <c r="I417" s="19" t="inlineStr">
        <is>
          <t>APPROVED</t>
        </is>
      </c>
      <c r="J417" s="19" t="inlineStr">
        <is>
          <t>Yes</t>
        </is>
      </c>
      <c r="K417" s="19" t="inlineStr">
        <is>
          <t>No</t>
        </is>
      </c>
      <c r="L417" s="19" t="inlineStr"/>
      <c r="M417" s="19" t="inlineStr">
        <is>
          <t>RX690281</t>
        </is>
      </c>
      <c r="N417" s="19" t="inlineStr">
        <is>
          <t>E</t>
        </is>
      </c>
      <c r="O417" s="20" t="inlineStr">
        <is>
          <t>No linkage found in awarded contract file</t>
        </is>
      </c>
      <c r="P417" s="19" t="inlineStr"/>
      <c r="Q417" s="19" t="inlineStr"/>
      <c r="R417" s="31" t="inlineStr"/>
      <c r="S417" s="19" t="inlineStr"/>
      <c r="T417" s="19" t="inlineStr">
        <is>
          <t>No</t>
        </is>
      </c>
      <c r="U417" s="19" t="inlineStr">
        <is>
          <t>No</t>
        </is>
      </c>
      <c r="V417" s="19" t="inlineStr">
        <is>
          <t>No</t>
        </is>
      </c>
      <c r="W417" s="19" t="inlineStr">
        <is>
          <t>Yes</t>
        </is>
      </c>
    </row>
    <row r="418">
      <c r="A418" s="19" t="n">
        <v>711685</v>
      </c>
      <c r="B418" s="31" t="n">
        <v>46052</v>
      </c>
      <c r="C418" s="19" t="inlineStr">
        <is>
          <t>DEPARTMENT OF FLEET AND FACILITY MANAGEMENT</t>
        </is>
      </c>
      <c r="D418" s="19" t="inlineStr">
        <is>
          <t>JOHNSON CONTROLS FIRE PROTECTION LP</t>
        </is>
      </c>
      <c r="E418" s="20" t="inlineStr">
        <is>
          <t>TB/JG/INV #COCL112025 / $1890.50</t>
        </is>
      </c>
      <c r="F418" s="21" t="n">
        <v>1890.5</v>
      </c>
      <c r="G418" s="19" t="inlineStr">
        <is>
          <t>1. Pending New Contract - Original Contract Expired. New Contract in Process</t>
        </is>
      </c>
      <c r="H418" s="19" t="inlineStr">
        <is>
          <t>B. City Law Review</t>
        </is>
      </c>
      <c r="I418" s="19" t="inlineStr">
        <is>
          <t>APPROVED</t>
        </is>
      </c>
      <c r="J418" s="19" t="inlineStr">
        <is>
          <t>No</t>
        </is>
      </c>
      <c r="K418" s="19" t="inlineStr">
        <is>
          <t>Yes</t>
        </is>
      </c>
      <c r="L418" s="19" t="inlineStr">
        <is>
          <t>NO</t>
        </is>
      </c>
      <c r="M418" s="19" t="inlineStr">
        <is>
          <t>RX612805</t>
        </is>
      </c>
      <c r="N418" s="19" t="inlineStr">
        <is>
          <t>E</t>
        </is>
      </c>
      <c r="O418" s="20" t="inlineStr">
        <is>
          <t>No linkage found in awarded contract file</t>
        </is>
      </c>
      <c r="P418" s="19" t="inlineStr"/>
      <c r="Q418" s="19" t="inlineStr"/>
      <c r="R418" s="31" t="inlineStr"/>
      <c r="S418" s="19" t="inlineStr"/>
      <c r="T418" s="19" t="inlineStr">
        <is>
          <t>No</t>
        </is>
      </c>
      <c r="U418" s="19" t="inlineStr">
        <is>
          <t>No</t>
        </is>
      </c>
      <c r="V418" s="19" t="inlineStr">
        <is>
          <t>No</t>
        </is>
      </c>
      <c r="W418" s="19" t="inlineStr">
        <is>
          <t>No</t>
        </is>
      </c>
    </row>
    <row r="419">
      <c r="A419" s="19" t="n">
        <v>742403</v>
      </c>
      <c r="B419" s="31" t="n">
        <v>46226</v>
      </c>
      <c r="C419" s="19" t="inlineStr">
        <is>
          <t>DEPARTMENT OF FLEET AND FACILITY MANAGEMENT</t>
        </is>
      </c>
      <c r="D419" s="19" t="inlineStr">
        <is>
          <t>TOTAL FACILITY MAINTENANCE</t>
        </is>
      </c>
      <c r="E419" s="20" t="inlineStr">
        <is>
          <t>TB/VJ/2 INVOICES/$95,829.78</t>
        </is>
      </c>
      <c r="F419" s="21" t="n">
        <v>95829.78</v>
      </c>
      <c r="G419" s="19" t="inlineStr">
        <is>
          <t>1. Pending New Contract - Original Contract Expired. New Contract in Process</t>
        </is>
      </c>
      <c r="H419" s="19" t="inlineStr">
        <is>
          <t>B. City Law Review</t>
        </is>
      </c>
      <c r="I419" s="19" t="inlineStr">
        <is>
          <t>APPROVED</t>
        </is>
      </c>
      <c r="J419" s="19" t="inlineStr">
        <is>
          <t>Yes</t>
        </is>
      </c>
      <c r="K419" s="19" t="inlineStr">
        <is>
          <t>No</t>
        </is>
      </c>
      <c r="L419" s="19" t="inlineStr"/>
      <c r="M419" s="19" t="inlineStr">
        <is>
          <t>RX624331</t>
        </is>
      </c>
      <c r="N419" s="19" t="inlineStr">
        <is>
          <t>E</t>
        </is>
      </c>
      <c r="O419" s="20" t="inlineStr">
        <is>
          <t>No linkage found in awarded contract file</t>
        </is>
      </c>
      <c r="P419" s="19" t="inlineStr"/>
      <c r="Q419" s="19" t="inlineStr"/>
      <c r="R419" s="31" t="inlineStr"/>
      <c r="S419" s="19" t="inlineStr"/>
      <c r="T419" s="19" t="inlineStr">
        <is>
          <t>No</t>
        </is>
      </c>
      <c r="U419" s="19" t="inlineStr">
        <is>
          <t>No</t>
        </is>
      </c>
      <c r="V419" s="19" t="inlineStr">
        <is>
          <t>No</t>
        </is>
      </c>
      <c r="W419" s="19" t="inlineStr">
        <is>
          <t>Yes</t>
        </is>
      </c>
    </row>
    <row r="420">
      <c r="A420" s="19" t="n">
        <v>711745</v>
      </c>
      <c r="B420" s="31" t="n">
        <v>46052</v>
      </c>
      <c r="C420" s="19" t="inlineStr">
        <is>
          <t>DEPARTMENT OF FLEET AND FACILITY MANAGEMENT</t>
        </is>
      </c>
      <c r="D420" s="19" t="inlineStr">
        <is>
          <t>ABM INDUSTRY GROUPS, LLC</t>
        </is>
      </c>
      <c r="E420" s="20" t="inlineStr">
        <is>
          <t>TB/AH/10 INVOICES/$1,457,270.91</t>
        </is>
      </c>
      <c r="F420" s="21" t="n">
        <v>1457270.91</v>
      </c>
      <c r="G420" s="19" t="inlineStr">
        <is>
          <t>1. Pending New Contract - Original Contract Expired. New Contract in Process</t>
        </is>
      </c>
      <c r="H420" s="19" t="inlineStr">
        <is>
          <t>A. Specification Development Phase</t>
        </is>
      </c>
      <c r="I420" s="19" t="inlineStr">
        <is>
          <t>APPROVED</t>
        </is>
      </c>
      <c r="J420" s="19" t="inlineStr">
        <is>
          <t>Yes</t>
        </is>
      </c>
      <c r="K420" s="19" t="inlineStr">
        <is>
          <t>No</t>
        </is>
      </c>
      <c r="L420" s="19" t="inlineStr">
        <is>
          <t>NO</t>
        </is>
      </c>
      <c r="M420" s="19" t="inlineStr">
        <is>
          <t>RX624331</t>
        </is>
      </c>
      <c r="N420" s="19" t="inlineStr">
        <is>
          <t>E</t>
        </is>
      </c>
      <c r="O420" s="20" t="inlineStr">
        <is>
          <t>No linkage found in awarded contract file</t>
        </is>
      </c>
      <c r="P420" s="19" t="inlineStr"/>
      <c r="Q420" s="19" t="inlineStr"/>
      <c r="R420" s="31" t="inlineStr"/>
      <c r="S420" s="19" t="inlineStr"/>
      <c r="T420" s="19" t="inlineStr">
        <is>
          <t>No</t>
        </is>
      </c>
      <c r="U420" s="19" t="inlineStr">
        <is>
          <t>No</t>
        </is>
      </c>
      <c r="V420" s="19" t="inlineStr">
        <is>
          <t>No</t>
        </is>
      </c>
      <c r="W420" s="19" t="inlineStr">
        <is>
          <t>Yes</t>
        </is>
      </c>
    </row>
    <row r="421">
      <c r="A421" s="19" t="n">
        <v>737562</v>
      </c>
      <c r="B421" s="31" t="n">
        <v>46197</v>
      </c>
      <c r="C421" s="19" t="inlineStr">
        <is>
          <t>DEPARTMENT OF FLEET AND FACILITY MANAGEMENT</t>
        </is>
      </c>
      <c r="D421" s="19" t="inlineStr">
        <is>
          <t>QUALITY CAR WASH, INC.</t>
        </is>
      </c>
      <c r="E421" s="20" t="inlineStr">
        <is>
          <t>TB/9 INVOICES/$11,941.17</t>
        </is>
      </c>
      <c r="F421" s="21" t="n">
        <v>11941.17</v>
      </c>
      <c r="G421" s="19" t="inlineStr">
        <is>
          <t>1. Pending New Contract - Original Contract Expired. New Contract in Process</t>
        </is>
      </c>
      <c r="H421" s="19" t="inlineStr">
        <is>
          <t>A. Specification Development Phase</t>
        </is>
      </c>
      <c r="I421" s="19" t="inlineStr">
        <is>
          <t>APPROVED</t>
        </is>
      </c>
      <c r="J421" s="19" t="inlineStr">
        <is>
          <t>Yes</t>
        </is>
      </c>
      <c r="K421" s="19" t="inlineStr">
        <is>
          <t>No</t>
        </is>
      </c>
      <c r="L421" s="19" t="inlineStr"/>
      <c r="M421" s="19" t="inlineStr">
        <is>
          <t>RX710856</t>
        </is>
      </c>
      <c r="N421" s="19" t="inlineStr">
        <is>
          <t>E</t>
        </is>
      </c>
      <c r="O421" s="20" t="inlineStr">
        <is>
          <t>No linkage found in awarded contract file</t>
        </is>
      </c>
      <c r="P421" s="19" t="inlineStr"/>
      <c r="Q421" s="19" t="inlineStr"/>
      <c r="R421" s="31" t="inlineStr"/>
      <c r="S421" s="19" t="inlineStr"/>
      <c r="T421" s="19" t="inlineStr">
        <is>
          <t>No</t>
        </is>
      </c>
      <c r="U421" s="19" t="inlineStr">
        <is>
          <t>No</t>
        </is>
      </c>
      <c r="V421" s="19" t="inlineStr">
        <is>
          <t>No</t>
        </is>
      </c>
      <c r="W421" s="19" t="inlineStr">
        <is>
          <t>Yes</t>
        </is>
      </c>
    </row>
    <row r="422">
      <c r="A422" s="19" t="n">
        <v>711726</v>
      </c>
      <c r="B422" s="31" t="n">
        <v>46052</v>
      </c>
      <c r="C422" s="19" t="inlineStr">
        <is>
          <t>DEPARTMENT OF FLEET AND FACILITY MANAGEMENT</t>
        </is>
      </c>
      <c r="D422" s="19" t="inlineStr">
        <is>
          <t>QUALITY CAR WASH, INC.</t>
        </is>
      </c>
      <c r="E422" s="20" t="inlineStr">
        <is>
          <t>TB/ 9 INVOICES/ $10,875.81</t>
        </is>
      </c>
      <c r="F422" s="21" t="n">
        <v>10875.81</v>
      </c>
      <c r="G422" s="19" t="inlineStr">
        <is>
          <t>1. Pending New Contract - Original Contract Expired. New Contract in Process</t>
        </is>
      </c>
      <c r="H422" s="19" t="inlineStr">
        <is>
          <t>A. Specification Development Phase</t>
        </is>
      </c>
      <c r="I422" s="19" t="inlineStr">
        <is>
          <t>APPROVED</t>
        </is>
      </c>
      <c r="J422" s="19" t="inlineStr">
        <is>
          <t>Yes</t>
        </is>
      </c>
      <c r="K422" s="19" t="inlineStr">
        <is>
          <t>No</t>
        </is>
      </c>
      <c r="L422" s="19" t="inlineStr"/>
      <c r="M422" s="19" t="inlineStr">
        <is>
          <t>RX689540</t>
        </is>
      </c>
      <c r="N422" s="19" t="inlineStr">
        <is>
          <t>E</t>
        </is>
      </c>
      <c r="O422" s="20" t="inlineStr">
        <is>
          <t>No linkage found in awarded contract file</t>
        </is>
      </c>
      <c r="P422" s="19" t="inlineStr"/>
      <c r="Q422" s="19" t="inlineStr"/>
      <c r="R422" s="31" t="inlineStr"/>
      <c r="S422" s="19" t="inlineStr"/>
      <c r="T422" s="19" t="inlineStr">
        <is>
          <t>No</t>
        </is>
      </c>
      <c r="U422" s="19" t="inlineStr">
        <is>
          <t>No</t>
        </is>
      </c>
      <c r="V422" s="19" t="inlineStr">
        <is>
          <t>No</t>
        </is>
      </c>
      <c r="W422" s="19" t="inlineStr">
        <is>
          <t>Yes</t>
        </is>
      </c>
    </row>
    <row r="423">
      <c r="A423" s="19" t="n">
        <v>709574</v>
      </c>
      <c r="B423" s="31" t="n">
        <v>46048</v>
      </c>
      <c r="C423" s="19" t="inlineStr">
        <is>
          <t>DEPARTMENT OF FLEET AND FACILITY MANAGEMENT</t>
        </is>
      </c>
      <c r="D423" s="19" t="inlineStr">
        <is>
          <t>WAREHOUSE DIRECT, INC.</t>
        </is>
      </c>
      <c r="E423" s="20" t="inlineStr">
        <is>
          <t>TB/JM/INV#6015927-0/$22,159.50</t>
        </is>
      </c>
      <c r="F423" s="21" t="n">
        <v>22159.5</v>
      </c>
      <c r="G423" s="19" t="inlineStr">
        <is>
          <t>1. Pending New Contract - Original Contract Expired. New Contract in Process</t>
        </is>
      </c>
      <c r="H423" s="19" t="inlineStr">
        <is>
          <t>A. Specification Development Phase</t>
        </is>
      </c>
      <c r="I423" s="19" t="inlineStr">
        <is>
          <t>APPROVED</t>
        </is>
      </c>
      <c r="J423" s="19" t="inlineStr">
        <is>
          <t>Yes</t>
        </is>
      </c>
      <c r="K423" s="19" t="inlineStr">
        <is>
          <t>No</t>
        </is>
      </c>
      <c r="L423" s="19" t="inlineStr"/>
      <c r="M423" s="19" t="inlineStr">
        <is>
          <t>RX677490</t>
        </is>
      </c>
      <c r="N423" s="19" t="inlineStr">
        <is>
          <t>E</t>
        </is>
      </c>
      <c r="O423" s="20" t="inlineStr">
        <is>
          <t>No linkage found in awarded contract file</t>
        </is>
      </c>
      <c r="P423" s="19" t="inlineStr"/>
      <c r="Q423" s="19" t="inlineStr"/>
      <c r="R423" s="31" t="inlineStr"/>
      <c r="S423" s="19" t="inlineStr"/>
      <c r="T423" s="19" t="inlineStr">
        <is>
          <t>No</t>
        </is>
      </c>
      <c r="U423" s="19" t="inlineStr">
        <is>
          <t>No</t>
        </is>
      </c>
      <c r="V423" s="19" t="inlineStr">
        <is>
          <t>No</t>
        </is>
      </c>
      <c r="W423" s="19" t="inlineStr">
        <is>
          <t>Yes</t>
        </is>
      </c>
    </row>
    <row r="424">
      <c r="A424" s="19" t="n">
        <v>722794</v>
      </c>
      <c r="B424" s="31" t="n">
        <v>46119</v>
      </c>
      <c r="C424" s="19" t="inlineStr">
        <is>
          <t>DEPARTMENT OF FLEET AND FACILITY MANAGEMENT</t>
        </is>
      </c>
      <c r="D424" s="19" t="inlineStr">
        <is>
          <t>ARLINGTON GLASS &amp; MIRROR</t>
        </is>
      </c>
      <c r="E424" s="20" t="inlineStr">
        <is>
          <t>TB/AO/INV #75153/$403.26</t>
        </is>
      </c>
      <c r="F424" s="21" t="n">
        <v>403.26</v>
      </c>
      <c r="G424" s="19" t="inlineStr">
        <is>
          <t>1. Pending New Contract - Original Contract Expired. New Contract in Process</t>
        </is>
      </c>
      <c r="H424" s="19" t="inlineStr">
        <is>
          <t>A. Specification Development Phase</t>
        </is>
      </c>
      <c r="I424" s="19" t="inlineStr">
        <is>
          <t>APPROVED</t>
        </is>
      </c>
      <c r="J424" s="19" t="inlineStr">
        <is>
          <t>Yes</t>
        </is>
      </c>
      <c r="K424" s="19" t="inlineStr">
        <is>
          <t>No</t>
        </is>
      </c>
      <c r="L424" s="19" t="inlineStr"/>
      <c r="M424" s="19" t="inlineStr">
        <is>
          <t>RX647383</t>
        </is>
      </c>
      <c r="N424" s="19" t="inlineStr">
        <is>
          <t>E</t>
        </is>
      </c>
      <c r="O424" s="20" t="inlineStr">
        <is>
          <t>No linkage found in awarded contract file</t>
        </is>
      </c>
      <c r="P424" s="19" t="inlineStr"/>
      <c r="Q424" s="19" t="inlineStr"/>
      <c r="R424" s="31" t="inlineStr"/>
      <c r="S424" s="19" t="inlineStr"/>
      <c r="T424" s="19" t="inlineStr">
        <is>
          <t>No</t>
        </is>
      </c>
      <c r="U424" s="19" t="inlineStr">
        <is>
          <t>No</t>
        </is>
      </c>
      <c r="V424" s="19" t="inlineStr">
        <is>
          <t>No</t>
        </is>
      </c>
      <c r="W424" s="19" t="inlineStr">
        <is>
          <t>Yes</t>
        </is>
      </c>
    </row>
    <row r="425">
      <c r="A425" s="19" t="n">
        <v>727967</v>
      </c>
      <c r="B425" s="31" t="n">
        <v>46141</v>
      </c>
      <c r="C425" s="19" t="inlineStr">
        <is>
          <t>DEPARTMENT OF FLEET AND FACILITY MANAGEMENT</t>
        </is>
      </c>
      <c r="D425" s="19" t="inlineStr">
        <is>
          <t>ARLINGTON GLASS &amp; MIRROR</t>
        </is>
      </c>
      <c r="E425" s="20" t="inlineStr">
        <is>
          <t>TB/AO/INVOICE #75147/$130.00</t>
        </is>
      </c>
      <c r="F425" s="21" t="n">
        <v>130</v>
      </c>
      <c r="G425" s="19" t="inlineStr">
        <is>
          <t>1. Pending New Contract - Original Contract Expired. New Contract in Process</t>
        </is>
      </c>
      <c r="H425" s="19" t="inlineStr">
        <is>
          <t>A. Specification Development Phase</t>
        </is>
      </c>
      <c r="I425" s="19" t="inlineStr">
        <is>
          <t>APPROVED</t>
        </is>
      </c>
      <c r="J425" s="19" t="inlineStr">
        <is>
          <t>Yes</t>
        </is>
      </c>
      <c r="K425" s="19" t="inlineStr">
        <is>
          <t>No</t>
        </is>
      </c>
      <c r="L425" s="19" t="inlineStr"/>
      <c r="M425" s="19" t="inlineStr">
        <is>
          <t>RX647383</t>
        </is>
      </c>
      <c r="N425" s="19" t="inlineStr">
        <is>
          <t>E</t>
        </is>
      </c>
      <c r="O425" s="20" t="inlineStr">
        <is>
          <t>No linkage found in awarded contract file</t>
        </is>
      </c>
      <c r="P425" s="19" t="inlineStr"/>
      <c r="Q425" s="19" t="inlineStr"/>
      <c r="R425" s="31" t="inlineStr"/>
      <c r="S425" s="19" t="inlineStr"/>
      <c r="T425" s="19" t="inlineStr">
        <is>
          <t>No</t>
        </is>
      </c>
      <c r="U425" s="19" t="inlineStr">
        <is>
          <t>No</t>
        </is>
      </c>
      <c r="V425" s="19" t="inlineStr">
        <is>
          <t>No</t>
        </is>
      </c>
      <c r="W425" s="19" t="inlineStr">
        <is>
          <t>Yes</t>
        </is>
      </c>
    </row>
    <row r="426">
      <c r="A426" s="19" t="n">
        <v>746115</v>
      </c>
      <c r="B426" s="31" t="n">
        <v>46251</v>
      </c>
      <c r="C426" s="19" t="inlineStr">
        <is>
          <t>DEPARTMENT OF FLEET AND FACILITY MANAGEMENT</t>
        </is>
      </c>
      <c r="D426" s="19" t="inlineStr">
        <is>
          <t>ABC Humane Wildlife Control &amp; Prevention, Inc.</t>
        </is>
      </c>
      <c r="E426" s="20" t="inlineStr">
        <is>
          <t>TB/VJ/10 INVOICES/$11,536.03</t>
        </is>
      </c>
      <c r="F426" s="21" t="n">
        <v>11536.03</v>
      </c>
      <c r="G426" s="19" t="inlineStr">
        <is>
          <t>1. Pending New Contract - Original Contract Expired. New Contract in Process</t>
        </is>
      </c>
      <c r="H426" s="19" t="inlineStr">
        <is>
          <t>A. Specification Development Phase</t>
        </is>
      </c>
      <c r="I426" s="19" t="inlineStr">
        <is>
          <t>APPROVED</t>
        </is>
      </c>
      <c r="J426" s="19" t="inlineStr">
        <is>
          <t>No</t>
        </is>
      </c>
      <c r="K426" s="19" t="inlineStr">
        <is>
          <t>No</t>
        </is>
      </c>
      <c r="L426" s="19" t="inlineStr"/>
      <c r="M426" s="19" t="inlineStr">
        <is>
          <t>RX682957</t>
        </is>
      </c>
      <c r="N426" s="19" t="inlineStr">
        <is>
          <t>E</t>
        </is>
      </c>
      <c r="O426" s="20" t="inlineStr">
        <is>
          <t>No linkage found in awarded contract file</t>
        </is>
      </c>
      <c r="P426" s="19" t="inlineStr"/>
      <c r="Q426" s="19" t="inlineStr"/>
      <c r="R426" s="31" t="inlineStr"/>
      <c r="S426" s="19" t="inlineStr"/>
      <c r="T426" s="19" t="inlineStr">
        <is>
          <t>No</t>
        </is>
      </c>
      <c r="U426" s="19" t="inlineStr">
        <is>
          <t>No</t>
        </is>
      </c>
      <c r="V426" s="19" t="inlineStr">
        <is>
          <t>No</t>
        </is>
      </c>
      <c r="W426" s="19" t="inlineStr">
        <is>
          <t>No</t>
        </is>
      </c>
    </row>
    <row r="427">
      <c r="A427" s="19" t="n">
        <v>742610</v>
      </c>
      <c r="B427" s="31" t="n">
        <v>46231</v>
      </c>
      <c r="C427" s="19" t="inlineStr">
        <is>
          <t>DEPARTMENT OF FLEET AND FACILITY MANAGEMENT</t>
        </is>
      </c>
      <c r="D427" s="19" t="inlineStr">
        <is>
          <t>Eusebio Molina</t>
        </is>
      </c>
      <c r="E427" s="20" t="inlineStr">
        <is>
          <t>TB/GR/INVOICE #3931/$4000.00</t>
        </is>
      </c>
      <c r="F427" s="21" t="n">
        <v>4000</v>
      </c>
      <c r="G427" s="19" t="inlineStr">
        <is>
          <t>1. Pending New Contract - Original Contract Expired. New Contract in Process</t>
        </is>
      </c>
      <c r="H427" s="19" t="inlineStr">
        <is>
          <t>A. Specification Development Phase</t>
        </is>
      </c>
      <c r="I427" s="19" t="inlineStr">
        <is>
          <t>DENIED</t>
        </is>
      </c>
      <c r="J427" s="19" t="inlineStr">
        <is>
          <t>No</t>
        </is>
      </c>
      <c r="K427" s="19" t="inlineStr">
        <is>
          <t>No</t>
        </is>
      </c>
      <c r="L427" s="19" t="inlineStr"/>
      <c r="M427" s="19" t="inlineStr">
        <is>
          <t>RX742376</t>
        </is>
      </c>
      <c r="N427" s="19" t="inlineStr">
        <is>
          <t>E</t>
        </is>
      </c>
      <c r="O427" s="20" t="inlineStr">
        <is>
          <t>No linkage found in awarded contract file</t>
        </is>
      </c>
      <c r="P427" s="19" t="inlineStr"/>
      <c r="Q427" s="19" t="inlineStr"/>
      <c r="R427" s="31" t="inlineStr"/>
      <c r="S427" s="19" t="inlineStr"/>
      <c r="T427" s="19" t="inlineStr">
        <is>
          <t>No</t>
        </is>
      </c>
      <c r="U427" s="19" t="inlineStr">
        <is>
          <t>No</t>
        </is>
      </c>
      <c r="V427" s="19" t="inlineStr">
        <is>
          <t>No</t>
        </is>
      </c>
      <c r="W427" s="19" t="inlineStr">
        <is>
          <t>No</t>
        </is>
      </c>
    </row>
    <row r="428">
      <c r="A428" s="19" t="n">
        <v>731163</v>
      </c>
      <c r="B428" s="31" t="n">
        <v>46161</v>
      </c>
      <c r="C428" s="19" t="inlineStr">
        <is>
          <t>DEPARTMENT OF FLEET AND FACILITY MANAGEMENT</t>
        </is>
      </c>
      <c r="D428" s="19" t="inlineStr">
        <is>
          <t>CAR WASH PARTNERS INC</t>
        </is>
      </c>
      <c r="E428" s="20" t="inlineStr">
        <is>
          <t>TB/3 INVOICES/$12,770.00</t>
        </is>
      </c>
      <c r="F428" s="21" t="n">
        <v>12770</v>
      </c>
      <c r="G428" s="19" t="inlineStr">
        <is>
          <t>1. Pending New Contract - Original Contract Expired. New Contract in Process</t>
        </is>
      </c>
      <c r="H428" s="19" t="inlineStr">
        <is>
          <t>A. Specification Development Phase</t>
        </is>
      </c>
      <c r="I428" s="19" t="inlineStr">
        <is>
          <t>APPROVED</t>
        </is>
      </c>
      <c r="J428" s="19" t="inlineStr">
        <is>
          <t>Yes</t>
        </is>
      </c>
      <c r="K428" s="19" t="inlineStr">
        <is>
          <t>No</t>
        </is>
      </c>
      <c r="L428" s="19" t="inlineStr"/>
      <c r="M428" s="19" t="inlineStr">
        <is>
          <t>RX710856</t>
        </is>
      </c>
      <c r="N428" s="19" t="inlineStr">
        <is>
          <t>E</t>
        </is>
      </c>
      <c r="O428" s="20" t="inlineStr">
        <is>
          <t>No linkage found in awarded contract file</t>
        </is>
      </c>
      <c r="P428" s="19" t="inlineStr"/>
      <c r="Q428" s="19" t="inlineStr"/>
      <c r="R428" s="31" t="inlineStr"/>
      <c r="S428" s="19" t="inlineStr"/>
      <c r="T428" s="19" t="inlineStr">
        <is>
          <t>No</t>
        </is>
      </c>
      <c r="U428" s="19" t="inlineStr">
        <is>
          <t>No</t>
        </is>
      </c>
      <c r="V428" s="19" t="inlineStr">
        <is>
          <t>No</t>
        </is>
      </c>
      <c r="W428" s="19" t="inlineStr">
        <is>
          <t>Yes</t>
        </is>
      </c>
    </row>
    <row r="429">
      <c r="A429" s="19" t="n">
        <v>730688</v>
      </c>
      <c r="B429" s="31" t="n">
        <v>46161</v>
      </c>
      <c r="C429" s="19" t="inlineStr">
        <is>
          <t>DEPARTMENT OF FLEET AND FACILITY MANAGEMENT</t>
        </is>
      </c>
      <c r="D429" s="19" t="inlineStr">
        <is>
          <t>CAR WASH PARTNERS INC</t>
        </is>
      </c>
      <c r="E429" s="20" t="inlineStr">
        <is>
          <t>TB/INVOICE #8099/$1000.00</t>
        </is>
      </c>
      <c r="F429" s="21" t="n">
        <v>1000</v>
      </c>
      <c r="G429" s="19" t="inlineStr">
        <is>
          <t>1. Pending New Contract - Original Contract Expired. New Contract in Process</t>
        </is>
      </c>
      <c r="H429" s="19" t="inlineStr">
        <is>
          <t>A. Specification Development Phase</t>
        </is>
      </c>
      <c r="I429" s="19" t="inlineStr">
        <is>
          <t>APPROVED</t>
        </is>
      </c>
      <c r="J429" s="19" t="inlineStr">
        <is>
          <t>Yes</t>
        </is>
      </c>
      <c r="K429" s="19" t="inlineStr">
        <is>
          <t>No</t>
        </is>
      </c>
      <c r="L429" s="19" t="inlineStr"/>
      <c r="M429" s="19" t="inlineStr">
        <is>
          <t>RX710856</t>
        </is>
      </c>
      <c r="N429" s="19" t="inlineStr">
        <is>
          <t>E</t>
        </is>
      </c>
      <c r="O429" s="20" t="inlineStr">
        <is>
          <t>No linkage found in awarded contract file</t>
        </is>
      </c>
      <c r="P429" s="19" t="inlineStr"/>
      <c r="Q429" s="19" t="inlineStr"/>
      <c r="R429" s="31" t="inlineStr"/>
      <c r="S429" s="19" t="inlineStr"/>
      <c r="T429" s="19" t="inlineStr">
        <is>
          <t>No</t>
        </is>
      </c>
      <c r="U429" s="19" t="inlineStr">
        <is>
          <t>No</t>
        </is>
      </c>
      <c r="V429" s="19" t="inlineStr">
        <is>
          <t>No</t>
        </is>
      </c>
      <c r="W429" s="19" t="inlineStr">
        <is>
          <t>Yes</t>
        </is>
      </c>
    </row>
    <row r="430">
      <c r="A430" s="19" t="n">
        <v>729905</v>
      </c>
      <c r="B430" s="31" t="n">
        <v>46150</v>
      </c>
      <c r="C430" s="19" t="inlineStr">
        <is>
          <t>DEPARTMENT OF FLEET AND FACILITY MANAGEMENT</t>
        </is>
      </c>
      <c r="D430" s="19" t="inlineStr">
        <is>
          <t>INDUSTRIAL FENCE INC.</t>
        </is>
      </c>
      <c r="E430" s="20" t="inlineStr">
        <is>
          <t>TB/VJ/INVOICE #26410/$3061.70</t>
        </is>
      </c>
      <c r="F430" s="21" t="n">
        <v>3061.7</v>
      </c>
      <c r="G430" s="19" t="inlineStr">
        <is>
          <t>1. Pending New Contract - Original Contract Expired. New Contract in Process</t>
        </is>
      </c>
      <c r="H430" s="19" t="inlineStr">
        <is>
          <t>A. Specification Development Phase</t>
        </is>
      </c>
      <c r="I430" s="19" t="inlineStr">
        <is>
          <t>APPROVED</t>
        </is>
      </c>
      <c r="J430" s="19" t="inlineStr">
        <is>
          <t>No</t>
        </is>
      </c>
      <c r="K430" s="19" t="inlineStr">
        <is>
          <t>No</t>
        </is>
      </c>
      <c r="L430" s="19" t="inlineStr">
        <is>
          <t>TBD</t>
        </is>
      </c>
      <c r="M430" s="19" t="inlineStr">
        <is>
          <t>RX596048</t>
        </is>
      </c>
      <c r="N430" s="19" t="inlineStr">
        <is>
          <t>E</t>
        </is>
      </c>
      <c r="O430" s="20" t="inlineStr">
        <is>
          <t>No linkage found in awarded contract file</t>
        </is>
      </c>
      <c r="P430" s="19" t="inlineStr"/>
      <c r="Q430" s="19" t="inlineStr"/>
      <c r="R430" s="31" t="inlineStr"/>
      <c r="S430" s="19" t="inlineStr"/>
      <c r="T430" s="19" t="inlineStr">
        <is>
          <t>No</t>
        </is>
      </c>
      <c r="U430" s="19" t="inlineStr">
        <is>
          <t>No</t>
        </is>
      </c>
      <c r="V430" s="19" t="inlineStr">
        <is>
          <t>No</t>
        </is>
      </c>
      <c r="W430" s="19" t="inlineStr">
        <is>
          <t>No</t>
        </is>
      </c>
    </row>
    <row r="431">
      <c r="A431" s="19" t="n">
        <v>725259</v>
      </c>
      <c r="B431" s="31" t="n">
        <v>46136</v>
      </c>
      <c r="C431" s="19" t="inlineStr">
        <is>
          <t>DEPARTMENT OF FLEET AND FACILITY MANAGEMENT</t>
        </is>
      </c>
      <c r="D431" s="19" t="inlineStr">
        <is>
          <t>QUALITY CAR WASH, INC.</t>
        </is>
      </c>
      <c r="E431" s="20" t="inlineStr">
        <is>
          <t>TB/10 INVOICES/$28,879.08</t>
        </is>
      </c>
      <c r="F431" s="21" t="n">
        <v>28879.08</v>
      </c>
      <c r="G431" s="19" t="inlineStr">
        <is>
          <t>1. Pending New Contract - Original Contract Expired. New Contract in Process</t>
        </is>
      </c>
      <c r="H431" s="19" t="inlineStr">
        <is>
          <t>A. Specification Development Phase</t>
        </is>
      </c>
      <c r="I431" s="19" t="inlineStr">
        <is>
          <t>APPROVED</t>
        </is>
      </c>
      <c r="J431" s="19" t="inlineStr">
        <is>
          <t>Yes</t>
        </is>
      </c>
      <c r="K431" s="19" t="inlineStr">
        <is>
          <t>No</t>
        </is>
      </c>
      <c r="L431" s="19" t="inlineStr"/>
      <c r="M431" s="19" t="inlineStr">
        <is>
          <t>RX710856</t>
        </is>
      </c>
      <c r="N431" s="19" t="inlineStr">
        <is>
          <t>E</t>
        </is>
      </c>
      <c r="O431" s="20" t="inlineStr">
        <is>
          <t>No linkage found in awarded contract file</t>
        </is>
      </c>
      <c r="P431" s="19" t="inlineStr"/>
      <c r="Q431" s="19" t="inlineStr"/>
      <c r="R431" s="31" t="inlineStr"/>
      <c r="S431" s="19" t="inlineStr"/>
      <c r="T431" s="19" t="inlineStr">
        <is>
          <t>No</t>
        </is>
      </c>
      <c r="U431" s="19" t="inlineStr">
        <is>
          <t>No</t>
        </is>
      </c>
      <c r="V431" s="19" t="inlineStr">
        <is>
          <t>No</t>
        </is>
      </c>
      <c r="W431" s="19" t="inlineStr">
        <is>
          <t>Yes</t>
        </is>
      </c>
    </row>
    <row r="432">
      <c r="A432" s="19" t="n">
        <v>725155</v>
      </c>
      <c r="B432" s="31" t="n">
        <v>46135</v>
      </c>
      <c r="C432" s="19" t="inlineStr">
        <is>
          <t>DEPARTMENT OF FLEET AND FACILITY MANAGEMENT</t>
        </is>
      </c>
      <c r="D432" s="19" t="inlineStr">
        <is>
          <t>WAREHOUSE DIRECT, INC.</t>
        </is>
      </c>
      <c r="E432" s="20" t="inlineStr">
        <is>
          <t>TB/GR/INV#6101269-0/$6272.00</t>
        </is>
      </c>
      <c r="F432" s="21" t="n">
        <v>6272</v>
      </c>
      <c r="G432" s="19" t="inlineStr">
        <is>
          <t>1. Pending New Contract - Original Contract Expired. New Contract in Process</t>
        </is>
      </c>
      <c r="H432" s="19" t="inlineStr">
        <is>
          <t>A. Specification Development Phase</t>
        </is>
      </c>
      <c r="I432" s="19" t="inlineStr">
        <is>
          <t>DENIED</t>
        </is>
      </c>
      <c r="J432" s="19" t="inlineStr">
        <is>
          <t>Yes</t>
        </is>
      </c>
      <c r="K432" s="19" t="inlineStr">
        <is>
          <t>No</t>
        </is>
      </c>
      <c r="L432" s="19" t="inlineStr"/>
      <c r="M432" s="19" t="inlineStr">
        <is>
          <t>RX677490</t>
        </is>
      </c>
      <c r="N432" s="19" t="inlineStr">
        <is>
          <t>E</t>
        </is>
      </c>
      <c r="O432" s="20" t="inlineStr">
        <is>
          <t>No linkage found in awarded contract file</t>
        </is>
      </c>
      <c r="P432" s="19" t="inlineStr"/>
      <c r="Q432" s="19" t="inlineStr"/>
      <c r="R432" s="31" t="inlineStr"/>
      <c r="S432" s="19" t="inlineStr"/>
      <c r="T432" s="19" t="inlineStr">
        <is>
          <t>No</t>
        </is>
      </c>
      <c r="U432" s="19" t="inlineStr">
        <is>
          <t>No</t>
        </is>
      </c>
      <c r="V432" s="19" t="inlineStr">
        <is>
          <t>No</t>
        </is>
      </c>
      <c r="W432" s="19" t="inlineStr">
        <is>
          <t>Yes</t>
        </is>
      </c>
    </row>
    <row r="433">
      <c r="A433" s="19" t="n">
        <v>729578</v>
      </c>
      <c r="B433" s="31" t="n">
        <v>46150</v>
      </c>
      <c r="C433" s="19" t="inlineStr">
        <is>
          <t>DEPARTMENT OF FLEET AND FACILITY MANAGEMENT</t>
        </is>
      </c>
      <c r="D433" s="19" t="inlineStr">
        <is>
          <t>5410 Car Wash LLC</t>
        </is>
      </c>
      <c r="E433" s="20" t="inlineStr">
        <is>
          <t>TB/2 INVOICES/$1560.00</t>
        </is>
      </c>
      <c r="F433" s="21" t="n">
        <v>1560</v>
      </c>
      <c r="G433" s="19" t="inlineStr">
        <is>
          <t>1. Pending New Contract - Original Contract Expired. New Contract in Process</t>
        </is>
      </c>
      <c r="H433" s="19" t="inlineStr">
        <is>
          <t>A. Specification Development Phase</t>
        </is>
      </c>
      <c r="I433" s="19" t="inlineStr">
        <is>
          <t>APPROVED</t>
        </is>
      </c>
      <c r="J433" s="19" t="inlineStr">
        <is>
          <t>Yes</t>
        </is>
      </c>
      <c r="K433" s="19" t="inlineStr">
        <is>
          <t>No</t>
        </is>
      </c>
      <c r="L433" s="19" t="inlineStr"/>
      <c r="M433" s="19" t="inlineStr">
        <is>
          <t>RX710856</t>
        </is>
      </c>
      <c r="N433" s="19" t="inlineStr">
        <is>
          <t>E</t>
        </is>
      </c>
      <c r="O433" s="20" t="inlineStr">
        <is>
          <t>No linkage found in awarded contract file</t>
        </is>
      </c>
      <c r="P433" s="19" t="inlineStr"/>
      <c r="Q433" s="19" t="inlineStr"/>
      <c r="R433" s="31" t="inlineStr"/>
      <c r="S433" s="19" t="inlineStr"/>
      <c r="T433" s="19" t="inlineStr">
        <is>
          <t>No</t>
        </is>
      </c>
      <c r="U433" s="19" t="inlineStr">
        <is>
          <t>No</t>
        </is>
      </c>
      <c r="V433" s="19" t="inlineStr">
        <is>
          <t>No</t>
        </is>
      </c>
      <c r="W433" s="19" t="inlineStr">
        <is>
          <t>Yes</t>
        </is>
      </c>
    </row>
    <row r="434">
      <c r="A434" s="19" t="n">
        <v>744037</v>
      </c>
      <c r="B434" s="31" t="n">
        <v>46238</v>
      </c>
      <c r="C434" s="19" t="inlineStr">
        <is>
          <t>CHICAGO DEPARTMENT OF PUBLIC HEALTH</t>
        </is>
      </c>
      <c r="D434" s="19" t="inlineStr">
        <is>
          <t>A. M. C. MECHANICAL, INC.</t>
        </is>
      </c>
      <c r="E434" s="20" t="inlineStr">
        <is>
          <t>Replace 2-12V Batteries for Core point Scientific Ric</t>
        </is>
      </c>
      <c r="F434" s="21" t="n">
        <v>787.58</v>
      </c>
      <c r="G434" s="19" t="inlineStr">
        <is>
          <t>3. One Time Purchase</t>
        </is>
      </c>
      <c r="H434" s="19" t="inlineStr">
        <is>
          <t>H. One Time Purchase</t>
        </is>
      </c>
      <c r="I434" s="19" t="inlineStr">
        <is>
          <t>APPROVED</t>
        </is>
      </c>
      <c r="J434" s="19" t="inlineStr">
        <is>
          <t>No</t>
        </is>
      </c>
      <c r="K434" s="19" t="inlineStr">
        <is>
          <t>No</t>
        </is>
      </c>
      <c r="L434" s="19" t="inlineStr"/>
      <c r="M434" s="19" t="inlineStr">
        <is>
          <t>VDA M C MECHANICAL</t>
        </is>
      </c>
      <c r="N434" s="19" t="inlineStr">
        <is>
          <t>E</t>
        </is>
      </c>
      <c r="O434" s="20" t="inlineStr">
        <is>
          <t>No linkage found in awarded contract file</t>
        </is>
      </c>
      <c r="P434" s="19" t="inlineStr"/>
      <c r="Q434" s="19" t="inlineStr"/>
      <c r="R434" s="31" t="inlineStr"/>
      <c r="S434" s="19" t="inlineStr"/>
      <c r="T434" s="19" t="inlineStr">
        <is>
          <t>No</t>
        </is>
      </c>
      <c r="U434" s="19" t="inlineStr">
        <is>
          <t>No</t>
        </is>
      </c>
      <c r="V434" s="19" t="inlineStr">
        <is>
          <t>No</t>
        </is>
      </c>
      <c r="W434" s="19" t="inlineStr">
        <is>
          <t>No</t>
        </is>
      </c>
    </row>
    <row r="435">
      <c r="A435" s="19" t="n">
        <v>708543</v>
      </c>
      <c r="B435" s="31" t="n">
        <v>46036</v>
      </c>
      <c r="C435" s="19" t="inlineStr">
        <is>
          <t>DEPARTMENT OF PROCUREMENT SERVICES</t>
        </is>
      </c>
      <c r="D435" s="19" t="inlineStr">
        <is>
          <t>A BEST SCALE CO</t>
        </is>
      </c>
      <c r="E435" s="20" t="inlineStr">
        <is>
          <t>MAINTENANCE AND REPAIR SERVICE ON TRUCK SCALES. - QUARTERLY TRUCK SCALE MAINTENANCE AND REPAIRS PER DETAILED SPECIFICATION Q4 2025</t>
        </is>
      </c>
      <c r="F435" s="21" t="n">
        <v>450</v>
      </c>
      <c r="G435" s="19" t="inlineStr">
        <is>
          <t>4. Invoice Reconciliation - Invoice Received after Contract Expiration</t>
        </is>
      </c>
      <c r="H435" s="19" t="inlineStr">
        <is>
          <t>F. SC - (Signature Cycle)</t>
        </is>
      </c>
      <c r="I435" s="19" t="inlineStr">
        <is>
          <t>APPROVED</t>
        </is>
      </c>
      <c r="J435" s="19" t="inlineStr">
        <is>
          <t>Yes</t>
        </is>
      </c>
      <c r="K435" s="19" t="inlineStr">
        <is>
          <t>Yes</t>
        </is>
      </c>
      <c r="L435" s="19" t="n">
        <v>1424904</v>
      </c>
      <c r="M435" s="19" t="inlineStr">
        <is>
          <t>RX653063</t>
        </is>
      </c>
      <c r="N435" s="19" t="inlineStr">
        <is>
          <t>A</t>
        </is>
      </c>
      <c r="O435" s="20" t="inlineStr">
        <is>
          <t>Requisition ID link: Exhibit B new-contract RX = awarded REQ</t>
        </is>
      </c>
      <c r="P435" s="19" t="inlineStr">
        <is>
          <t>383993</t>
        </is>
      </c>
      <c r="Q435" s="19" t="inlineStr">
        <is>
          <t>ABEST SCALE CO., INC.</t>
        </is>
      </c>
      <c r="R435" s="31" t="n">
        <v>46063</v>
      </c>
      <c r="S435" s="19" t="inlineStr">
        <is>
          <t>BID</t>
        </is>
      </c>
      <c r="T435" s="19" t="inlineStr">
        <is>
          <t>Yes</t>
        </is>
      </c>
      <c r="U435" s="19" t="inlineStr">
        <is>
          <t>Yes</t>
        </is>
      </c>
      <c r="V435" s="19" t="inlineStr">
        <is>
          <t>No</t>
        </is>
      </c>
      <c r="W435" s="19" t="inlineStr">
        <is>
          <t>No</t>
        </is>
      </c>
    </row>
    <row r="436">
      <c r="A436" s="19" t="n">
        <v>722165</v>
      </c>
      <c r="B436" s="31" t="n">
        <v>46118</v>
      </c>
      <c r="C436" s="19" t="inlineStr">
        <is>
          <t>DEPARTMENT OF PROCUREMENT SERVICES</t>
        </is>
      </c>
      <c r="D436" s="19" t="inlineStr">
        <is>
          <t>Service Sanitation Inc.</t>
        </is>
      </c>
      <c r="E436" s="20" t="inlineStr">
        <is>
          <t>RENTAL AND MAINTENANCE OF PORTABLE CHEMICAL TOILETS, SINKS, WASTE WATER BARRELS, PORTABLE WATERLESS HAND SANITIZER DISPENSERS, FRESH WATER TRAILER AND PORTABLE SHOWERS at 10101 S Stony Island Ave Feb 2026</t>
        </is>
      </c>
      <c r="F436" s="21" t="n">
        <v>0</v>
      </c>
      <c r="G436" s="19" t="inlineStr">
        <is>
          <t>2. Pending Amendment/Modification - Line Item Addition / Vendor Limit Increase / Scope Change</t>
        </is>
      </c>
      <c r="H436" s="19" t="inlineStr">
        <is>
          <t>F. SC - (Signature Cycle)</t>
        </is>
      </c>
      <c r="I436" s="19" t="inlineStr"/>
      <c r="J436" s="19" t="inlineStr">
        <is>
          <t>Yes</t>
        </is>
      </c>
      <c r="K436" s="19" t="inlineStr">
        <is>
          <t>No</t>
        </is>
      </c>
      <c r="L436" s="19" t="n">
        <v>104512</v>
      </c>
      <c r="M436" s="19" t="inlineStr">
        <is>
          <t>RX701842</t>
        </is>
      </c>
      <c r="N436" s="19" t="inlineStr">
        <is>
          <t>B</t>
        </is>
      </c>
      <c r="O436" s="20" t="inlineStr">
        <is>
          <t>Vendor match + commodity overlap (similarity 0.50)</t>
        </is>
      </c>
      <c r="P436" s="19" t="inlineStr">
        <is>
          <t>381051</t>
        </is>
      </c>
      <c r="Q436" s="19" t="inlineStr">
        <is>
          <t>Service Sanitation Inc.</t>
        </is>
      </c>
      <c r="R436" s="31" t="n">
        <v>46203</v>
      </c>
      <c r="S436" s="19" t="inlineStr">
        <is>
          <t>BID</t>
        </is>
      </c>
      <c r="T436" s="19" t="inlineStr">
        <is>
          <t>Yes</t>
        </is>
      </c>
      <c r="U436" s="19" t="inlineStr">
        <is>
          <t>Yes</t>
        </is>
      </c>
      <c r="V436" s="19" t="inlineStr">
        <is>
          <t>No</t>
        </is>
      </c>
      <c r="W436" s="19" t="inlineStr">
        <is>
          <t>Yes</t>
        </is>
      </c>
    </row>
    <row r="437">
      <c r="A437" s="19" t="n">
        <v>718434</v>
      </c>
      <c r="B437" s="31" t="n">
        <v>46097</v>
      </c>
      <c r="C437" s="19" t="inlineStr">
        <is>
          <t>CHICAGO DEPARTMENT OF PUBLIC HEALTH</t>
        </is>
      </c>
      <c r="D437" s="19" t="inlineStr">
        <is>
          <t>SUNBELT STAFFING LLC</t>
        </is>
      </c>
      <c r="E437" s="20" t="inlineStr">
        <is>
          <t>LADALLA, JONATHAN - PROJECT MANAGER</t>
        </is>
      </c>
      <c r="F437" s="21" t="n">
        <v>18711</v>
      </c>
      <c r="G437" s="19" t="inlineStr">
        <is>
          <t>1. Pending New Contract - Original Contract Expired. New Contract in Process</t>
        </is>
      </c>
      <c r="H437" s="19" t="inlineStr">
        <is>
          <t>F. SC - (Signature Cycle)</t>
        </is>
      </c>
      <c r="I437" s="19" t="inlineStr">
        <is>
          <t>APPROVED</t>
        </is>
      </c>
      <c r="J437" s="19" t="inlineStr">
        <is>
          <t>Yes</t>
        </is>
      </c>
      <c r="K437" s="19" t="inlineStr">
        <is>
          <t>No</t>
        </is>
      </c>
      <c r="L437" s="19" t="inlineStr"/>
      <c r="M437" s="19" t="inlineStr">
        <is>
          <t>VDSUNBELT STAFFING</t>
        </is>
      </c>
      <c r="N437" s="19" t="inlineStr">
        <is>
          <t>E</t>
        </is>
      </c>
      <c r="O437" s="20" t="inlineStr">
        <is>
          <t>No linkage found in awarded contract file</t>
        </is>
      </c>
      <c r="P437" s="19" t="inlineStr"/>
      <c r="Q437" s="19" t="inlineStr"/>
      <c r="R437" s="31" t="inlineStr"/>
      <c r="S437" s="19" t="inlineStr"/>
      <c r="T437" s="19" t="inlineStr">
        <is>
          <t>No</t>
        </is>
      </c>
      <c r="U437" s="19" t="inlineStr">
        <is>
          <t>No</t>
        </is>
      </c>
      <c r="V437" s="19" t="inlineStr">
        <is>
          <t>No</t>
        </is>
      </c>
      <c r="W437" s="19" t="inlineStr">
        <is>
          <t>Yes</t>
        </is>
      </c>
    </row>
    <row r="438">
      <c r="A438" s="19" t="n">
        <v>729486</v>
      </c>
      <c r="B438" s="31" t="n">
        <v>46150</v>
      </c>
      <c r="C438" s="19" t="inlineStr">
        <is>
          <t>CHICAGO DEPARTMENT OF AVIATION</t>
        </is>
      </c>
      <c r="D438" s="19" t="inlineStr">
        <is>
          <t>SCHINDLER ELEVATOR CORP</t>
        </is>
      </c>
      <c r="E438" s="20" t="inlineStr">
        <is>
          <t>#5 Invoices  $961,315.86  Requesting a Direct Voucher - Exhibit B for O'Hare due to expired contract. Elevators,1-MOD/Final 5/6/26 nt</t>
        </is>
      </c>
      <c r="F438" s="21" t="n">
        <v>961315.86</v>
      </c>
      <c r="G438" s="19" t="inlineStr">
        <is>
          <t>1. Pending New Contract - Original Contract Expired. New Contract in Process</t>
        </is>
      </c>
      <c r="H438" s="19" t="inlineStr">
        <is>
          <t>D. Solicitation Response Under Evaluation</t>
        </is>
      </c>
      <c r="I438" s="19" t="inlineStr">
        <is>
          <t>APPROVED</t>
        </is>
      </c>
      <c r="J438" s="19" t="inlineStr">
        <is>
          <t>No</t>
        </is>
      </c>
      <c r="K438" s="19" t="inlineStr">
        <is>
          <t>No</t>
        </is>
      </c>
      <c r="L438" s="19" t="inlineStr"/>
      <c r="M438" s="19" t="inlineStr">
        <is>
          <t>RX604388</t>
        </is>
      </c>
      <c r="N438" s="19" t="inlineStr">
        <is>
          <t>E</t>
        </is>
      </c>
      <c r="O438" s="20" t="inlineStr">
        <is>
          <t>No linkage found in awarded contract file</t>
        </is>
      </c>
      <c r="P438" s="19" t="inlineStr"/>
      <c r="Q438" s="19" t="inlineStr"/>
      <c r="R438" s="31" t="inlineStr"/>
      <c r="S438" s="19" t="inlineStr"/>
      <c r="T438" s="19" t="inlineStr">
        <is>
          <t>No</t>
        </is>
      </c>
      <c r="U438" s="19" t="inlineStr">
        <is>
          <t>No</t>
        </is>
      </c>
      <c r="V438" s="19" t="inlineStr">
        <is>
          <t>No</t>
        </is>
      </c>
      <c r="W438" s="19" t="inlineStr">
        <is>
          <t>No</t>
        </is>
      </c>
    </row>
    <row r="439">
      <c r="A439" s="19" t="n">
        <v>741522</v>
      </c>
      <c r="B439" s="31" t="n">
        <v>46223</v>
      </c>
      <c r="C439" s="19" t="inlineStr">
        <is>
          <t>DEPARTMENT OF FLEET AND FACILITY MANAGEMENT</t>
        </is>
      </c>
      <c r="D439" s="19" t="inlineStr">
        <is>
          <t>DAYSPRING PROFESSIONAL JANITOR</t>
        </is>
      </c>
      <c r="E439" s="20" t="inlineStr">
        <is>
          <t>DAYSPRING 51588021 AJS/ VJ/ Invoice # C2606301/ $247,003.46/ June 2026</t>
        </is>
      </c>
      <c r="F439" s="21" t="n">
        <v>247003.46</v>
      </c>
      <c r="G439" s="19" t="inlineStr">
        <is>
          <t>1. Pending New Contract - Original Contract Expired. New Contract in Process</t>
        </is>
      </c>
      <c r="H439" s="19" t="inlineStr">
        <is>
          <t>A. Specification Development Phase</t>
        </is>
      </c>
      <c r="I439" s="19" t="inlineStr">
        <is>
          <t>APPROVED</t>
        </is>
      </c>
      <c r="J439" s="19" t="inlineStr">
        <is>
          <t>Yes</t>
        </is>
      </c>
      <c r="K439" s="19" t="inlineStr">
        <is>
          <t>No</t>
        </is>
      </c>
      <c r="L439" s="19" t="inlineStr"/>
      <c r="M439" s="19" t="inlineStr">
        <is>
          <t>RX624331</t>
        </is>
      </c>
      <c r="N439" s="19" t="inlineStr">
        <is>
          <t>E</t>
        </is>
      </c>
      <c r="O439" s="20" t="inlineStr">
        <is>
          <t>No linkage found in awarded contract file</t>
        </is>
      </c>
      <c r="P439" s="19" t="inlineStr"/>
      <c r="Q439" s="19" t="inlineStr"/>
      <c r="R439" s="31" t="inlineStr"/>
      <c r="S439" s="19" t="inlineStr"/>
      <c r="T439" s="19" t="inlineStr">
        <is>
          <t>No</t>
        </is>
      </c>
      <c r="U439" s="19" t="inlineStr">
        <is>
          <t>No</t>
        </is>
      </c>
      <c r="V439" s="19" t="inlineStr">
        <is>
          <t>No</t>
        </is>
      </c>
      <c r="W439" s="19" t="inlineStr">
        <is>
          <t>Yes</t>
        </is>
      </c>
    </row>
    <row r="440">
      <c r="A440" s="19" t="n">
        <v>716009</v>
      </c>
      <c r="B440" s="31" t="n">
        <v>46078</v>
      </c>
      <c r="C440" s="19" t="inlineStr">
        <is>
          <t>DEPARTMENT OF FLEET AND FACILITY MANAGEMENT</t>
        </is>
      </c>
      <c r="D440" s="19" t="inlineStr">
        <is>
          <t>P. R. STREICH &amp; SONS</t>
        </is>
      </c>
      <c r="E440" s="20" t="inlineStr">
        <is>
          <t>PR Streich 832755 A  JS/ DE/ INV # 56961/ $10,706.45/ DEPT 81/ WO 2546194</t>
        </is>
      </c>
      <c r="F440" s="21" t="n">
        <v>10706.45</v>
      </c>
      <c r="G440" s="19" t="inlineStr">
        <is>
          <t>1. Pending New Contract - Original Contract Expired. New Contract in Process</t>
        </is>
      </c>
      <c r="H440" s="19" t="inlineStr">
        <is>
          <t>B. City Law Review</t>
        </is>
      </c>
      <c r="I440" s="19" t="inlineStr">
        <is>
          <t>APPROVED</t>
        </is>
      </c>
      <c r="J440" s="19" t="inlineStr">
        <is>
          <t>Yes</t>
        </is>
      </c>
      <c r="K440" s="19" t="inlineStr">
        <is>
          <t>No</t>
        </is>
      </c>
      <c r="L440" s="19" t="inlineStr">
        <is>
          <t>TBD</t>
        </is>
      </c>
      <c r="M440" s="19" t="inlineStr">
        <is>
          <t>RX679901</t>
        </is>
      </c>
      <c r="N440" s="19" t="inlineStr">
        <is>
          <t>E</t>
        </is>
      </c>
      <c r="O440" s="20" t="inlineStr">
        <is>
          <t>No linkage found in awarded contract file</t>
        </is>
      </c>
      <c r="P440" s="19" t="inlineStr"/>
      <c r="Q440" s="19" t="inlineStr"/>
      <c r="R440" s="31" t="inlineStr"/>
      <c r="S440" s="19" t="inlineStr"/>
      <c r="T440" s="19" t="inlineStr">
        <is>
          <t>No</t>
        </is>
      </c>
      <c r="U440" s="19" t="inlineStr">
        <is>
          <t>No</t>
        </is>
      </c>
      <c r="V440" s="19" t="inlineStr">
        <is>
          <t>No</t>
        </is>
      </c>
      <c r="W440" s="19" t="inlineStr">
        <is>
          <t>Yes</t>
        </is>
      </c>
    </row>
    <row r="441">
      <c r="A441" s="19" t="n">
        <v>718384</v>
      </c>
      <c r="B441" s="31" t="n">
        <v>46097</v>
      </c>
      <c r="C441" s="19" t="inlineStr">
        <is>
          <t>DEPARTMENT OF FLEET AND FACILITY MANAGEMENT</t>
        </is>
      </c>
      <c r="D441" s="19" t="inlineStr">
        <is>
          <t>Service Sanitation Inc.</t>
        </is>
      </c>
      <c r="E441" s="20" t="inlineStr">
        <is>
          <t>SERVICE SANITATION 1017049 A  JS/ JR/ INV # 9278282/ $6,700.00/ Monthly rental of restroom trailers January 2026</t>
        </is>
      </c>
      <c r="F441" s="21" t="n">
        <v>6700</v>
      </c>
      <c r="G441" s="19" t="inlineStr">
        <is>
          <t>1. Pending New Contract - Original Contract Expired. New Contract in Process</t>
        </is>
      </c>
      <c r="H441" s="19" t="inlineStr">
        <is>
          <t>D. Solicitation Response Under Evaluation</t>
        </is>
      </c>
      <c r="I441" s="19" t="inlineStr">
        <is>
          <t>APPROVED</t>
        </is>
      </c>
      <c r="J441" s="19" t="inlineStr">
        <is>
          <t>Yes</t>
        </is>
      </c>
      <c r="K441" s="19" t="inlineStr">
        <is>
          <t>No</t>
        </is>
      </c>
      <c r="L441" s="19" t="inlineStr"/>
      <c r="M441" s="19" t="inlineStr">
        <is>
          <t>RX700212</t>
        </is>
      </c>
      <c r="N441" s="19" t="inlineStr">
        <is>
          <t>C</t>
        </is>
      </c>
      <c r="O441" s="20" t="inlineStr">
        <is>
          <t>Vendor name match only (similarity 0.04)</t>
        </is>
      </c>
      <c r="P441" s="19" t="inlineStr">
        <is>
          <t>381051</t>
        </is>
      </c>
      <c r="Q441" s="19" t="inlineStr">
        <is>
          <t>Service Sanitation Inc.</t>
        </is>
      </c>
      <c r="R441" s="31" t="n">
        <v>46203</v>
      </c>
      <c r="S441" s="19" t="inlineStr">
        <is>
          <t>BID</t>
        </is>
      </c>
      <c r="T441" s="19" t="inlineStr">
        <is>
          <t>Yes</t>
        </is>
      </c>
      <c r="U441" s="19" t="inlineStr">
        <is>
          <t>No</t>
        </is>
      </c>
      <c r="V441" s="19" t="inlineStr">
        <is>
          <t>No</t>
        </is>
      </c>
      <c r="W441" s="19" t="inlineStr">
        <is>
          <t>Yes</t>
        </is>
      </c>
    </row>
    <row r="442">
      <c r="A442" s="19" t="n">
        <v>743721</v>
      </c>
      <c r="B442" s="31" t="n">
        <v>46238</v>
      </c>
      <c r="C442" s="19" t="inlineStr">
        <is>
          <t>DEPARTMENT OF FLEET AND FACILITY MANAGEMENT</t>
        </is>
      </c>
      <c r="D442" s="19" t="inlineStr">
        <is>
          <t>CHARLES EQUIPMENT ENERGY SYSTEMS LLC</t>
        </is>
      </c>
      <c r="E442" s="20" t="inlineStr">
        <is>
          <t>Charles Equipment 157247 A   JS/ CE/ 6-Invoices / $13,141.07/ June 2026/ Repair and Maintenance/ WO 5265831</t>
        </is>
      </c>
      <c r="F442" s="21" t="n">
        <v>13141.07</v>
      </c>
      <c r="G442" s="19" t="inlineStr">
        <is>
          <t>1. Pending New Contract - Original Contract Expired. New Contract in Process</t>
        </is>
      </c>
      <c r="H442" s="19" t="inlineStr">
        <is>
          <t>A. Specification Development Phase</t>
        </is>
      </c>
      <c r="I442" s="19" t="inlineStr">
        <is>
          <t>APPROVED</t>
        </is>
      </c>
      <c r="J442" s="19" t="inlineStr">
        <is>
          <t>Yes</t>
        </is>
      </c>
      <c r="K442" s="19" t="inlineStr">
        <is>
          <t>No</t>
        </is>
      </c>
      <c r="L442" s="19" t="inlineStr"/>
      <c r="M442" s="19" t="inlineStr">
        <is>
          <t>RX622326</t>
        </is>
      </c>
      <c r="N442" s="19" t="inlineStr">
        <is>
          <t>E</t>
        </is>
      </c>
      <c r="O442" s="20" t="inlineStr">
        <is>
          <t>No linkage found in awarded contract file</t>
        </is>
      </c>
      <c r="P442" s="19" t="inlineStr"/>
      <c r="Q442" s="19" t="inlineStr"/>
      <c r="R442" s="31" t="inlineStr"/>
      <c r="S442" s="19" t="inlineStr"/>
      <c r="T442" s="19" t="inlineStr">
        <is>
          <t>No</t>
        </is>
      </c>
      <c r="U442" s="19" t="inlineStr">
        <is>
          <t>No</t>
        </is>
      </c>
      <c r="V442" s="19" t="inlineStr">
        <is>
          <t>No</t>
        </is>
      </c>
      <c r="W442" s="19" t="inlineStr">
        <is>
          <t>Yes</t>
        </is>
      </c>
    </row>
    <row r="443">
      <c r="A443" s="19" t="n">
        <v>722203</v>
      </c>
      <c r="B443" s="31" t="n">
        <v>46118</v>
      </c>
      <c r="C443" s="19" t="inlineStr">
        <is>
          <t>DEPARTMENT OF FLEET AND FACILITY MANAGEMENT</t>
        </is>
      </c>
      <c r="D443" s="19" t="inlineStr">
        <is>
          <t>WASTE MANAGEMENT - METRO 01</t>
        </is>
      </c>
      <c r="E443" s="20" t="inlineStr">
        <is>
          <t>Waste Management 1040290 J    JS/ AH/ 4-INVOICES/ $22,700.64/ Jan &amp; Feb / Monthly Service</t>
        </is>
      </c>
      <c r="F443" s="21" t="n">
        <v>22700.64</v>
      </c>
      <c r="G443" s="19" t="inlineStr">
        <is>
          <t>2. Pending Amendment/Modification - Line Item Addition / Vendor Limit Increase / Scope Change</t>
        </is>
      </c>
      <c r="H443" s="19" t="inlineStr">
        <is>
          <t>B. City Law Review</t>
        </is>
      </c>
      <c r="I443" s="19" t="inlineStr">
        <is>
          <t>APPROVED</t>
        </is>
      </c>
      <c r="J443" s="19" t="inlineStr">
        <is>
          <t>No</t>
        </is>
      </c>
      <c r="K443" s="19" t="inlineStr">
        <is>
          <t>No</t>
        </is>
      </c>
      <c r="L443" s="19" t="inlineStr"/>
      <c r="M443" s="19" t="inlineStr">
        <is>
          <t>RX606988</t>
        </is>
      </c>
      <c r="N443" s="19" t="inlineStr">
        <is>
          <t>E</t>
        </is>
      </c>
      <c r="O443" s="20" t="inlineStr">
        <is>
          <t>No linkage found in awarded contract file</t>
        </is>
      </c>
      <c r="P443" s="19" t="inlineStr"/>
      <c r="Q443" s="19" t="inlineStr"/>
      <c r="R443" s="31" t="inlineStr"/>
      <c r="S443" s="19" t="inlineStr"/>
      <c r="T443" s="19" t="inlineStr">
        <is>
          <t>No</t>
        </is>
      </c>
      <c r="U443" s="19" t="inlineStr">
        <is>
          <t>No</t>
        </is>
      </c>
      <c r="V443" s="19" t="inlineStr">
        <is>
          <t>No</t>
        </is>
      </c>
      <c r="W443" s="19" t="inlineStr">
        <is>
          <t>No</t>
        </is>
      </c>
    </row>
    <row r="444">
      <c r="A444" s="19" t="n">
        <v>717957</v>
      </c>
      <c r="B444" s="31" t="n">
        <v>46087</v>
      </c>
      <c r="C444" s="19" t="inlineStr">
        <is>
          <t>DEPARTMENT OF FLEET AND FACILITY MANAGEMENT</t>
        </is>
      </c>
      <c r="D444" s="19" t="inlineStr">
        <is>
          <t>PRESSURE WASHING SYSTEMS</t>
        </is>
      </c>
      <c r="E444" s="20" t="inlineStr">
        <is>
          <t>Pressure Washing 1064296 B   JS/ MM/ INVOICE#  INV109385/ $224.00/ DEPT81/ WO 25822892/ OH</t>
        </is>
      </c>
      <c r="F444" s="21" t="n">
        <v>224</v>
      </c>
      <c r="G444" s="19" t="inlineStr">
        <is>
          <t>1. Pending New Contract - Original Contract Expired. New Contract in Process</t>
        </is>
      </c>
      <c r="H444" s="19" t="inlineStr">
        <is>
          <t>A. Specification Development Phase</t>
        </is>
      </c>
      <c r="I444" s="19" t="inlineStr">
        <is>
          <t>APPROVED</t>
        </is>
      </c>
      <c r="J444" s="19" t="inlineStr">
        <is>
          <t>Yes</t>
        </is>
      </c>
      <c r="K444" s="19" t="inlineStr">
        <is>
          <t>No</t>
        </is>
      </c>
      <c r="L444" s="19" t="inlineStr"/>
      <c r="M444" s="19" t="inlineStr">
        <is>
          <t>RX708700</t>
        </is>
      </c>
      <c r="N444" s="19" t="inlineStr">
        <is>
          <t>E</t>
        </is>
      </c>
      <c r="O444" s="20" t="inlineStr">
        <is>
          <t>No linkage found in awarded contract file</t>
        </is>
      </c>
      <c r="P444" s="19" t="inlineStr"/>
      <c r="Q444" s="19" t="inlineStr"/>
      <c r="R444" s="31" t="inlineStr"/>
      <c r="S444" s="19" t="inlineStr"/>
      <c r="T444" s="19" t="inlineStr">
        <is>
          <t>No</t>
        </is>
      </c>
      <c r="U444" s="19" t="inlineStr">
        <is>
          <t>No</t>
        </is>
      </c>
      <c r="V444" s="19" t="inlineStr">
        <is>
          <t>No</t>
        </is>
      </c>
      <c r="W444" s="19" t="inlineStr">
        <is>
          <t>Yes</t>
        </is>
      </c>
    </row>
    <row r="445">
      <c r="A445" s="19" t="n">
        <v>737666</v>
      </c>
      <c r="B445" s="31" t="n">
        <v>46197</v>
      </c>
      <c r="C445" s="19" t="inlineStr">
        <is>
          <t>DEPARTMENT OF FLEET AND FACILITY MANAGEMENT</t>
        </is>
      </c>
      <c r="D445" s="19" t="inlineStr">
        <is>
          <t>JACOB PRESS' SONS INC</t>
        </is>
      </c>
      <c r="E445" s="20" t="inlineStr">
        <is>
          <t>JACOB PRESS SONS 1052840 B  JS/ JM/ Invoice 598592/ $1,158.14/ FM4510/ WO 2622077/ 3812 S. Iron/ Annual Tank Inspection</t>
        </is>
      </c>
      <c r="F445" s="21" t="n">
        <v>1158.14</v>
      </c>
      <c r="G445" s="19" t="inlineStr">
        <is>
          <t>1. Pending New Contract - Original Contract Expired. New Contract in Process</t>
        </is>
      </c>
      <c r="H445" s="19" t="inlineStr">
        <is>
          <t>B. City Law Review</t>
        </is>
      </c>
      <c r="I445" s="19" t="inlineStr">
        <is>
          <t>APPROVED</t>
        </is>
      </c>
      <c r="J445" s="19" t="inlineStr">
        <is>
          <t>Yes</t>
        </is>
      </c>
      <c r="K445" s="19" t="inlineStr">
        <is>
          <t>No</t>
        </is>
      </c>
      <c r="L445" s="19" t="inlineStr"/>
      <c r="M445" s="19" t="inlineStr">
        <is>
          <t>RX590958</t>
        </is>
      </c>
      <c r="N445" s="19" t="inlineStr">
        <is>
          <t>E</t>
        </is>
      </c>
      <c r="O445" s="20" t="inlineStr">
        <is>
          <t>No linkage found in awarded contract file</t>
        </is>
      </c>
      <c r="P445" s="19" t="inlineStr"/>
      <c r="Q445" s="19" t="inlineStr"/>
      <c r="R445" s="31" t="inlineStr"/>
      <c r="S445" s="19" t="inlineStr"/>
      <c r="T445" s="19" t="inlineStr">
        <is>
          <t>No</t>
        </is>
      </c>
      <c r="U445" s="19" t="inlineStr">
        <is>
          <t>No</t>
        </is>
      </c>
      <c r="V445" s="19" t="inlineStr">
        <is>
          <t>No</t>
        </is>
      </c>
      <c r="W445" s="19" t="inlineStr">
        <is>
          <t>Yes</t>
        </is>
      </c>
    </row>
    <row r="446">
      <c r="A446" s="19" t="n">
        <v>714671</v>
      </c>
      <c r="B446" s="31" t="n">
        <v>46072</v>
      </c>
      <c r="C446" s="19" t="inlineStr">
        <is>
          <t>DEPARTMENT OF FLEET AND FACILITY MANAGEMENT</t>
        </is>
      </c>
      <c r="D446" s="19" t="inlineStr">
        <is>
          <t>MURNANE PAPER COMPANY</t>
        </is>
      </c>
      <c r="E446" s="20" t="inlineStr">
        <is>
          <t>MURNANE PAPER 57163729 A JS/ JM/ Inv # 231441/ $9,990.00</t>
        </is>
      </c>
      <c r="F446" s="21" t="n">
        <v>9990</v>
      </c>
      <c r="G446" s="19" t="inlineStr">
        <is>
          <t>1. Pending New Contract - Original Contract Expired. New Contract in Process</t>
        </is>
      </c>
      <c r="H446" s="19" t="inlineStr">
        <is>
          <t>A. Specification Development Phase</t>
        </is>
      </c>
      <c r="I446" s="19" t="inlineStr">
        <is>
          <t>APPROVED</t>
        </is>
      </c>
      <c r="J446" s="19" t="inlineStr">
        <is>
          <t>No</t>
        </is>
      </c>
      <c r="K446" s="19" t="inlineStr">
        <is>
          <t>No</t>
        </is>
      </c>
      <c r="L446" s="19" t="inlineStr"/>
      <c r="M446" s="19" t="inlineStr">
        <is>
          <t>RX600854</t>
        </is>
      </c>
      <c r="N446" s="19" t="inlineStr">
        <is>
          <t>E</t>
        </is>
      </c>
      <c r="O446" s="20" t="inlineStr">
        <is>
          <t>No linkage found in awarded contract file</t>
        </is>
      </c>
      <c r="P446" s="19" t="inlineStr"/>
      <c r="Q446" s="19" t="inlineStr"/>
      <c r="R446" s="31" t="inlineStr"/>
      <c r="S446" s="19" t="inlineStr"/>
      <c r="T446" s="19" t="inlineStr">
        <is>
          <t>No</t>
        </is>
      </c>
      <c r="U446" s="19" t="inlineStr">
        <is>
          <t>No</t>
        </is>
      </c>
      <c r="V446" s="19" t="inlineStr">
        <is>
          <t>No</t>
        </is>
      </c>
      <c r="W446" s="19" t="inlineStr">
        <is>
          <t>No</t>
        </is>
      </c>
    </row>
    <row r="447">
      <c r="A447" s="19" t="n">
        <v>730358</v>
      </c>
      <c r="B447" s="31" t="n">
        <v>46161</v>
      </c>
      <c r="C447" s="19" t="inlineStr">
        <is>
          <t>DEPARTMENT OF FLEET AND FACILITY MANAGEMENT</t>
        </is>
      </c>
      <c r="D447" s="19" t="inlineStr">
        <is>
          <t>RUNNION EQUIPMENT CO</t>
        </is>
      </c>
      <c r="E447" s="20" t="inlineStr">
        <is>
          <t>RUNNION EQUIPMENT  743464 B     JS/ FR/ 10-Invoices/ $11,592.39/ DT3138/ WO 2594765/ EWOOD</t>
        </is>
      </c>
      <c r="F447" s="21" t="n">
        <v>11592.39</v>
      </c>
      <c r="G447" s="19" t="inlineStr">
        <is>
          <t>1. Pending New Contract - Original Contract Expired. New Contract in Process</t>
        </is>
      </c>
      <c r="H447" s="19" t="inlineStr">
        <is>
          <t>B. City Law Review</t>
        </is>
      </c>
      <c r="I447" s="19" t="inlineStr">
        <is>
          <t>APPROVED</t>
        </is>
      </c>
      <c r="J447" s="19" t="inlineStr">
        <is>
          <t>Yes</t>
        </is>
      </c>
      <c r="K447" s="19" t="inlineStr">
        <is>
          <t>No</t>
        </is>
      </c>
      <c r="L447" s="19" t="inlineStr"/>
      <c r="M447" s="19" t="inlineStr">
        <is>
          <t>RX590958</t>
        </is>
      </c>
      <c r="N447" s="19" t="inlineStr">
        <is>
          <t>E</t>
        </is>
      </c>
      <c r="O447" s="20" t="inlineStr">
        <is>
          <t>No linkage found in awarded contract file</t>
        </is>
      </c>
      <c r="P447" s="19" t="inlineStr"/>
      <c r="Q447" s="19" t="inlineStr"/>
      <c r="R447" s="31" t="inlineStr"/>
      <c r="S447" s="19" t="inlineStr"/>
      <c r="T447" s="19" t="inlineStr">
        <is>
          <t>No</t>
        </is>
      </c>
      <c r="U447" s="19" t="inlineStr">
        <is>
          <t>No</t>
        </is>
      </c>
      <c r="V447" s="19" t="inlineStr">
        <is>
          <t>No</t>
        </is>
      </c>
      <c r="W447" s="19" t="inlineStr">
        <is>
          <t>Yes</t>
        </is>
      </c>
    </row>
    <row r="448">
      <c r="A448" s="19" t="n">
        <v>724624</v>
      </c>
      <c r="B448" s="31" t="n">
        <v>46133</v>
      </c>
      <c r="C448" s="19" t="inlineStr">
        <is>
          <t>DEPARTMENT OF FLEET AND FACILITY MANAGEMENT</t>
        </is>
      </c>
      <c r="D448" s="19" t="inlineStr">
        <is>
          <t>C &amp; C COMMUNICATIONS IL</t>
        </is>
      </c>
      <c r="E448" s="20" t="inlineStr">
        <is>
          <t>C&amp;C Communications 1032554 A  JS/ CC/ Invoice # 3361/ $12,056.84/ WO 5264776/ Mayfair Library</t>
        </is>
      </c>
      <c r="F448" s="21" t="n">
        <v>12056.84</v>
      </c>
      <c r="G448" s="19" t="inlineStr">
        <is>
          <t>2. Pending Amendment/Modification - Line Item Addition / Vendor Limit Increase / Scope Change</t>
        </is>
      </c>
      <c r="H448" s="19" t="inlineStr">
        <is>
          <t>A. Specification Development Phase</t>
        </is>
      </c>
      <c r="I448" s="19" t="inlineStr">
        <is>
          <t>APPROVED</t>
        </is>
      </c>
      <c r="J448" s="19" t="inlineStr">
        <is>
          <t>No</t>
        </is>
      </c>
      <c r="K448" s="19" t="inlineStr">
        <is>
          <t>No</t>
        </is>
      </c>
      <c r="L448" s="19" t="inlineStr"/>
      <c r="M448" s="19" t="inlineStr">
        <is>
          <t>RX710994</t>
        </is>
      </c>
      <c r="N448" s="19" t="inlineStr">
        <is>
          <t>E</t>
        </is>
      </c>
      <c r="O448" s="20" t="inlineStr">
        <is>
          <t>No linkage found in awarded contract file</t>
        </is>
      </c>
      <c r="P448" s="19" t="inlineStr"/>
      <c r="Q448" s="19" t="inlineStr"/>
      <c r="R448" s="31" t="inlineStr"/>
      <c r="S448" s="19" t="inlineStr"/>
      <c r="T448" s="19" t="inlineStr">
        <is>
          <t>No</t>
        </is>
      </c>
      <c r="U448" s="19" t="inlineStr">
        <is>
          <t>No</t>
        </is>
      </c>
      <c r="V448" s="19" t="inlineStr">
        <is>
          <t>No</t>
        </is>
      </c>
      <c r="W448" s="19" t="inlineStr">
        <is>
          <t>No</t>
        </is>
      </c>
    </row>
    <row r="449">
      <c r="A449" s="19" t="n">
        <v>723802</v>
      </c>
      <c r="B449" s="31" t="n">
        <v>46133</v>
      </c>
      <c r="C449" s="19" t="inlineStr">
        <is>
          <t>DEPARTMENT OF FLEET AND FACILITY MANAGEMENT</t>
        </is>
      </c>
      <c r="D449" s="19" t="inlineStr">
        <is>
          <t>ARLINGTON GLASS &amp; MIRROR</t>
        </is>
      </c>
      <c r="E449" s="20" t="inlineStr">
        <is>
          <t>Arlington Glass  50089341 A   JS/ WA/ Invoice # 75255/ $6,100.00/ WO 5263903/</t>
        </is>
      </c>
      <c r="F449" s="21" t="n">
        <v>6100</v>
      </c>
      <c r="G449" s="19" t="inlineStr">
        <is>
          <t>1. Pending New Contract - Original Contract Expired. New Contract in Process</t>
        </is>
      </c>
      <c r="H449" s="19" t="inlineStr">
        <is>
          <t>A. Specification Development Phase</t>
        </is>
      </c>
      <c r="I449" s="19" t="inlineStr">
        <is>
          <t>APPROVED</t>
        </is>
      </c>
      <c r="J449" s="19" t="inlineStr">
        <is>
          <t>Yes</t>
        </is>
      </c>
      <c r="K449" s="19" t="inlineStr">
        <is>
          <t>No</t>
        </is>
      </c>
      <c r="L449" s="19" t="inlineStr"/>
      <c r="M449" s="19" t="inlineStr">
        <is>
          <t>RX647383</t>
        </is>
      </c>
      <c r="N449" s="19" t="inlineStr">
        <is>
          <t>E</t>
        </is>
      </c>
      <c r="O449" s="20" t="inlineStr">
        <is>
          <t>No linkage found in awarded contract file</t>
        </is>
      </c>
      <c r="P449" s="19" t="inlineStr"/>
      <c r="Q449" s="19" t="inlineStr"/>
      <c r="R449" s="31" t="inlineStr"/>
      <c r="S449" s="19" t="inlineStr"/>
      <c r="T449" s="19" t="inlineStr">
        <is>
          <t>No</t>
        </is>
      </c>
      <c r="U449" s="19" t="inlineStr">
        <is>
          <t>No</t>
        </is>
      </c>
      <c r="V449" s="19" t="inlineStr">
        <is>
          <t>No</t>
        </is>
      </c>
      <c r="W449" s="19" t="inlineStr">
        <is>
          <t>Yes</t>
        </is>
      </c>
    </row>
    <row r="450">
      <c r="A450" s="19" t="n">
        <v>746149</v>
      </c>
      <c r="B450" s="31" t="n">
        <v>46251</v>
      </c>
      <c r="C450" s="19" t="inlineStr">
        <is>
          <t>CHICAGO DEPARTMENT OF AVIATION</t>
        </is>
      </c>
      <c r="D450" s="19" t="inlineStr">
        <is>
          <t>BLUETRITON BRANDS INC</t>
        </is>
      </c>
      <c r="E450" s="20" t="inlineStr">
        <is>
          <t>Account Number: 0122238496 - Office Supplies</t>
        </is>
      </c>
      <c r="F450" s="21" t="n">
        <v>1767.44</v>
      </c>
      <c r="G450" s="19" t="inlineStr">
        <is>
          <t>1. Pending New Contract - Original Contract Expired. New Contract in Process</t>
        </is>
      </c>
      <c r="H450" s="19" t="inlineStr">
        <is>
          <t>A. Specification Development Phase</t>
        </is>
      </c>
      <c r="I450" s="19" t="inlineStr">
        <is>
          <t>APPROVED</t>
        </is>
      </c>
      <c r="J450" s="19" t="inlineStr">
        <is>
          <t>No</t>
        </is>
      </c>
      <c r="K450" s="19" t="inlineStr">
        <is>
          <t>No</t>
        </is>
      </c>
      <c r="L450" s="19" t="inlineStr"/>
      <c r="M450" s="19" t="inlineStr">
        <is>
          <t>VDBLUETRITON BRANDS</t>
        </is>
      </c>
      <c r="N450" s="19" t="inlineStr">
        <is>
          <t>E</t>
        </is>
      </c>
      <c r="O450" s="20" t="inlineStr">
        <is>
          <t>No linkage found in awarded contract file</t>
        </is>
      </c>
      <c r="P450" s="19" t="inlineStr"/>
      <c r="Q450" s="19" t="inlineStr"/>
      <c r="R450" s="31" t="inlineStr"/>
      <c r="S450" s="19" t="inlineStr"/>
      <c r="T450" s="19" t="inlineStr">
        <is>
          <t>No</t>
        </is>
      </c>
      <c r="U450" s="19" t="inlineStr">
        <is>
          <t>No</t>
        </is>
      </c>
      <c r="V450" s="19" t="inlineStr">
        <is>
          <t>No</t>
        </is>
      </c>
      <c r="W450" s="19" t="inlineStr">
        <is>
          <t>No</t>
        </is>
      </c>
    </row>
    <row r="451">
      <c r="A451" s="19" t="n">
        <v>728306</v>
      </c>
      <c r="B451" s="31" t="n">
        <v>46142</v>
      </c>
      <c r="C451" s="19" t="inlineStr">
        <is>
          <t>CHICAGO DEPARTMENT OF AVIATION</t>
        </is>
      </c>
      <c r="D451" s="19" t="inlineStr">
        <is>
          <t>DTN, LLC</t>
        </is>
      </c>
      <c r="E451" s="20" t="inlineStr">
        <is>
          <t>Midway Weather Forecasting Monthly ServicesInv#210-00243356 Service from Nov.1-Nov.30 26Inv#210-00267381 Service from Feb.1-Feb. 28 26Inv#210-00248151 Service from Dec.1-Dec.31 26Inv#210-00255923 Service from Jan. 1-Jan.31 26</t>
        </is>
      </c>
      <c r="F451" s="21" t="n">
        <v>7992</v>
      </c>
      <c r="G451" s="19" t="inlineStr">
        <is>
          <t>1. Pending New Contract - Original Contract Expired. New Contract in Process</t>
        </is>
      </c>
      <c r="H451" s="19" t="inlineStr">
        <is>
          <t>D. Solicitation Response Under Evaluation</t>
        </is>
      </c>
      <c r="I451" s="19" t="inlineStr">
        <is>
          <t>APPROVED</t>
        </is>
      </c>
      <c r="J451" s="19" t="inlineStr">
        <is>
          <t>No</t>
        </is>
      </c>
      <c r="K451" s="19" t="inlineStr">
        <is>
          <t>No</t>
        </is>
      </c>
      <c r="L451" s="19" t="inlineStr"/>
      <c r="M451" s="19" t="inlineStr">
        <is>
          <t>RX682208</t>
        </is>
      </c>
      <c r="N451" s="19" t="inlineStr">
        <is>
          <t>E</t>
        </is>
      </c>
      <c r="O451" s="20" t="inlineStr">
        <is>
          <t>No linkage found in awarded contract file</t>
        </is>
      </c>
      <c r="P451" s="19" t="inlineStr"/>
      <c r="Q451" s="19" t="inlineStr"/>
      <c r="R451" s="31" t="inlineStr"/>
      <c r="S451" s="19" t="inlineStr"/>
      <c r="T451" s="19" t="inlineStr">
        <is>
          <t>No</t>
        </is>
      </c>
      <c r="U451" s="19" t="inlineStr">
        <is>
          <t>No</t>
        </is>
      </c>
      <c r="V451" s="19" t="inlineStr">
        <is>
          <t>No</t>
        </is>
      </c>
      <c r="W451" s="19" t="inlineStr">
        <is>
          <t>No</t>
        </is>
      </c>
    </row>
    <row r="452">
      <c r="A452" s="19" t="n">
        <v>715578</v>
      </c>
      <c r="B452" s="31" t="n">
        <v>46077</v>
      </c>
      <c r="C452" s="19" t="inlineStr">
        <is>
          <t>CHICAGO DEPARTMENT OF PUBLIC HEALTH</t>
        </is>
      </c>
      <c r="D452" s="19" t="inlineStr">
        <is>
          <t>UNIVERSITY OF ILLINOIS 01</t>
        </is>
      </c>
      <c r="E452" s="20" t="inlineStr">
        <is>
          <t>4/1/2025 - 4/30/2025 - COVID-19 AND OTHER PATHOGEN TESTING SERVICES IN CONGREGATE SETTINGS</t>
        </is>
      </c>
      <c r="F452" s="21" t="n">
        <v>13890</v>
      </c>
      <c r="G452" s="19" t="inlineStr">
        <is>
          <t>4. Invoice Reconciliation - Invoice Received after Contract Expiration</t>
        </is>
      </c>
      <c r="H452" s="19" t="inlineStr">
        <is>
          <t>H. One Time Purchase</t>
        </is>
      </c>
      <c r="I452" s="19" t="inlineStr">
        <is>
          <t>APPROVED</t>
        </is>
      </c>
      <c r="J452" s="19" t="inlineStr">
        <is>
          <t>No</t>
        </is>
      </c>
      <c r="K452" s="19" t="inlineStr">
        <is>
          <t>No</t>
        </is>
      </c>
      <c r="L452" s="19" t="inlineStr">
        <is>
          <t>na</t>
        </is>
      </c>
      <c r="M452" s="19" t="inlineStr">
        <is>
          <t>VDUNIVERSITY ILLINOIS 01</t>
        </is>
      </c>
      <c r="N452" s="19" t="inlineStr">
        <is>
          <t>E</t>
        </is>
      </c>
      <c r="O452" s="20" t="inlineStr">
        <is>
          <t>No linkage found in awarded contract file</t>
        </is>
      </c>
      <c r="P452" s="19" t="inlineStr"/>
      <c r="Q452" s="19" t="inlineStr"/>
      <c r="R452" s="31" t="inlineStr"/>
      <c r="S452" s="19" t="inlineStr"/>
      <c r="T452" s="19" t="inlineStr">
        <is>
          <t>No</t>
        </is>
      </c>
      <c r="U452" s="19" t="inlineStr">
        <is>
          <t>No</t>
        </is>
      </c>
      <c r="V452" s="19" t="inlineStr">
        <is>
          <t>No</t>
        </is>
      </c>
      <c r="W452" s="19" t="inlineStr">
        <is>
          <t>No</t>
        </is>
      </c>
    </row>
    <row r="453">
      <c r="A453" s="19" t="n">
        <v>736069</v>
      </c>
      <c r="B453" s="31" t="n">
        <v>46216</v>
      </c>
      <c r="C453" s="19" t="inlineStr">
        <is>
          <t>DEPARTMENT OF LAW</t>
        </is>
      </c>
      <c r="D453" s="19" t="inlineStr">
        <is>
          <t>CANON U.S.A., INC</t>
        </is>
      </c>
      <c r="E453" s="20" t="inlineStr">
        <is>
          <t>PRINTING EQUIPMENT</t>
        </is>
      </c>
      <c r="F453" s="21" t="n">
        <v>60771.56</v>
      </c>
      <c r="G453" s="19" t="inlineStr">
        <is>
          <t>1. Pending New Contract - Original Contract Expired. New Contract in Process</t>
        </is>
      </c>
      <c r="H453" s="19" t="inlineStr">
        <is>
          <t>C. Solicitation or Bidding Phase</t>
        </is>
      </c>
      <c r="I453" s="19" t="inlineStr">
        <is>
          <t>DENIED</t>
        </is>
      </c>
      <c r="J453" s="19" t="inlineStr">
        <is>
          <t>No</t>
        </is>
      </c>
      <c r="K453" s="19" t="inlineStr">
        <is>
          <t>No</t>
        </is>
      </c>
      <c r="L453" s="19" t="inlineStr"/>
      <c r="M453" s="19" t="inlineStr">
        <is>
          <t>VDCANON U S A</t>
        </is>
      </c>
      <c r="N453" s="19" t="inlineStr">
        <is>
          <t>C</t>
        </is>
      </c>
      <c r="O453" s="20" t="inlineStr">
        <is>
          <t>Vendor name match only (similarity 0.00)</t>
        </is>
      </c>
      <c r="P453" s="19" t="inlineStr">
        <is>
          <t>388093</t>
        </is>
      </c>
      <c r="Q453" s="19" t="inlineStr">
        <is>
          <t>CANON U.S.A., INC</t>
        </is>
      </c>
      <c r="R453" s="31" t="n">
        <v>46064</v>
      </c>
      <c r="S453" s="19" t="inlineStr">
        <is>
          <t>CONTRACT ASSIGNMENT/TRANSFER</t>
        </is>
      </c>
      <c r="T453" s="19" t="inlineStr">
        <is>
          <t>No</t>
        </is>
      </c>
      <c r="U453" s="19" t="inlineStr">
        <is>
          <t>No</t>
        </is>
      </c>
      <c r="V453" s="19" t="inlineStr">
        <is>
          <t>No</t>
        </is>
      </c>
      <c r="W453" s="19" t="inlineStr">
        <is>
          <t>No</t>
        </is>
      </c>
    </row>
    <row r="454">
      <c r="A454" s="19" t="n">
        <v>734291</v>
      </c>
      <c r="B454" s="31" t="n">
        <v>46177</v>
      </c>
      <c r="C454" s="19" t="inlineStr">
        <is>
          <t>CHICAGO PUBLIC LIBRARY</t>
        </is>
      </c>
      <c r="D454" s="19" t="inlineStr">
        <is>
          <t>MURNANE PAPER COMPANY</t>
        </is>
      </c>
      <c r="E454" s="20" t="inlineStr">
        <is>
          <t>20261161 - TG x $7686.90 / 20261237 - TG x $2128 / 20261255 - TG x $628</t>
        </is>
      </c>
      <c r="F454" s="21" t="n">
        <v>10442.9</v>
      </c>
      <c r="G454" s="19" t="inlineStr">
        <is>
          <t>1. Pending New Contract - Original Contract Expired. New Contract in Process</t>
        </is>
      </c>
      <c r="H454" s="19" t="inlineStr">
        <is>
          <t>A. Specification Development Phase</t>
        </is>
      </c>
      <c r="I454" s="19" t="inlineStr">
        <is>
          <t>APPROVED</t>
        </is>
      </c>
      <c r="J454" s="19" t="inlineStr">
        <is>
          <t>Yes</t>
        </is>
      </c>
      <c r="K454" s="19" t="inlineStr">
        <is>
          <t>No</t>
        </is>
      </c>
      <c r="L454" s="19" t="inlineStr"/>
      <c r="M454" s="19" t="inlineStr">
        <is>
          <t>RX600854</t>
        </is>
      </c>
      <c r="N454" s="19" t="inlineStr">
        <is>
          <t>E</t>
        </is>
      </c>
      <c r="O454" s="20" t="inlineStr">
        <is>
          <t>No linkage found in awarded contract file</t>
        </is>
      </c>
      <c r="P454" s="19" t="inlineStr"/>
      <c r="Q454" s="19" t="inlineStr"/>
      <c r="R454" s="31" t="inlineStr"/>
      <c r="S454" s="19" t="inlineStr"/>
      <c r="T454" s="19" t="inlineStr">
        <is>
          <t>No</t>
        </is>
      </c>
      <c r="U454" s="19" t="inlineStr">
        <is>
          <t>No</t>
        </is>
      </c>
      <c r="V454" s="19" t="inlineStr">
        <is>
          <t>No</t>
        </is>
      </c>
      <c r="W454" s="19" t="inlineStr">
        <is>
          <t>Yes</t>
        </is>
      </c>
    </row>
    <row r="455">
      <c r="A455" s="19" t="n">
        <v>742375</v>
      </c>
      <c r="B455" s="31" t="n">
        <v>46226</v>
      </c>
      <c r="C455" s="19" t="inlineStr">
        <is>
          <t>DEPARTMENT OF FLEET AND FACILITY MANAGEMENT</t>
        </is>
      </c>
      <c r="D455" s="19" t="inlineStr">
        <is>
          <t>AGAE CONTRACTORS, INC.</t>
        </is>
      </c>
      <c r="E455" s="20" t="inlineStr">
        <is>
          <t>WB/AO/5 INVOICES/$2430.71</t>
        </is>
      </c>
      <c r="F455" s="21" t="n">
        <v>2430.71</v>
      </c>
      <c r="G455" s="19" t="inlineStr">
        <is>
          <t>1. Pending New Contract - Original Contract Expired. New Contract in Process</t>
        </is>
      </c>
      <c r="H455" s="19" t="inlineStr">
        <is>
          <t>C. Solicitation or Bidding Phase</t>
        </is>
      </c>
      <c r="I455" s="19" t="inlineStr">
        <is>
          <t>APPROVED</t>
        </is>
      </c>
      <c r="J455" s="19" t="inlineStr">
        <is>
          <t>Yes</t>
        </is>
      </c>
      <c r="K455" s="19" t="inlineStr">
        <is>
          <t>No</t>
        </is>
      </c>
      <c r="L455" s="19" t="inlineStr"/>
      <c r="M455" s="19" t="inlineStr">
        <is>
          <t>RX607736</t>
        </is>
      </c>
      <c r="N455" s="19" t="inlineStr">
        <is>
          <t>E</t>
        </is>
      </c>
      <c r="O455" s="20" t="inlineStr">
        <is>
          <t>No linkage found in awarded contract file</t>
        </is>
      </c>
      <c r="P455" s="19" t="inlineStr"/>
      <c r="Q455" s="19" t="inlineStr"/>
      <c r="R455" s="31" t="inlineStr"/>
      <c r="S455" s="19" t="inlineStr"/>
      <c r="T455" s="19" t="inlineStr">
        <is>
          <t>No</t>
        </is>
      </c>
      <c r="U455" s="19" t="inlineStr">
        <is>
          <t>No</t>
        </is>
      </c>
      <c r="V455" s="19" t="inlineStr">
        <is>
          <t>No</t>
        </is>
      </c>
      <c r="W455" s="19" t="inlineStr">
        <is>
          <t>Yes</t>
        </is>
      </c>
    </row>
    <row r="456">
      <c r="A456" s="19" t="n">
        <v>742607</v>
      </c>
      <c r="B456" s="31" t="n">
        <v>46231</v>
      </c>
      <c r="C456" s="19" t="inlineStr">
        <is>
          <t>DEPARTMENT OF FLEET AND FACILITY MANAGEMENT</t>
        </is>
      </c>
      <c r="D456" s="19" t="inlineStr">
        <is>
          <t>MONROE TRUCK EQUIPMENT</t>
        </is>
      </c>
      <c r="E456" s="20" t="inlineStr">
        <is>
          <t>WB/MM/INVOICE#26MB04002/$30679.02</t>
        </is>
      </c>
      <c r="F456" s="21" t="n">
        <v>30679.02</v>
      </c>
      <c r="G456" s="19" t="inlineStr">
        <is>
          <t>1. Pending New Contract - Original Contract Expired. New Contract in Process</t>
        </is>
      </c>
      <c r="H456" s="19" t="inlineStr">
        <is>
          <t>B. City Law Review</t>
        </is>
      </c>
      <c r="I456" s="19" t="inlineStr">
        <is>
          <t>APPROVED</t>
        </is>
      </c>
      <c r="J456" s="19" t="inlineStr">
        <is>
          <t>Yes</t>
        </is>
      </c>
      <c r="K456" s="19" t="inlineStr">
        <is>
          <t>No</t>
        </is>
      </c>
      <c r="L456" s="19" t="inlineStr"/>
      <c r="M456" s="19" t="inlineStr">
        <is>
          <t>RX590958</t>
        </is>
      </c>
      <c r="N456" s="19" t="inlineStr">
        <is>
          <t>E</t>
        </is>
      </c>
      <c r="O456" s="20" t="inlineStr">
        <is>
          <t>No linkage found in awarded contract file</t>
        </is>
      </c>
      <c r="P456" s="19" t="inlineStr"/>
      <c r="Q456" s="19" t="inlineStr"/>
      <c r="R456" s="31" t="inlineStr"/>
      <c r="S456" s="19" t="inlineStr"/>
      <c r="T456" s="19" t="inlineStr">
        <is>
          <t>No</t>
        </is>
      </c>
      <c r="U456" s="19" t="inlineStr">
        <is>
          <t>No</t>
        </is>
      </c>
      <c r="V456" s="19" t="inlineStr">
        <is>
          <t>No</t>
        </is>
      </c>
      <c r="W456" s="19" t="inlineStr">
        <is>
          <t>Yes</t>
        </is>
      </c>
    </row>
    <row r="457">
      <c r="A457" s="19" t="n">
        <v>743005</v>
      </c>
      <c r="B457" s="31" t="n">
        <v>46231</v>
      </c>
      <c r="C457" s="19" t="inlineStr">
        <is>
          <t>DEPARTMENT OF FLEET AND FACILITY MANAGEMENT</t>
        </is>
      </c>
      <c r="D457" s="19" t="inlineStr">
        <is>
          <t>P. R. STREICH &amp; SONS</t>
        </is>
      </c>
      <c r="E457" s="20" t="inlineStr">
        <is>
          <t>WB/MM/INVOICE#57540/$1210.00</t>
        </is>
      </c>
      <c r="F457" s="21" t="n">
        <v>1210</v>
      </c>
      <c r="G457" s="19" t="inlineStr">
        <is>
          <t>1. Pending New Contract - Original Contract Expired. New Contract in Process</t>
        </is>
      </c>
      <c r="H457" s="19" t="inlineStr">
        <is>
          <t>B. City Law Review</t>
        </is>
      </c>
      <c r="I457" s="19" t="inlineStr">
        <is>
          <t>APPROVED</t>
        </is>
      </c>
      <c r="J457" s="19" t="inlineStr">
        <is>
          <t>Yes</t>
        </is>
      </c>
      <c r="K457" s="19" t="inlineStr">
        <is>
          <t>No</t>
        </is>
      </c>
      <c r="L457" s="19" t="inlineStr">
        <is>
          <t>TBD</t>
        </is>
      </c>
      <c r="M457" s="19" t="inlineStr">
        <is>
          <t>RX679901</t>
        </is>
      </c>
      <c r="N457" s="19" t="inlineStr">
        <is>
          <t>E</t>
        </is>
      </c>
      <c r="O457" s="20" t="inlineStr">
        <is>
          <t>No linkage found in awarded contract file</t>
        </is>
      </c>
      <c r="P457" s="19" t="inlineStr"/>
      <c r="Q457" s="19" t="inlineStr"/>
      <c r="R457" s="31" t="inlineStr"/>
      <c r="S457" s="19" t="inlineStr"/>
      <c r="T457" s="19" t="inlineStr">
        <is>
          <t>No</t>
        </is>
      </c>
      <c r="U457" s="19" t="inlineStr">
        <is>
          <t>No</t>
        </is>
      </c>
      <c r="V457" s="19" t="inlineStr">
        <is>
          <t>No</t>
        </is>
      </c>
      <c r="W457" s="19" t="inlineStr">
        <is>
          <t>Yes</t>
        </is>
      </c>
    </row>
    <row r="458">
      <c r="A458" s="19" t="n">
        <v>743654</v>
      </c>
      <c r="B458" s="31" t="n">
        <v>46238</v>
      </c>
      <c r="C458" s="19" t="inlineStr">
        <is>
          <t>DEPARTMENT OF FLEET AND FACILITY MANAGEMENT</t>
        </is>
      </c>
      <c r="D458" s="19" t="inlineStr">
        <is>
          <t>ARLINGTON GLASS &amp; MIRROR</t>
        </is>
      </c>
      <c r="E458" s="20" t="inlineStr">
        <is>
          <t>WB/AO/INVOICE#25616/$1560.00</t>
        </is>
      </c>
      <c r="F458" s="21" t="n">
        <v>1560</v>
      </c>
      <c r="G458" s="19" t="inlineStr">
        <is>
          <t>1. Pending New Contract - Original Contract Expired. New Contract in Process</t>
        </is>
      </c>
      <c r="H458" s="19" t="inlineStr">
        <is>
          <t>A. Specification Development Phase</t>
        </is>
      </c>
      <c r="I458" s="19" t="inlineStr">
        <is>
          <t>APPROVED</t>
        </is>
      </c>
      <c r="J458" s="19" t="inlineStr">
        <is>
          <t>Yes</t>
        </is>
      </c>
      <c r="K458" s="19" t="inlineStr">
        <is>
          <t>No</t>
        </is>
      </c>
      <c r="L458" s="19" t="inlineStr"/>
      <c r="M458" s="19" t="inlineStr">
        <is>
          <t>RX647383</t>
        </is>
      </c>
      <c r="N458" s="19" t="inlineStr">
        <is>
          <t>E</t>
        </is>
      </c>
      <c r="O458" s="20" t="inlineStr">
        <is>
          <t>No linkage found in awarded contract file</t>
        </is>
      </c>
      <c r="P458" s="19" t="inlineStr"/>
      <c r="Q458" s="19" t="inlineStr"/>
      <c r="R458" s="31" t="inlineStr"/>
      <c r="S458" s="19" t="inlineStr"/>
      <c r="T458" s="19" t="inlineStr">
        <is>
          <t>No</t>
        </is>
      </c>
      <c r="U458" s="19" t="inlineStr">
        <is>
          <t>No</t>
        </is>
      </c>
      <c r="V458" s="19" t="inlineStr">
        <is>
          <t>No</t>
        </is>
      </c>
      <c r="W458" s="19" t="inlineStr">
        <is>
          <t>Yes</t>
        </is>
      </c>
    </row>
    <row r="459">
      <c r="A459" s="19" t="n">
        <v>746782</v>
      </c>
      <c r="B459" s="31" t="n">
        <v>46254.37439814815</v>
      </c>
      <c r="C459" s="19" t="inlineStr">
        <is>
          <t>DEPARTMENT OF FLEET AND FACILITY MANAGEMENT</t>
        </is>
      </c>
      <c r="D459" s="19" t="inlineStr">
        <is>
          <t>JACOB PRESS' SONS INC</t>
        </is>
      </c>
      <c r="E459" s="20" t="inlineStr">
        <is>
          <t>WB/DM/INVOICE598412/$1221.66</t>
        </is>
      </c>
      <c r="F459" s="21" t="n">
        <v>1221.66</v>
      </c>
      <c r="G459" s="19" t="inlineStr">
        <is>
          <t>1. Pending New Contract - Original Contract Expired. New Contract in Process</t>
        </is>
      </c>
      <c r="H459" s="19" t="inlineStr">
        <is>
          <t>B. City Law Review</t>
        </is>
      </c>
      <c r="I459" s="19" t="inlineStr"/>
      <c r="J459" s="19" t="inlineStr">
        <is>
          <t>Yes</t>
        </is>
      </c>
      <c r="K459" s="19" t="inlineStr">
        <is>
          <t>No</t>
        </is>
      </c>
      <c r="L459" s="19" t="inlineStr"/>
      <c r="M459" s="19" t="inlineStr">
        <is>
          <t>RX590958</t>
        </is>
      </c>
      <c r="N459" s="19" t="inlineStr">
        <is>
          <t>E</t>
        </is>
      </c>
      <c r="O459" s="20" t="inlineStr">
        <is>
          <t>No linkage found in awarded contract file</t>
        </is>
      </c>
      <c r="P459" s="19" t="inlineStr"/>
      <c r="Q459" s="19" t="inlineStr"/>
      <c r="R459" s="31" t="inlineStr"/>
      <c r="S459" s="19" t="inlineStr"/>
      <c r="T459" s="19" t="inlineStr">
        <is>
          <t>No</t>
        </is>
      </c>
      <c r="U459" s="19" t="inlineStr">
        <is>
          <t>No</t>
        </is>
      </c>
      <c r="V459" s="19" t="inlineStr">
        <is>
          <t>No</t>
        </is>
      </c>
      <c r="W459" s="19" t="inlineStr">
        <is>
          <t>Yes</t>
        </is>
      </c>
    </row>
    <row r="460">
      <c r="A460" s="19" t="n">
        <v>741497</v>
      </c>
      <c r="B460" s="31" t="n">
        <v>46220</v>
      </c>
      <c r="C460" s="19" t="inlineStr">
        <is>
          <t>DEPARTMENT OF FLEET AND FACILITY MANAGEMENT</t>
        </is>
      </c>
      <c r="D460" s="19" t="inlineStr">
        <is>
          <t>5410 Car Wash LLC</t>
        </is>
      </c>
      <c r="E460" s="20" t="inlineStr">
        <is>
          <t>WB/CA/4 INVOICES/$4304.50</t>
        </is>
      </c>
      <c r="F460" s="21" t="n">
        <v>4304.5</v>
      </c>
      <c r="G460" s="19" t="inlineStr">
        <is>
          <t>1. Pending New Contract - Original Contract Expired. New Contract in Process</t>
        </is>
      </c>
      <c r="H460" s="19" t="inlineStr">
        <is>
          <t>A. Specification Development Phase</t>
        </is>
      </c>
      <c r="I460" s="19" t="inlineStr">
        <is>
          <t>APPROVED</t>
        </is>
      </c>
      <c r="J460" s="19" t="inlineStr">
        <is>
          <t>Yes</t>
        </is>
      </c>
      <c r="K460" s="19" t="inlineStr">
        <is>
          <t>No</t>
        </is>
      </c>
      <c r="L460" s="19" t="inlineStr"/>
      <c r="M460" s="19" t="inlineStr">
        <is>
          <t>RX710856</t>
        </is>
      </c>
      <c r="N460" s="19" t="inlineStr">
        <is>
          <t>E</t>
        </is>
      </c>
      <c r="O460" s="20" t="inlineStr">
        <is>
          <t>No linkage found in awarded contract file</t>
        </is>
      </c>
      <c r="P460" s="19" t="inlineStr"/>
      <c r="Q460" s="19" t="inlineStr"/>
      <c r="R460" s="31" t="inlineStr"/>
      <c r="S460" s="19" t="inlineStr"/>
      <c r="T460" s="19" t="inlineStr">
        <is>
          <t>No</t>
        </is>
      </c>
      <c r="U460" s="19" t="inlineStr">
        <is>
          <t>No</t>
        </is>
      </c>
      <c r="V460" s="19" t="inlineStr">
        <is>
          <t>No</t>
        </is>
      </c>
      <c r="W460" s="19" t="inlineStr">
        <is>
          <t>Yes</t>
        </is>
      </c>
    </row>
    <row r="461">
      <c r="A461" s="19" t="n">
        <v>746080</v>
      </c>
      <c r="B461" s="31" t="n">
        <v>46251</v>
      </c>
      <c r="C461" s="19" t="inlineStr">
        <is>
          <t>DEPARTMENT OF FLEET AND FACILITY MANAGEMENT</t>
        </is>
      </c>
      <c r="D461" s="19" t="inlineStr">
        <is>
          <t>5410 Car Wash LLC</t>
        </is>
      </c>
      <c r="E461" s="20" t="inlineStr">
        <is>
          <t>WB/CA/2INVOICES/$1625</t>
        </is>
      </c>
      <c r="F461" s="21" t="n">
        <v>1625</v>
      </c>
      <c r="G461" s="19" t="inlineStr">
        <is>
          <t>1. Pending New Contract - Original Contract Expired. New Contract in Process</t>
        </is>
      </c>
      <c r="H461" s="19" t="inlineStr">
        <is>
          <t>A. Specification Development Phase</t>
        </is>
      </c>
      <c r="I461" s="19" t="inlineStr">
        <is>
          <t>APPROVED</t>
        </is>
      </c>
      <c r="J461" s="19" t="inlineStr">
        <is>
          <t>Yes</t>
        </is>
      </c>
      <c r="K461" s="19" t="inlineStr">
        <is>
          <t>No</t>
        </is>
      </c>
      <c r="L461" s="19" t="inlineStr"/>
      <c r="M461" s="19" t="inlineStr">
        <is>
          <t>RX710856</t>
        </is>
      </c>
      <c r="N461" s="19" t="inlineStr">
        <is>
          <t>E</t>
        </is>
      </c>
      <c r="O461" s="20" t="inlineStr">
        <is>
          <t>No linkage found in awarded contract file</t>
        </is>
      </c>
      <c r="P461" s="19" t="inlineStr"/>
      <c r="Q461" s="19" t="inlineStr"/>
      <c r="R461" s="31" t="inlineStr"/>
      <c r="S461" s="19" t="inlineStr"/>
      <c r="T461" s="19" t="inlineStr">
        <is>
          <t>No</t>
        </is>
      </c>
      <c r="U461" s="19" t="inlineStr">
        <is>
          <t>No</t>
        </is>
      </c>
      <c r="V461" s="19" t="inlineStr">
        <is>
          <t>No</t>
        </is>
      </c>
      <c r="W461" s="19" t="inlineStr">
        <is>
          <t>Yes</t>
        </is>
      </c>
    </row>
    <row r="462">
      <c r="A462" s="19" t="n">
        <v>744573</v>
      </c>
      <c r="B462" s="31" t="n">
        <v>46241</v>
      </c>
      <c r="C462" s="19" t="inlineStr">
        <is>
          <t>DEPARTMENT OF FLEET AND FACILITY MANAGEMENT</t>
        </is>
      </c>
      <c r="D462" s="19" t="inlineStr">
        <is>
          <t>M &amp; C Castle Car Wash, Inc.</t>
        </is>
      </c>
      <c r="E462" s="20" t="inlineStr">
        <is>
          <t>WB/CA/5INVOICES/$2690</t>
        </is>
      </c>
      <c r="F462" s="21" t="n">
        <v>2690</v>
      </c>
      <c r="G462" s="19" t="inlineStr">
        <is>
          <t>1. Pending New Contract - Original Contract Expired. New Contract in Process</t>
        </is>
      </c>
      <c r="H462" s="19" t="inlineStr">
        <is>
          <t>A. Specification Development Phase</t>
        </is>
      </c>
      <c r="I462" s="19" t="inlineStr">
        <is>
          <t>APPROVED</t>
        </is>
      </c>
      <c r="J462" s="19" t="inlineStr">
        <is>
          <t>Yes</t>
        </is>
      </c>
      <c r="K462" s="19" t="inlineStr">
        <is>
          <t>No</t>
        </is>
      </c>
      <c r="L462" s="19" t="inlineStr"/>
      <c r="M462" s="19" t="inlineStr">
        <is>
          <t>RX710856</t>
        </is>
      </c>
      <c r="N462" s="19" t="inlineStr">
        <is>
          <t>E</t>
        </is>
      </c>
      <c r="O462" s="20" t="inlineStr">
        <is>
          <t>No linkage found in awarded contract file</t>
        </is>
      </c>
      <c r="P462" s="19" t="inlineStr"/>
      <c r="Q462" s="19" t="inlineStr"/>
      <c r="R462" s="31" t="inlineStr"/>
      <c r="S462" s="19" t="inlineStr"/>
      <c r="T462" s="19" t="inlineStr">
        <is>
          <t>No</t>
        </is>
      </c>
      <c r="U462" s="19" t="inlineStr">
        <is>
          <t>No</t>
        </is>
      </c>
      <c r="V462" s="19" t="inlineStr">
        <is>
          <t>No</t>
        </is>
      </c>
      <c r="W462" s="19" t="inlineStr">
        <is>
          <t>Yes</t>
        </is>
      </c>
    </row>
    <row r="463">
      <c r="A463" s="19" t="n">
        <v>741479</v>
      </c>
      <c r="B463" s="31" t="n">
        <v>46220</v>
      </c>
      <c r="C463" s="19" t="inlineStr">
        <is>
          <t>CHICAGO DEPARTMENT OF PUBLIC HEALTH</t>
        </is>
      </c>
      <c r="D463" s="19" t="inlineStr">
        <is>
          <t>CIS Support, Inc.</t>
        </is>
      </c>
      <c r="E463" s="20" t="inlineStr">
        <is>
          <t>CIS Maintenance (July 2026)/Support &amp; Customization/Premier Support -</t>
        </is>
      </c>
      <c r="F463" s="21" t="n">
        <v>5950</v>
      </c>
      <c r="G463" s="19" t="inlineStr">
        <is>
          <t>1. Pending New Contract - Original Contract Expired. New Contract in Process</t>
        </is>
      </c>
      <c r="H463" s="19" t="inlineStr">
        <is>
          <t>H. One Time Purchase</t>
        </is>
      </c>
      <c r="I463" s="19" t="inlineStr">
        <is>
          <t>APPROVED</t>
        </is>
      </c>
      <c r="J463" s="19" t="inlineStr">
        <is>
          <t>Yes</t>
        </is>
      </c>
      <c r="K463" s="19" t="inlineStr">
        <is>
          <t>No</t>
        </is>
      </c>
      <c r="L463" s="19" t="inlineStr"/>
      <c r="M463" s="19" t="inlineStr">
        <is>
          <t>VDCIS SUPPORT</t>
        </is>
      </c>
      <c r="N463" s="19" t="inlineStr">
        <is>
          <t>E</t>
        </is>
      </c>
      <c r="O463" s="20" t="inlineStr">
        <is>
          <t>No linkage found in awarded contract file</t>
        </is>
      </c>
      <c r="P463" s="19" t="inlineStr"/>
      <c r="Q463" s="19" t="inlineStr"/>
      <c r="R463" s="31" t="inlineStr"/>
      <c r="S463" s="19" t="inlineStr"/>
      <c r="T463" s="19" t="inlineStr">
        <is>
          <t>No</t>
        </is>
      </c>
      <c r="U463" s="19" t="inlineStr">
        <is>
          <t>No</t>
        </is>
      </c>
      <c r="V463" s="19" t="inlineStr">
        <is>
          <t>No</t>
        </is>
      </c>
      <c r="W463" s="19" t="inlineStr">
        <is>
          <t>Yes</t>
        </is>
      </c>
    </row>
    <row r="464">
      <c r="A464" s="19" t="n">
        <v>745691</v>
      </c>
      <c r="B464" s="31" t="n">
        <v>46251</v>
      </c>
      <c r="C464" s="19" t="inlineStr">
        <is>
          <t>CHICAGO DEPARTMENT OF PUBLIC HEALTH</t>
        </is>
      </c>
      <c r="D464" s="19" t="inlineStr">
        <is>
          <t>CIS Support, Inc.</t>
        </is>
      </c>
      <c r="E464" s="20" t="inlineStr">
        <is>
          <t>CIS Maintenance (August 2026) Maintenance Support &amp; On-site training</t>
        </is>
      </c>
      <c r="F464" s="21" t="n">
        <v>6025</v>
      </c>
      <c r="G464" s="19" t="inlineStr">
        <is>
          <t>1. Pending New Contract - Original Contract Expired. New Contract in Process</t>
        </is>
      </c>
      <c r="H464" s="19" t="inlineStr">
        <is>
          <t>H. One Time Purchase</t>
        </is>
      </c>
      <c r="I464" s="19" t="inlineStr">
        <is>
          <t>APPROVED</t>
        </is>
      </c>
      <c r="J464" s="19" t="inlineStr">
        <is>
          <t>Yes</t>
        </is>
      </c>
      <c r="K464" s="19" t="inlineStr">
        <is>
          <t>No</t>
        </is>
      </c>
      <c r="L464" s="19" t="inlineStr"/>
      <c r="M464" s="19" t="inlineStr">
        <is>
          <t>VDCIS SUPPORT</t>
        </is>
      </c>
      <c r="N464" s="19" t="inlineStr">
        <is>
          <t>E</t>
        </is>
      </c>
      <c r="O464" s="20" t="inlineStr">
        <is>
          <t>No linkage found in awarded contract file</t>
        </is>
      </c>
      <c r="P464" s="19" t="inlineStr"/>
      <c r="Q464" s="19" t="inlineStr"/>
      <c r="R464" s="31" t="inlineStr"/>
      <c r="S464" s="19" t="inlineStr"/>
      <c r="T464" s="19" t="inlineStr">
        <is>
          <t>No</t>
        </is>
      </c>
      <c r="U464" s="19" t="inlineStr">
        <is>
          <t>No</t>
        </is>
      </c>
      <c r="V464" s="19" t="inlineStr">
        <is>
          <t>No</t>
        </is>
      </c>
      <c r="W464" s="19" t="inlineStr">
        <is>
          <t>Yes</t>
        </is>
      </c>
    </row>
    <row r="465">
      <c r="A465" s="19" t="n">
        <v>718961</v>
      </c>
      <c r="B465" s="31" t="n">
        <v>46097</v>
      </c>
      <c r="C465" s="19" t="inlineStr">
        <is>
          <t>CHICAGO DEPARTMENT OF PUBLIC HEALTH</t>
        </is>
      </c>
      <c r="D465" s="19" t="inlineStr">
        <is>
          <t>CIS Support, Inc.</t>
        </is>
      </c>
      <c r="E465" s="20" t="inlineStr">
        <is>
          <t>Premium Support Tasks Completed - February 2026</t>
        </is>
      </c>
      <c r="F465" s="21" t="n">
        <v>6025</v>
      </c>
      <c r="G465" s="19" t="inlineStr">
        <is>
          <t>1. Pending New Contract - Original Contract Expired. New Contract in Process</t>
        </is>
      </c>
      <c r="H465" s="19" t="inlineStr">
        <is>
          <t>H. One Time Purchase</t>
        </is>
      </c>
      <c r="I465" s="19" t="inlineStr">
        <is>
          <t>APPROVED</t>
        </is>
      </c>
      <c r="J465" s="19" t="inlineStr">
        <is>
          <t>Yes</t>
        </is>
      </c>
      <c r="K465" s="19" t="inlineStr">
        <is>
          <t>No</t>
        </is>
      </c>
      <c r="L465" s="19" t="inlineStr"/>
      <c r="M465" s="19" t="inlineStr">
        <is>
          <t>VDCIS SUPPORT</t>
        </is>
      </c>
      <c r="N465" s="19" t="inlineStr">
        <is>
          <t>E</t>
        </is>
      </c>
      <c r="O465" s="20" t="inlineStr">
        <is>
          <t>No linkage found in awarded contract file</t>
        </is>
      </c>
      <c r="P465" s="19" t="inlineStr"/>
      <c r="Q465" s="19" t="inlineStr"/>
      <c r="R465" s="31" t="inlineStr"/>
      <c r="S465" s="19" t="inlineStr"/>
      <c r="T465" s="19" t="inlineStr">
        <is>
          <t>No</t>
        </is>
      </c>
      <c r="U465" s="19" t="inlineStr">
        <is>
          <t>No</t>
        </is>
      </c>
      <c r="V465" s="19" t="inlineStr">
        <is>
          <t>No</t>
        </is>
      </c>
      <c r="W465" s="19" t="inlineStr">
        <is>
          <t>Yes</t>
        </is>
      </c>
    </row>
    <row r="466">
      <c r="A466" s="19" t="n">
        <v>722514</v>
      </c>
      <c r="B466" s="31" t="n">
        <v>46119</v>
      </c>
      <c r="C466" s="19" t="inlineStr">
        <is>
          <t>CHICAGO FIRE DEPARTMENT</t>
        </is>
      </c>
      <c r="D466" s="19" t="inlineStr">
        <is>
          <t>DS Services of America, Inc.</t>
        </is>
      </c>
      <c r="E466" s="20" t="inlineStr">
        <is>
          <t>FFIB Hinkley Springs $14,064.87</t>
        </is>
      </c>
      <c r="F466" s="21" t="n">
        <v>14064.87</v>
      </c>
      <c r="G466" s="19" t="inlineStr">
        <is>
          <t>1. Pending New Contract - Original Contract Expired. New Contract in Process</t>
        </is>
      </c>
      <c r="H466" s="19" t="inlineStr">
        <is>
          <t>B. City Law Review</t>
        </is>
      </c>
      <c r="I466" s="19" t="inlineStr">
        <is>
          <t>APPROVED</t>
        </is>
      </c>
      <c r="J466" s="19" t="inlineStr">
        <is>
          <t>No</t>
        </is>
      </c>
      <c r="K466" s="19" t="inlineStr">
        <is>
          <t>No</t>
        </is>
      </c>
      <c r="L466" s="19" t="inlineStr"/>
      <c r="M466" s="19" t="inlineStr">
        <is>
          <t>RX676831</t>
        </is>
      </c>
      <c r="N466" s="19" t="inlineStr">
        <is>
          <t>E</t>
        </is>
      </c>
      <c r="O466" s="20" t="inlineStr">
        <is>
          <t>No linkage found in awarded contract file</t>
        </is>
      </c>
      <c r="P466" s="19" t="inlineStr"/>
      <c r="Q466" s="19" t="inlineStr"/>
      <c r="R466" s="31" t="inlineStr"/>
      <c r="S466" s="19" t="inlineStr"/>
      <c r="T466" s="19" t="inlineStr">
        <is>
          <t>No</t>
        </is>
      </c>
      <c r="U466" s="19" t="inlineStr">
        <is>
          <t>No</t>
        </is>
      </c>
      <c r="V466" s="19" t="inlineStr">
        <is>
          <t>No</t>
        </is>
      </c>
      <c r="W466" s="19" t="inlineStr">
        <is>
          <t>No</t>
        </is>
      </c>
    </row>
    <row r="467">
      <c r="A467" s="19" t="n">
        <v>709831</v>
      </c>
      <c r="B467" s="31" t="n">
        <v>46045</v>
      </c>
      <c r="C467" s="19" t="inlineStr">
        <is>
          <t>DEPARTMENT OF FLEET AND FACILITY MANAGEMENT</t>
        </is>
      </c>
      <c r="D467" s="19" t="inlineStr">
        <is>
          <t>RUNNION EQUIPMENT CO</t>
        </is>
      </c>
      <c r="E467" s="20" t="inlineStr">
        <is>
          <t>We currently do not have a contract in place due to City Utility (PO # 17836) no longer performing this work for us. These aerial bucket trucks are used by CDOT (street light and traffic signal installation and repair), Streets &amp; Sanitation</t>
        </is>
      </c>
      <c r="F467" s="21" t="n">
        <v>10666.5</v>
      </c>
      <c r="G467" s="19" t="inlineStr">
        <is>
          <t>1. Pending New Contract - Original Contract Expired. New Contract in Process</t>
        </is>
      </c>
      <c r="H467" s="19" t="inlineStr">
        <is>
          <t>B. City Law Review</t>
        </is>
      </c>
      <c r="I467" s="19" t="inlineStr">
        <is>
          <t>APPROVED</t>
        </is>
      </c>
      <c r="J467" s="19" t="inlineStr">
        <is>
          <t>Yes</t>
        </is>
      </c>
      <c r="K467" s="19" t="inlineStr">
        <is>
          <t>No</t>
        </is>
      </c>
      <c r="L467" s="19" t="inlineStr"/>
      <c r="M467" s="19" t="inlineStr">
        <is>
          <t>RX590958</t>
        </is>
      </c>
      <c r="N467" s="19" t="inlineStr">
        <is>
          <t>E</t>
        </is>
      </c>
      <c r="O467" s="20" t="inlineStr">
        <is>
          <t>No linkage found in awarded contract file</t>
        </is>
      </c>
      <c r="P467" s="19" t="inlineStr"/>
      <c r="Q467" s="19" t="inlineStr"/>
      <c r="R467" s="31" t="inlineStr"/>
      <c r="S467" s="19" t="inlineStr"/>
      <c r="T467" s="19" t="inlineStr">
        <is>
          <t>No</t>
        </is>
      </c>
      <c r="U467" s="19" t="inlineStr">
        <is>
          <t>No</t>
        </is>
      </c>
      <c r="V467" s="19" t="inlineStr">
        <is>
          <t>No</t>
        </is>
      </c>
      <c r="W467" s="19" t="inlineStr">
        <is>
          <t>Yes</t>
        </is>
      </c>
    </row>
    <row r="468">
      <c r="A468" s="19" t="n">
        <v>709824</v>
      </c>
      <c r="B468" s="31" t="n">
        <v>46048</v>
      </c>
      <c r="C468" s="19" t="inlineStr">
        <is>
          <t>DEPARTMENT OF FLEET AND FACILITY MANAGEMENT</t>
        </is>
      </c>
      <c r="D468" s="19" t="inlineStr">
        <is>
          <t>RUNNION EQUIPMENT CO</t>
        </is>
      </c>
      <c r="E468" s="20" t="inlineStr">
        <is>
          <t>We currently do not have a contract in place due to City Utility (PO # 17836) no longer performing this work for us. These aerial bucket trucks are used by CDOT (street light and traffic signal installation and repair), Streets &amp; Sanitation</t>
        </is>
      </c>
      <c r="F468" s="21" t="n">
        <v>11116.5</v>
      </c>
      <c r="G468" s="19" t="inlineStr">
        <is>
          <t>1. Pending New Contract - Original Contract Expired. New Contract in Process</t>
        </is>
      </c>
      <c r="H468" s="19" t="inlineStr">
        <is>
          <t>B. City Law Review</t>
        </is>
      </c>
      <c r="I468" s="19" t="inlineStr">
        <is>
          <t>APPROVED</t>
        </is>
      </c>
      <c r="J468" s="19" t="inlineStr">
        <is>
          <t>Yes</t>
        </is>
      </c>
      <c r="K468" s="19" t="inlineStr">
        <is>
          <t>No</t>
        </is>
      </c>
      <c r="L468" s="19" t="inlineStr"/>
      <c r="M468" s="19" t="inlineStr">
        <is>
          <t>RX590958</t>
        </is>
      </c>
      <c r="N468" s="19" t="inlineStr">
        <is>
          <t>E</t>
        </is>
      </c>
      <c r="O468" s="20" t="inlineStr">
        <is>
          <t>No linkage found in awarded contract file</t>
        </is>
      </c>
      <c r="P468" s="19" t="inlineStr"/>
      <c r="Q468" s="19" t="inlineStr"/>
      <c r="R468" s="31" t="inlineStr"/>
      <c r="S468" s="19" t="inlineStr"/>
      <c r="T468" s="19" t="inlineStr">
        <is>
          <t>No</t>
        </is>
      </c>
      <c r="U468" s="19" t="inlineStr">
        <is>
          <t>No</t>
        </is>
      </c>
      <c r="V468" s="19" t="inlineStr">
        <is>
          <t>No</t>
        </is>
      </c>
      <c r="W468" s="19" t="inlineStr">
        <is>
          <t>Yes</t>
        </is>
      </c>
    </row>
    <row r="469">
      <c r="A469" s="19" t="n">
        <v>708431</v>
      </c>
      <c r="B469" s="31" t="n">
        <v>46036</v>
      </c>
      <c r="C469" s="19" t="inlineStr">
        <is>
          <t>DEPARTMENT OF FLEET AND FACILITY MANAGEMENT</t>
        </is>
      </c>
      <c r="D469" s="19" t="inlineStr">
        <is>
          <t>INDUSTRIAL FENCE INC.</t>
        </is>
      </c>
      <c r="E469" s="20" t="inlineStr">
        <is>
          <t>CDA Lead Dept.  2FM utilized PO 61840 for Maintenance, Repair &amp; Installation of Various Fencing, Guardrail &amp; Related Equipment,  The contract is expired as of 4/21/24.  CDA submitted a modification request for a time extension and VLI under</t>
        </is>
      </c>
      <c r="F469" s="21" t="n">
        <v>17364.2</v>
      </c>
      <c r="G469" s="19" t="inlineStr">
        <is>
          <t>1. Pending New Contract - Original Contract Expired. New Contract in Process</t>
        </is>
      </c>
      <c r="H469" s="19" t="inlineStr">
        <is>
          <t>A. Specification Development Phase</t>
        </is>
      </c>
      <c r="I469" s="19" t="inlineStr">
        <is>
          <t>APPROVED</t>
        </is>
      </c>
      <c r="J469" s="19" t="inlineStr">
        <is>
          <t>No</t>
        </is>
      </c>
      <c r="K469" s="19" t="inlineStr">
        <is>
          <t>No</t>
        </is>
      </c>
      <c r="L469" s="19" t="inlineStr">
        <is>
          <t>TBD</t>
        </is>
      </c>
      <c r="M469" s="19" t="inlineStr">
        <is>
          <t>RX596048</t>
        </is>
      </c>
      <c r="N469" s="19" t="inlineStr">
        <is>
          <t>E</t>
        </is>
      </c>
      <c r="O469" s="20" t="inlineStr">
        <is>
          <t>No linkage found in awarded contract file</t>
        </is>
      </c>
      <c r="P469" s="19" t="inlineStr"/>
      <c r="Q469" s="19" t="inlineStr"/>
      <c r="R469" s="31" t="inlineStr"/>
      <c r="S469" s="19" t="inlineStr"/>
      <c r="T469" s="19" t="inlineStr">
        <is>
          <t>No</t>
        </is>
      </c>
      <c r="U469" s="19" t="inlineStr">
        <is>
          <t>No</t>
        </is>
      </c>
      <c r="V469" s="19" t="inlineStr">
        <is>
          <t>No</t>
        </is>
      </c>
      <c r="W469" s="19" t="inlineStr">
        <is>
          <t>No</t>
        </is>
      </c>
    </row>
    <row r="470">
      <c r="A470" s="19" t="n">
        <v>709744</v>
      </c>
      <c r="B470" s="31" t="n">
        <v>46045</v>
      </c>
      <c r="C470" s="19" t="inlineStr">
        <is>
          <t>DEPARTMENT OF FLEET AND FACILITY MANAGEMENT</t>
        </is>
      </c>
      <c r="D470" s="19" t="inlineStr">
        <is>
          <t>INDUSTRIAL FENCE INC.</t>
        </is>
      </c>
      <c r="E470" s="20" t="inlineStr">
        <is>
          <t>CDA Lead Dept.  2FM utilized PO 61840 for Maintenance, Repair &amp; Installation of Various Fencing, Guardrail &amp; Related Equipment,  The contract is expired as of 4/21/24.  CDA submitted a modification request for a time extension and VLI under</t>
        </is>
      </c>
      <c r="F470" s="21" t="n">
        <v>14506.53</v>
      </c>
      <c r="G470" s="19" t="inlineStr">
        <is>
          <t>1. Pending New Contract - Original Contract Expired. New Contract in Process</t>
        </is>
      </c>
      <c r="H470" s="19" t="inlineStr">
        <is>
          <t>A. Specification Development Phase</t>
        </is>
      </c>
      <c r="I470" s="19" t="inlineStr">
        <is>
          <t>APPROVED</t>
        </is>
      </c>
      <c r="J470" s="19" t="inlineStr">
        <is>
          <t>No</t>
        </is>
      </c>
      <c r="K470" s="19" t="inlineStr">
        <is>
          <t>No</t>
        </is>
      </c>
      <c r="L470" s="19" t="inlineStr">
        <is>
          <t>TBD</t>
        </is>
      </c>
      <c r="M470" s="19" t="inlineStr">
        <is>
          <t>RX596048</t>
        </is>
      </c>
      <c r="N470" s="19" t="inlineStr">
        <is>
          <t>E</t>
        </is>
      </c>
      <c r="O470" s="20" t="inlineStr">
        <is>
          <t>No linkage found in awarded contract file</t>
        </is>
      </c>
      <c r="P470" s="19" t="inlineStr"/>
      <c r="Q470" s="19" t="inlineStr"/>
      <c r="R470" s="31" t="inlineStr"/>
      <c r="S470" s="19" t="inlineStr"/>
      <c r="T470" s="19" t="inlineStr">
        <is>
          <t>No</t>
        </is>
      </c>
      <c r="U470" s="19" t="inlineStr">
        <is>
          <t>No</t>
        </is>
      </c>
      <c r="V470" s="19" t="inlineStr">
        <is>
          <t>No</t>
        </is>
      </c>
      <c r="W470" s="19" t="inlineStr">
        <is>
          <t>No</t>
        </is>
      </c>
    </row>
    <row r="471">
      <c r="A471" s="19" t="n">
        <v>744385</v>
      </c>
      <c r="B471" s="31" t="n">
        <v>46241</v>
      </c>
      <c r="C471" s="19" t="inlineStr">
        <is>
          <t>DEPARTMENT OF FLEET AND FACILITY MANAGEMENT</t>
        </is>
      </c>
      <c r="D471" s="19" t="inlineStr">
        <is>
          <t>P. R. STREICH &amp; SONS</t>
        </is>
      </c>
      <c r="E471" s="20" t="inlineStr">
        <is>
          <t>There is curently no active contract with a vendor to repair and certify the shop floor equipment. Our previous vendor, Standard Industrial (PO 24519) did not want to extend their contract. Due to this 2FM found a local vendor PR Streich to</t>
        </is>
      </c>
      <c r="F471" s="21" t="n">
        <v>5752.55</v>
      </c>
      <c r="G471" s="19" t="inlineStr">
        <is>
          <t>1. Pending New Contract - Original Contract Expired. New Contract in Process</t>
        </is>
      </c>
      <c r="H471" s="19" t="inlineStr">
        <is>
          <t>B. City Law Review</t>
        </is>
      </c>
      <c r="I471" s="19" t="inlineStr">
        <is>
          <t>APPROVED</t>
        </is>
      </c>
      <c r="J471" s="19" t="inlineStr">
        <is>
          <t>Yes</t>
        </is>
      </c>
      <c r="K471" s="19" t="inlineStr">
        <is>
          <t>No</t>
        </is>
      </c>
      <c r="L471" s="19" t="inlineStr">
        <is>
          <t>TBD</t>
        </is>
      </c>
      <c r="M471" s="19" t="inlineStr">
        <is>
          <t>RX679901</t>
        </is>
      </c>
      <c r="N471" s="19" t="inlineStr">
        <is>
          <t>E</t>
        </is>
      </c>
      <c r="O471" s="20" t="inlineStr">
        <is>
          <t>No linkage found in awarded contract file</t>
        </is>
      </c>
      <c r="P471" s="19" t="inlineStr"/>
      <c r="Q471" s="19" t="inlineStr"/>
      <c r="R471" s="31" t="inlineStr"/>
      <c r="S471" s="19" t="inlineStr"/>
      <c r="T471" s="19" t="inlineStr">
        <is>
          <t>No</t>
        </is>
      </c>
      <c r="U471" s="19" t="inlineStr">
        <is>
          <t>No</t>
        </is>
      </c>
      <c r="V471" s="19" t="inlineStr">
        <is>
          <t>No</t>
        </is>
      </c>
      <c r="W471" s="19" t="inlineStr">
        <is>
          <t>Yes</t>
        </is>
      </c>
    </row>
    <row r="472">
      <c r="A472" s="19" t="n">
        <v>711510</v>
      </c>
      <c r="B472" s="31" t="n">
        <v>46052</v>
      </c>
      <c r="C472" s="19" t="inlineStr">
        <is>
          <t>DEPARTMENT OF FLEET AND FACILITY MANAGEMENT</t>
        </is>
      </c>
      <c r="D472" s="19" t="inlineStr">
        <is>
          <t>Service Sanitation Inc.</t>
        </is>
      </c>
      <c r="E472" s="20" t="inlineStr">
        <is>
          <t>DCASE submitted a new contract request for RENTAL AND MAINTENANCE OF PORTABLE CHEMICAL TOILETS, SINKS, WASTE WATER BARRELS, PORTABLE WATERLESS HAND SANITIZER DISPENSERS, FRESH WATER TRAILER AND PORTABLE SHOWERS to DPS under RX 613315, Spec</t>
        </is>
      </c>
      <c r="F472" s="21" t="n">
        <v>6700</v>
      </c>
      <c r="G472" s="19" t="inlineStr">
        <is>
          <t>1. Pending New Contract - Original Contract Expired. New Contract in Process</t>
        </is>
      </c>
      <c r="H472" s="19" t="inlineStr">
        <is>
          <t>D. Solicitation Response Under Evaluation</t>
        </is>
      </c>
      <c r="I472" s="19" t="inlineStr">
        <is>
          <t>APPROVED</t>
        </is>
      </c>
      <c r="J472" s="19" t="inlineStr">
        <is>
          <t>Yes</t>
        </is>
      </c>
      <c r="K472" s="19" t="inlineStr">
        <is>
          <t>No</t>
        </is>
      </c>
      <c r="L472" s="19" t="inlineStr"/>
      <c r="M472" s="19" t="inlineStr">
        <is>
          <t>RX700212</t>
        </is>
      </c>
      <c r="N472" s="19" t="inlineStr">
        <is>
          <t>B</t>
        </is>
      </c>
      <c r="O472" s="20" t="inlineStr">
        <is>
          <t>Vendor match + commodity overlap (similarity 0.64)</t>
        </is>
      </c>
      <c r="P472" s="19" t="inlineStr">
        <is>
          <t>381051</t>
        </is>
      </c>
      <c r="Q472" s="19" t="inlineStr">
        <is>
          <t>Service Sanitation Inc.</t>
        </is>
      </c>
      <c r="R472" s="31" t="n">
        <v>46203</v>
      </c>
      <c r="S472" s="19" t="inlineStr">
        <is>
          <t>BID</t>
        </is>
      </c>
      <c r="T472" s="19" t="inlineStr">
        <is>
          <t>Yes</t>
        </is>
      </c>
      <c r="U472" s="19" t="inlineStr">
        <is>
          <t>Yes</t>
        </is>
      </c>
      <c r="V472" s="19" t="inlineStr">
        <is>
          <t>No</t>
        </is>
      </c>
      <c r="W472" s="19" t="inlineStr">
        <is>
          <t>Yes</t>
        </is>
      </c>
    </row>
    <row r="473">
      <c r="A473" s="19" t="n">
        <v>740499</v>
      </c>
      <c r="B473" s="31" t="n">
        <v>46217</v>
      </c>
      <c r="C473" s="19" t="inlineStr">
        <is>
          <t>DEPARTMENT OF FLEET AND FACILITY MANAGEMENT</t>
        </is>
      </c>
      <c r="D473" s="19" t="inlineStr">
        <is>
          <t>CHARLES EQUIPMENT ENERGY SYSTEMS LLC</t>
        </is>
      </c>
      <c r="E473" s="20" t="inlineStr">
        <is>
          <t>CDA Lead Dept. 2FM utlizes PO#66794 for Maintenance &amp; Repair of Diesel Electric Generators &amp; Fire Pumps at O'Hare &amp; Midway International Airports - Group A.  The contract expired 06/30/2024. CDOT submitted a new contract request to DPS for</t>
        </is>
      </c>
      <c r="F473" s="21" t="n">
        <v>8386.98</v>
      </c>
      <c r="G473" s="19" t="inlineStr">
        <is>
          <t>1. Pending New Contract - Original Contract Expired. New Contract in Process</t>
        </is>
      </c>
      <c r="H473" s="19" t="inlineStr">
        <is>
          <t>A. Specification Development Phase</t>
        </is>
      </c>
      <c r="I473" s="19" t="inlineStr">
        <is>
          <t>APPROVED</t>
        </is>
      </c>
      <c r="J473" s="19" t="inlineStr">
        <is>
          <t>Yes</t>
        </is>
      </c>
      <c r="K473" s="19" t="inlineStr">
        <is>
          <t>No</t>
        </is>
      </c>
      <c r="L473" s="19" t="inlineStr"/>
      <c r="M473" s="19" t="inlineStr">
        <is>
          <t>RX622326</t>
        </is>
      </c>
      <c r="N473" s="19" t="inlineStr">
        <is>
          <t>E</t>
        </is>
      </c>
      <c r="O473" s="20" t="inlineStr">
        <is>
          <t>No linkage found in awarded contract file</t>
        </is>
      </c>
      <c r="P473" s="19" t="inlineStr"/>
      <c r="Q473" s="19" t="inlineStr"/>
      <c r="R473" s="31" t="inlineStr"/>
      <c r="S473" s="19" t="inlineStr"/>
      <c r="T473" s="19" t="inlineStr">
        <is>
          <t>No</t>
        </is>
      </c>
      <c r="U473" s="19" t="inlineStr">
        <is>
          <t>No</t>
        </is>
      </c>
      <c r="V473" s="19" t="inlineStr">
        <is>
          <t>No</t>
        </is>
      </c>
      <c r="W473" s="19" t="inlineStr">
        <is>
          <t>Yes</t>
        </is>
      </c>
    </row>
    <row r="474">
      <c r="A474" s="19" t="n">
        <v>711027</v>
      </c>
      <c r="B474" s="31" t="n">
        <v>46051</v>
      </c>
      <c r="C474" s="19" t="inlineStr">
        <is>
          <t>DEPARTMENT OF FLEET AND FACILITY MANAGEMENT</t>
        </is>
      </c>
      <c r="D474" s="19" t="inlineStr">
        <is>
          <t>ABM INDUSTRY GROUPS, LLC</t>
        </is>
      </c>
      <c r="E474" s="20" t="inlineStr">
        <is>
          <t>2FM previously submitted a modification request for a time extension and vendor limit increase (VLI) under RX 680673; however, the request was subsequently cancelled. The department is currently renegotiating pricing to reflect the reduced</t>
        </is>
      </c>
      <c r="F474" s="21" t="n">
        <v>216329.4</v>
      </c>
      <c r="G474" s="19" t="inlineStr">
        <is>
          <t>1. Pending New Contract - Original Contract Expired. New Contract in Process</t>
        </is>
      </c>
      <c r="H474" s="19" t="inlineStr">
        <is>
          <t>A. Specification Development Phase</t>
        </is>
      </c>
      <c r="I474" s="19" t="inlineStr">
        <is>
          <t>APPROVED</t>
        </is>
      </c>
      <c r="J474" s="19" t="inlineStr">
        <is>
          <t>Yes</t>
        </is>
      </c>
      <c r="K474" s="19" t="inlineStr">
        <is>
          <t>No</t>
        </is>
      </c>
      <c r="L474" s="19" t="inlineStr">
        <is>
          <t>NO</t>
        </is>
      </c>
      <c r="M474" s="19" t="inlineStr">
        <is>
          <t>RX624331</t>
        </is>
      </c>
      <c r="N474" s="19" t="inlineStr">
        <is>
          <t>E</t>
        </is>
      </c>
      <c r="O474" s="20" t="inlineStr">
        <is>
          <t>No linkage found in awarded contract file</t>
        </is>
      </c>
      <c r="P474" s="19" t="inlineStr"/>
      <c r="Q474" s="19" t="inlineStr"/>
      <c r="R474" s="31" t="inlineStr"/>
      <c r="S474" s="19" t="inlineStr"/>
      <c r="T474" s="19" t="inlineStr">
        <is>
          <t>No</t>
        </is>
      </c>
      <c r="U474" s="19" t="inlineStr">
        <is>
          <t>No</t>
        </is>
      </c>
      <c r="V474" s="19" t="inlineStr">
        <is>
          <t>No</t>
        </is>
      </c>
      <c r="W474" s="19" t="inlineStr">
        <is>
          <t>Yes</t>
        </is>
      </c>
    </row>
    <row r="475">
      <c r="A475" s="19" t="n">
        <v>736756</v>
      </c>
      <c r="B475" s="31" t="n">
        <v>46195</v>
      </c>
      <c r="C475" s="19" t="inlineStr">
        <is>
          <t>DEPARTMENT OF FLEET AND FACILITY MANAGEMENT</t>
        </is>
      </c>
      <c r="D475" s="19" t="inlineStr">
        <is>
          <t>PRESSURE WASHING SYSTEMS</t>
        </is>
      </c>
      <c r="E475" s="20" t="inlineStr">
        <is>
          <t>PO T26072 expired 5/31/2003. The vendor chose not to extend their contract. We still require these services and will need to pay through Exhibit B until a new contract is awarded. Req 717990 has been submitted to DPS for advertisement.</t>
        </is>
      </c>
      <c r="F475" s="21" t="n">
        <v>11861</v>
      </c>
      <c r="G475" s="19" t="inlineStr">
        <is>
          <t>1. Pending New Contract - Original Contract Expired. New Contract in Process</t>
        </is>
      </c>
      <c r="H475" s="19" t="inlineStr">
        <is>
          <t>B. City Law Review</t>
        </is>
      </c>
      <c r="I475" s="19" t="inlineStr">
        <is>
          <t>APPROVED</t>
        </is>
      </c>
      <c r="J475" s="19" t="inlineStr">
        <is>
          <t>Yes</t>
        </is>
      </c>
      <c r="K475" s="19" t="inlineStr">
        <is>
          <t>No</t>
        </is>
      </c>
      <c r="L475" s="19" t="inlineStr"/>
      <c r="M475" s="19" t="inlineStr">
        <is>
          <t>RX717990</t>
        </is>
      </c>
      <c r="N475" s="19" t="inlineStr">
        <is>
          <t>E</t>
        </is>
      </c>
      <c r="O475" s="20" t="inlineStr">
        <is>
          <t>No linkage found in awarded contract file</t>
        </is>
      </c>
      <c r="P475" s="19" t="inlineStr"/>
      <c r="Q475" s="19" t="inlineStr"/>
      <c r="R475" s="31" t="inlineStr"/>
      <c r="S475" s="19" t="inlineStr"/>
      <c r="T475" s="19" t="inlineStr">
        <is>
          <t>No</t>
        </is>
      </c>
      <c r="U475" s="19" t="inlineStr">
        <is>
          <t>No</t>
        </is>
      </c>
      <c r="V475" s="19" t="inlineStr">
        <is>
          <t>No</t>
        </is>
      </c>
      <c r="W475" s="19" t="inlineStr">
        <is>
          <t>Yes</t>
        </is>
      </c>
    </row>
    <row r="476">
      <c r="A476" s="19" t="n">
        <v>718288</v>
      </c>
      <c r="B476" s="31" t="n">
        <v>46097</v>
      </c>
      <c r="C476" s="19" t="inlineStr">
        <is>
          <t>DEPARTMENT OF FLEET AND FACILITY MANAGEMENT</t>
        </is>
      </c>
      <c r="D476" s="19" t="inlineStr">
        <is>
          <t>JACOB PRESS' SONS INC</t>
        </is>
      </c>
      <c r="E476" s="20" t="inlineStr">
        <is>
          <t>Contract #24589 (Summit Tank) expired 5/07/2022. The vendor did not want to extend their contract.  Jacob Press is now doing the tank repair work the City needs until a new contract is awarded. 2FM developed a new RFP for these services RX</t>
        </is>
      </c>
      <c r="F476" s="21" t="n">
        <v>786.6799999999999</v>
      </c>
      <c r="G476" s="19" t="inlineStr">
        <is>
          <t>1. Pending New Contract - Original Contract Expired. New Contract in Process</t>
        </is>
      </c>
      <c r="H476" s="19" t="inlineStr">
        <is>
          <t>B. City Law Review</t>
        </is>
      </c>
      <c r="I476" s="19" t="inlineStr">
        <is>
          <t>APPROVED</t>
        </is>
      </c>
      <c r="J476" s="19" t="inlineStr">
        <is>
          <t>Yes</t>
        </is>
      </c>
      <c r="K476" s="19" t="inlineStr">
        <is>
          <t>No</t>
        </is>
      </c>
      <c r="L476" s="19" t="inlineStr"/>
      <c r="M476" s="19" t="inlineStr">
        <is>
          <t>RX590958</t>
        </is>
      </c>
      <c r="N476" s="19" t="inlineStr">
        <is>
          <t>E</t>
        </is>
      </c>
      <c r="O476" s="20" t="inlineStr">
        <is>
          <t>No linkage found in awarded contract file</t>
        </is>
      </c>
      <c r="P476" s="19" t="inlineStr"/>
      <c r="Q476" s="19" t="inlineStr"/>
      <c r="R476" s="31" t="inlineStr"/>
      <c r="S476" s="19" t="inlineStr"/>
      <c r="T476" s="19" t="inlineStr">
        <is>
          <t>No</t>
        </is>
      </c>
      <c r="U476" s="19" t="inlineStr">
        <is>
          <t>No</t>
        </is>
      </c>
      <c r="V476" s="19" t="inlineStr">
        <is>
          <t>No</t>
        </is>
      </c>
      <c r="W476" s="19" t="inlineStr">
        <is>
          <t>Yes</t>
        </is>
      </c>
    </row>
    <row r="477">
      <c r="A477" s="19" t="n">
        <v>718292</v>
      </c>
      <c r="B477" s="31" t="n">
        <v>46097</v>
      </c>
      <c r="C477" s="19" t="inlineStr">
        <is>
          <t>DEPARTMENT OF FLEET AND FACILITY MANAGEMENT</t>
        </is>
      </c>
      <c r="D477" s="19" t="inlineStr">
        <is>
          <t>MURNANE PAPER COMPANY</t>
        </is>
      </c>
      <c r="E477" s="20" t="inlineStr">
        <is>
          <t>There is currently no active contract for this type of paper. The items being purchased are not part of the current Murnane contract.  The Department of Fleet and Facility Management (2FM) previously advertised Specification 1288508, RX 579</t>
        </is>
      </c>
      <c r="F477" s="21" t="n">
        <v>16632</v>
      </c>
      <c r="G477" s="19" t="inlineStr">
        <is>
          <t>1. Pending New Contract - Original Contract Expired. New Contract in Process</t>
        </is>
      </c>
      <c r="H477" s="19" t="inlineStr">
        <is>
          <t>A. Specification Development Phase</t>
        </is>
      </c>
      <c r="I477" s="19" t="inlineStr">
        <is>
          <t>APPROVED</t>
        </is>
      </c>
      <c r="J477" s="19" t="inlineStr">
        <is>
          <t>No</t>
        </is>
      </c>
      <c r="K477" s="19" t="inlineStr">
        <is>
          <t>No</t>
        </is>
      </c>
      <c r="L477" s="19" t="inlineStr"/>
      <c r="M477" s="19" t="inlineStr">
        <is>
          <t>RX600854</t>
        </is>
      </c>
      <c r="N477" s="19" t="inlineStr">
        <is>
          <t>E</t>
        </is>
      </c>
      <c r="O477" s="20" t="inlineStr">
        <is>
          <t>No linkage found in awarded contract file</t>
        </is>
      </c>
      <c r="P477" s="19" t="inlineStr"/>
      <c r="Q477" s="19" t="inlineStr"/>
      <c r="R477" s="31" t="inlineStr"/>
      <c r="S477" s="19" t="inlineStr"/>
      <c r="T477" s="19" t="inlineStr">
        <is>
          <t>No</t>
        </is>
      </c>
      <c r="U477" s="19" t="inlineStr">
        <is>
          <t>No</t>
        </is>
      </c>
      <c r="V477" s="19" t="inlineStr">
        <is>
          <t>No</t>
        </is>
      </c>
      <c r="W477" s="19" t="inlineStr">
        <is>
          <t>No</t>
        </is>
      </c>
    </row>
    <row r="478">
      <c r="A478" s="19" t="n">
        <v>737808</v>
      </c>
      <c r="B478" s="31" t="n">
        <v>46203</v>
      </c>
      <c r="C478" s="19" t="inlineStr">
        <is>
          <t>DEPARTMENT OF FLEET AND FACILITY MANAGEMENT</t>
        </is>
      </c>
      <c r="D478" s="19" t="inlineStr">
        <is>
          <t>RUSH TRUCK CENTERS OF ILLINOIS INC</t>
        </is>
      </c>
      <c r="E478" s="20" t="inlineStr">
        <is>
          <t>The work was completed under PO 20335 by Freeway Ford prior to the company ceasing operations on 12/4/2023 and being acquired by Rush Trucks, which issued the final invoice. Because there is no current contract with Rush Trucks for these se</t>
        </is>
      </c>
      <c r="F478" s="21" t="n">
        <v>500</v>
      </c>
      <c r="G478" s="19" t="inlineStr">
        <is>
          <t>1. Pending New Contract - Original Contract Expired. New Contract in Process</t>
        </is>
      </c>
      <c r="H478" s="19" t="inlineStr">
        <is>
          <t>B. City Law Review</t>
        </is>
      </c>
      <c r="I478" s="19" t="inlineStr">
        <is>
          <t>APPROVED</t>
        </is>
      </c>
      <c r="J478" s="19" t="inlineStr">
        <is>
          <t>Yes</t>
        </is>
      </c>
      <c r="K478" s="19" t="inlineStr">
        <is>
          <t>No</t>
        </is>
      </c>
      <c r="L478" s="19" t="inlineStr"/>
      <c r="M478" s="19" t="inlineStr">
        <is>
          <t>RX590958</t>
        </is>
      </c>
      <c r="N478" s="19" t="inlineStr">
        <is>
          <t>E</t>
        </is>
      </c>
      <c r="O478" s="20" t="inlineStr">
        <is>
          <t>No linkage found in awarded contract file</t>
        </is>
      </c>
      <c r="P478" s="19" t="inlineStr"/>
      <c r="Q478" s="19" t="inlineStr"/>
      <c r="R478" s="31" t="inlineStr"/>
      <c r="S478" s="19" t="inlineStr"/>
      <c r="T478" s="19" t="inlineStr">
        <is>
          <t>No</t>
        </is>
      </c>
      <c r="U478" s="19" t="inlineStr">
        <is>
          <t>No</t>
        </is>
      </c>
      <c r="V478" s="19" t="inlineStr">
        <is>
          <t>No</t>
        </is>
      </c>
      <c r="W478" s="19" t="inlineStr">
        <is>
          <t>Yes</t>
        </is>
      </c>
    </row>
    <row r="479">
      <c r="A479" s="19" t="n">
        <v>708188</v>
      </c>
      <c r="B479" s="31" t="n">
        <v>46035</v>
      </c>
      <c r="C479" s="19" t="inlineStr">
        <is>
          <t>DEPARTMENT OF FLEET AND FACILITY MANAGEMENT</t>
        </is>
      </c>
      <c r="D479" s="19" t="inlineStr">
        <is>
          <t>ABC Humane Wildlife Control &amp; Prevention, Inc.</t>
        </is>
      </c>
      <c r="E479" s="20" t="inlineStr">
        <is>
          <t>There is currently no active contract for Integrated Pest Management. The vendor chose not to extend beyond the May 29, 2025 expiration date. 2FM submitted a replacement specification under RX 579113, Spec #1291433, which was advertised on</t>
        </is>
      </c>
      <c r="F479" s="21" t="n">
        <v>17394.79</v>
      </c>
      <c r="G479" s="19" t="inlineStr">
        <is>
          <t>1. Pending New Contract - Original Contract Expired. New Contract in Process</t>
        </is>
      </c>
      <c r="H479" s="19" t="inlineStr">
        <is>
          <t>A. Specification Development Phase</t>
        </is>
      </c>
      <c r="I479" s="19" t="inlineStr">
        <is>
          <t>APPROVED</t>
        </is>
      </c>
      <c r="J479" s="19" t="inlineStr">
        <is>
          <t>No</t>
        </is>
      </c>
      <c r="K479" s="19" t="inlineStr">
        <is>
          <t>No</t>
        </is>
      </c>
      <c r="L479" s="19" t="inlineStr"/>
      <c r="M479" s="19" t="inlineStr">
        <is>
          <t>RX682957</t>
        </is>
      </c>
      <c r="N479" s="19" t="inlineStr">
        <is>
          <t>E</t>
        </is>
      </c>
      <c r="O479" s="20" t="inlineStr">
        <is>
          <t>No linkage found in awarded contract file</t>
        </is>
      </c>
      <c r="P479" s="19" t="inlineStr"/>
      <c r="Q479" s="19" t="inlineStr"/>
      <c r="R479" s="31" t="inlineStr"/>
      <c r="S479" s="19" t="inlineStr"/>
      <c r="T479" s="19" t="inlineStr">
        <is>
          <t>No</t>
        </is>
      </c>
      <c r="U479" s="19" t="inlineStr">
        <is>
          <t>No</t>
        </is>
      </c>
      <c r="V479" s="19" t="inlineStr">
        <is>
          <t>No</t>
        </is>
      </c>
      <c r="W479" s="19" t="inlineStr">
        <is>
          <t>No</t>
        </is>
      </c>
    </row>
    <row r="480">
      <c r="A480" s="19" t="n">
        <v>709600</v>
      </c>
      <c r="B480" s="31" t="n">
        <v>46048</v>
      </c>
      <c r="C480" s="19" t="inlineStr">
        <is>
          <t>DEPARTMENT OF FLEET AND FACILITY MANAGEMENT</t>
        </is>
      </c>
      <c r="D480" s="19" t="inlineStr">
        <is>
          <t>Helicopters, Inc.</t>
        </is>
      </c>
      <c r="E480" s="20" t="inlineStr">
        <is>
          <t>2FM currently holds two helicopter maintenance contracts, however the Bell 407s and 429 aircraft are not under either contract due to the lack of certified personnel.  2FM submitted an Emergency Contract request for Helicopter Inc. to provi</t>
        </is>
      </c>
      <c r="F480" s="21" t="n">
        <v>840</v>
      </c>
      <c r="G480" s="19" t="inlineStr">
        <is>
          <t>1. Pending New Contract - Original Contract Expired. New Contract in Process</t>
        </is>
      </c>
      <c r="H480" s="19" t="inlineStr">
        <is>
          <t>B. City Law Review</t>
        </is>
      </c>
      <c r="I480" s="19" t="inlineStr">
        <is>
          <t>APPROVED</t>
        </is>
      </c>
      <c r="J480" s="19" t="inlineStr">
        <is>
          <t>No</t>
        </is>
      </c>
      <c r="K480" s="19" t="inlineStr">
        <is>
          <t>Yes</t>
        </is>
      </c>
      <c r="L480" s="19" t="inlineStr">
        <is>
          <t>TBD</t>
        </is>
      </c>
      <c r="M480" s="19" t="inlineStr">
        <is>
          <t>RX690671</t>
        </is>
      </c>
      <c r="N480" s="19" t="inlineStr">
        <is>
          <t>A</t>
        </is>
      </c>
      <c r="O480" s="20" t="inlineStr">
        <is>
          <t>Requisition ID link: Exhibit B new-contract RX = awarded REQ</t>
        </is>
      </c>
      <c r="P480" s="19" t="inlineStr">
        <is>
          <t>386844</t>
        </is>
      </c>
      <c r="Q480" s="19" t="inlineStr">
        <is>
          <t>Helicopters, Inc.</t>
        </is>
      </c>
      <c r="R480" s="31" t="n">
        <v>46203</v>
      </c>
      <c r="S480" s="19" t="inlineStr">
        <is>
          <t>EMERGENCY</t>
        </is>
      </c>
      <c r="T480" s="19" t="inlineStr">
        <is>
          <t>No</t>
        </is>
      </c>
      <c r="U480" s="19" t="inlineStr">
        <is>
          <t>Yes</t>
        </is>
      </c>
      <c r="V480" s="19" t="inlineStr">
        <is>
          <t>No</t>
        </is>
      </c>
      <c r="W480" s="19" t="inlineStr">
        <is>
          <t>No</t>
        </is>
      </c>
    </row>
    <row r="481">
      <c r="A481" s="19" t="n">
        <v>731632</v>
      </c>
      <c r="B481" s="31" t="n">
        <v>46163</v>
      </c>
      <c r="C481" s="19" t="inlineStr">
        <is>
          <t>DEPARTMENT OF FLEET AND FACILITY MANAGEMENT</t>
        </is>
      </c>
      <c r="D481" s="19" t="inlineStr">
        <is>
          <t>WISS, JANNEY, ELSTNER, &amp; ASSOCIATES, INC.</t>
        </is>
      </c>
      <c r="E481" s="20" t="inlineStr">
        <is>
          <t>Current Spec 127930's Scope of services for this Exhibit B is outside of the current contract. Additional language was added to the new Specification for A/E, Spec#132104 Req.#607835, to address this scope gap in the future. Spec#132104 Req</t>
        </is>
      </c>
      <c r="F481" s="21" t="n">
        <v>10392.95</v>
      </c>
      <c r="G481" s="19" t="inlineStr">
        <is>
          <t>1. Pending New Contract - Original Contract Expired. New Contract in Process</t>
        </is>
      </c>
      <c r="H481" s="19" t="inlineStr">
        <is>
          <t>H. One Time Purchase</t>
        </is>
      </c>
      <c r="I481" s="19" t="inlineStr">
        <is>
          <t>APPROVED</t>
        </is>
      </c>
      <c r="J481" s="19" t="inlineStr">
        <is>
          <t>Yes</t>
        </is>
      </c>
      <c r="K481" s="19" t="inlineStr">
        <is>
          <t>No</t>
        </is>
      </c>
      <c r="L481" s="19" t="n">
        <v>203199</v>
      </c>
      <c r="M481" s="19" t="inlineStr">
        <is>
          <t>RX607835</t>
        </is>
      </c>
      <c r="N481" s="19" t="inlineStr">
        <is>
          <t>E</t>
        </is>
      </c>
      <c r="O481" s="20" t="inlineStr">
        <is>
          <t>No linkage found in awarded contract file</t>
        </is>
      </c>
      <c r="P481" s="19" t="inlineStr"/>
      <c r="Q481" s="19" t="inlineStr"/>
      <c r="R481" s="31" t="inlineStr"/>
      <c r="S481" s="19" t="inlineStr"/>
      <c r="T481" s="19" t="inlineStr">
        <is>
          <t>No</t>
        </is>
      </c>
      <c r="U481" s="19" t="inlineStr">
        <is>
          <t>No</t>
        </is>
      </c>
      <c r="V481" s="19" t="inlineStr">
        <is>
          <t>No</t>
        </is>
      </c>
      <c r="W481" s="19" t="inlineStr">
        <is>
          <t>Yes</t>
        </is>
      </c>
    </row>
    <row r="482">
      <c r="A482" s="19" t="n">
        <v>711286</v>
      </c>
      <c r="B482" s="31" t="n">
        <v>46052</v>
      </c>
      <c r="C482" s="19" t="inlineStr">
        <is>
          <t>DEPARTMENT OF WATER MANAGEMENT</t>
        </is>
      </c>
      <c r="D482" s="19" t="inlineStr">
        <is>
          <t>USALCO</t>
        </is>
      </c>
      <c r="E482" s="20" t="inlineStr">
        <is>
          <t>Liquid Aluminum Sulfate (Iron Free)</t>
        </is>
      </c>
      <c r="F482" s="21" t="n">
        <v>0</v>
      </c>
      <c r="G482" s="19" t="inlineStr">
        <is>
          <t>1. Pending New Contract - Original Contract Expired. New Contract in Process</t>
        </is>
      </c>
      <c r="H482" s="19" t="inlineStr">
        <is>
          <t>A. Specification Development Phase</t>
        </is>
      </c>
      <c r="I482" s="19" t="inlineStr"/>
      <c r="J482" s="19" t="inlineStr">
        <is>
          <t>Yes</t>
        </is>
      </c>
      <c r="K482" s="19" t="inlineStr">
        <is>
          <t>No</t>
        </is>
      </c>
      <c r="L482" s="19" t="inlineStr"/>
      <c r="M482" s="19" t="inlineStr">
        <is>
          <t>RX661351</t>
        </is>
      </c>
      <c r="N482" s="19" t="inlineStr">
        <is>
          <t>E</t>
        </is>
      </c>
      <c r="O482" s="20" t="inlineStr">
        <is>
          <t>No linkage found in awarded contract file</t>
        </is>
      </c>
      <c r="P482" s="19" t="inlineStr"/>
      <c r="Q482" s="19" t="inlineStr"/>
      <c r="R482" s="31" t="inlineStr"/>
      <c r="S482" s="19" t="inlineStr"/>
      <c r="T482" s="19" t="inlineStr">
        <is>
          <t>No</t>
        </is>
      </c>
      <c r="U482" s="19" t="inlineStr">
        <is>
          <t>No</t>
        </is>
      </c>
      <c r="V482" s="19" t="inlineStr">
        <is>
          <t>No</t>
        </is>
      </c>
      <c r="W482" s="19" t="inlineStr">
        <is>
          <t>Yes</t>
        </is>
      </c>
    </row>
    <row r="483">
      <c r="A483" s="19" t="n">
        <v>711738</v>
      </c>
      <c r="B483" s="31" t="n">
        <v>46052</v>
      </c>
      <c r="C483" s="19" t="inlineStr">
        <is>
          <t>CHICAGO ANIMAL CARE AND CONTROL</t>
        </is>
      </c>
      <c r="D483" s="19" t="inlineStr">
        <is>
          <t>MIDWEST VETERINARY SUPPLY, INC.</t>
        </is>
      </c>
      <c r="E483" s="20" t="inlineStr">
        <is>
          <t>Medical supplies for the animals housed at CACC</t>
        </is>
      </c>
      <c r="F483" s="21" t="n">
        <v>66407.74000000001</v>
      </c>
      <c r="G483" s="19" t="inlineStr">
        <is>
          <t>1. Pending New Contract - Original Contract Expired. New Contract in Process</t>
        </is>
      </c>
      <c r="H483" s="19" t="inlineStr">
        <is>
          <t>A. Specification Development Phase</t>
        </is>
      </c>
      <c r="I483" s="19" t="inlineStr">
        <is>
          <t>APPROVED</t>
        </is>
      </c>
      <c r="J483" s="19" t="inlineStr">
        <is>
          <t>Yes</t>
        </is>
      </c>
      <c r="K483" s="19" t="inlineStr">
        <is>
          <t>No</t>
        </is>
      </c>
      <c r="L483" s="19" t="inlineStr">
        <is>
          <t>No</t>
        </is>
      </c>
      <c r="M483" s="19" t="inlineStr">
        <is>
          <t>RX702002</t>
        </is>
      </c>
      <c r="N483" s="19" t="inlineStr">
        <is>
          <t>E</t>
        </is>
      </c>
      <c r="O483" s="20" t="inlineStr">
        <is>
          <t>No linkage found in awarded contract file</t>
        </is>
      </c>
      <c r="P483" s="19" t="inlineStr"/>
      <c r="Q483" s="19" t="inlineStr"/>
      <c r="R483" s="31" t="inlineStr"/>
      <c r="S483" s="19" t="inlineStr"/>
      <c r="T483" s="19" t="inlineStr">
        <is>
          <t>No</t>
        </is>
      </c>
      <c r="U483" s="19" t="inlineStr">
        <is>
          <t>No</t>
        </is>
      </c>
      <c r="V483" s="19" t="inlineStr">
        <is>
          <t>No</t>
        </is>
      </c>
      <c r="W483" s="19" t="inlineStr">
        <is>
          <t>Yes</t>
        </is>
      </c>
    </row>
    <row r="484">
      <c r="A484" s="19" t="n">
        <v>736464</v>
      </c>
      <c r="B484" s="31" t="n">
        <v>46195</v>
      </c>
      <c r="C484" s="19" t="inlineStr">
        <is>
          <t>CHICAGO ANIMAL CARE AND CONTROL</t>
        </is>
      </c>
      <c r="D484" s="19" t="inlineStr">
        <is>
          <t>MIDWEST VETERINARY SUPPLY, INC.</t>
        </is>
      </c>
      <c r="E484" s="20" t="inlineStr">
        <is>
          <t>Veterinary Medical Supplies and Pharmaceuticals</t>
        </is>
      </c>
      <c r="F484" s="21" t="n">
        <v>60197.58</v>
      </c>
      <c r="G484" s="19" t="inlineStr">
        <is>
          <t>1. Pending New Contract - Original Contract Expired. New Contract in Process</t>
        </is>
      </c>
      <c r="H484" s="19" t="inlineStr">
        <is>
          <t>A. Specification Development Phase</t>
        </is>
      </c>
      <c r="I484" s="19" t="inlineStr">
        <is>
          <t>APPROVED</t>
        </is>
      </c>
      <c r="J484" s="19" t="inlineStr">
        <is>
          <t>Yes</t>
        </is>
      </c>
      <c r="K484" s="19" t="inlineStr">
        <is>
          <t>No</t>
        </is>
      </c>
      <c r="L484" s="19" t="inlineStr"/>
      <c r="M484" s="19" t="inlineStr">
        <is>
          <t>RX729906</t>
        </is>
      </c>
      <c r="N484" s="19" t="inlineStr">
        <is>
          <t>E</t>
        </is>
      </c>
      <c r="O484" s="20" t="inlineStr">
        <is>
          <t>No linkage found in awarded contract file</t>
        </is>
      </c>
      <c r="P484" s="19" t="inlineStr"/>
      <c r="Q484" s="19" t="inlineStr"/>
      <c r="R484" s="31" t="inlineStr"/>
      <c r="S484" s="19" t="inlineStr"/>
      <c r="T484" s="19" t="inlineStr">
        <is>
          <t>No</t>
        </is>
      </c>
      <c r="U484" s="19" t="inlineStr">
        <is>
          <t>No</t>
        </is>
      </c>
      <c r="V484" s="19" t="inlineStr">
        <is>
          <t>No</t>
        </is>
      </c>
      <c r="W484" s="19" t="inlineStr">
        <is>
          <t>Yes</t>
        </is>
      </c>
    </row>
    <row r="485">
      <c r="A485" s="19" t="n">
        <v>744130</v>
      </c>
      <c r="B485" s="31" t="n">
        <v>46238</v>
      </c>
      <c r="C485" s="19" t="inlineStr">
        <is>
          <t>CHICAGO ANIMAL CARE AND CONTROL</t>
        </is>
      </c>
      <c r="D485" s="19" t="inlineStr">
        <is>
          <t>MIDWEST VETERINARY SUPPLY, INC.</t>
        </is>
      </c>
      <c r="E485" s="20" t="inlineStr">
        <is>
          <t>veterinary medical supplies</t>
        </is>
      </c>
      <c r="F485" s="21" t="n">
        <v>50092.2</v>
      </c>
      <c r="G485" s="19" t="inlineStr">
        <is>
          <t>1. Pending New Contract - Original Contract Expired. New Contract in Process</t>
        </is>
      </c>
      <c r="H485" s="19" t="inlineStr">
        <is>
          <t>A. Specification Development Phase</t>
        </is>
      </c>
      <c r="I485" s="19" t="inlineStr">
        <is>
          <t>APPROVED</t>
        </is>
      </c>
      <c r="J485" s="19" t="inlineStr">
        <is>
          <t>Yes</t>
        </is>
      </c>
      <c r="K485" s="19" t="inlineStr">
        <is>
          <t>No</t>
        </is>
      </c>
      <c r="L485" s="19" t="inlineStr"/>
      <c r="M485" s="19" t="inlineStr">
        <is>
          <t>RX729906</t>
        </is>
      </c>
      <c r="N485" s="19" t="inlineStr">
        <is>
          <t>E</t>
        </is>
      </c>
      <c r="O485" s="20" t="inlineStr">
        <is>
          <t>No linkage found in awarded contract file</t>
        </is>
      </c>
      <c r="P485" s="19" t="inlineStr"/>
      <c r="Q485" s="19" t="inlineStr"/>
      <c r="R485" s="31" t="inlineStr"/>
      <c r="S485" s="19" t="inlineStr"/>
      <c r="T485" s="19" t="inlineStr">
        <is>
          <t>No</t>
        </is>
      </c>
      <c r="U485" s="19" t="inlineStr">
        <is>
          <t>No</t>
        </is>
      </c>
      <c r="V485" s="19" t="inlineStr">
        <is>
          <t>No</t>
        </is>
      </c>
      <c r="W485" s="19" t="inlineStr">
        <is>
          <t>Yes</t>
        </is>
      </c>
    </row>
    <row r="486">
      <c r="A486" s="19" t="n">
        <v>717862</v>
      </c>
      <c r="B486" s="31" t="n">
        <v>46087</v>
      </c>
      <c r="C486" s="19" t="inlineStr">
        <is>
          <t>CHICAGO DEPARTMENT OF TRANSPORTATION</t>
        </is>
      </c>
      <c r="D486" s="19" t="inlineStr">
        <is>
          <t>OOSTERBAAN &amp; SONS CO</t>
        </is>
      </c>
      <c r="E486" s="20" t="inlineStr">
        <is>
          <t>POLE PAINTING SERVICES</t>
        </is>
      </c>
      <c r="F486" s="21" t="n">
        <v>226848</v>
      </c>
      <c r="G486" s="19" t="inlineStr">
        <is>
          <t>1. Pending New Contract - Original Contract Expired. New Contract in Process</t>
        </is>
      </c>
      <c r="H486" s="19" t="inlineStr">
        <is>
          <t>A. Specification Development Phase</t>
        </is>
      </c>
      <c r="I486" s="19" t="inlineStr">
        <is>
          <t>APPROVED</t>
        </is>
      </c>
      <c r="J486" s="19" t="inlineStr">
        <is>
          <t>No</t>
        </is>
      </c>
      <c r="K486" s="19" t="inlineStr">
        <is>
          <t>No</t>
        </is>
      </c>
      <c r="L486" s="19" t="inlineStr"/>
      <c r="M486" s="19" t="inlineStr">
        <is>
          <t>RX688692</t>
        </is>
      </c>
      <c r="N486" s="19" t="inlineStr">
        <is>
          <t>E</t>
        </is>
      </c>
      <c r="O486" s="20" t="inlineStr">
        <is>
          <t>No linkage found in awarded contract file</t>
        </is>
      </c>
      <c r="P486" s="19" t="inlineStr"/>
      <c r="Q486" s="19" t="inlineStr"/>
      <c r="R486" s="31" t="inlineStr"/>
      <c r="S486" s="19" t="inlineStr"/>
      <c r="T486" s="19" t="inlineStr">
        <is>
          <t>No</t>
        </is>
      </c>
      <c r="U486" s="19" t="inlineStr">
        <is>
          <t>No</t>
        </is>
      </c>
      <c r="V486" s="19" t="inlineStr">
        <is>
          <t>No</t>
        </is>
      </c>
      <c r="W486" s="19" t="inlineStr">
        <is>
          <t>No</t>
        </is>
      </c>
    </row>
    <row r="487">
      <c r="A487" s="19" t="n">
        <v>731020</v>
      </c>
      <c r="B487" s="31" t="n">
        <v>46161</v>
      </c>
      <c r="C487" s="19" t="inlineStr">
        <is>
          <t>CHICAGO DEPARTMENT OF TRANSPORTATION</t>
        </is>
      </c>
      <c r="D487" s="19" t="inlineStr">
        <is>
          <t>MANDEL METALS INC</t>
        </is>
      </c>
      <c r="E487" s="20" t="inlineStr">
        <is>
          <t>Aluminum Sign Blanks, Cornplast Sheets, Pre-Made Signs, Street Sign Post Wedges And Extensions (Groups A, C, &amp; F)</t>
        </is>
      </c>
      <c r="F487" s="21" t="n">
        <v>96630</v>
      </c>
      <c r="G487" s="19" t="inlineStr">
        <is>
          <t>1. Pending New Contract - Original Contract Expired. New Contract in Process</t>
        </is>
      </c>
      <c r="H487" s="19" t="inlineStr">
        <is>
          <t>C. Solicitation or Bidding Phase</t>
        </is>
      </c>
      <c r="I487" s="19" t="inlineStr">
        <is>
          <t>APPROVED</t>
        </is>
      </c>
      <c r="J487" s="19" t="inlineStr">
        <is>
          <t>Yes</t>
        </is>
      </c>
      <c r="K487" s="19" t="inlineStr">
        <is>
          <t>No</t>
        </is>
      </c>
      <c r="L487" s="19" t="inlineStr"/>
      <c r="M487" s="19" t="inlineStr">
        <is>
          <t>RX693525</t>
        </is>
      </c>
      <c r="N487" s="19" t="inlineStr">
        <is>
          <t>E</t>
        </is>
      </c>
      <c r="O487" s="20" t="inlineStr">
        <is>
          <t>No linkage found in awarded contract file</t>
        </is>
      </c>
      <c r="P487" s="19" t="inlineStr"/>
      <c r="Q487" s="19" t="inlineStr"/>
      <c r="R487" s="31" t="inlineStr"/>
      <c r="S487" s="19" t="inlineStr"/>
      <c r="T487" s="19" t="inlineStr">
        <is>
          <t>No</t>
        </is>
      </c>
      <c r="U487" s="19" t="inlineStr">
        <is>
          <t>No</t>
        </is>
      </c>
      <c r="V487" s="19" t="inlineStr">
        <is>
          <t>No</t>
        </is>
      </c>
      <c r="W487" s="19" t="inlineStr">
        <is>
          <t>Yes</t>
        </is>
      </c>
    </row>
    <row r="488">
      <c r="A488" s="19" t="n">
        <v>729140</v>
      </c>
      <c r="B488" s="31" t="n">
        <v>46147</v>
      </c>
      <c r="C488" s="19" t="inlineStr">
        <is>
          <t>CHICAGO POLICE DEPARTMENT</t>
        </is>
      </c>
      <c r="D488" s="19" t="inlineStr">
        <is>
          <t>DODD CAMERA HOLDINGS, INC</t>
        </is>
      </c>
      <c r="E488" s="20" t="inlineStr">
        <is>
          <t>DODD CAMERA - MAIU - $15,713.46 FUND 659</t>
        </is>
      </c>
      <c r="F488" s="21" t="n">
        <v>15713.46</v>
      </c>
      <c r="G488" s="19" t="inlineStr">
        <is>
          <t>1. Pending New Contract - Original Contract Expired. New Contract in Process</t>
        </is>
      </c>
      <c r="H488" s="19" t="inlineStr">
        <is>
          <t>B. City Law Review</t>
        </is>
      </c>
      <c r="I488" s="19" t="inlineStr">
        <is>
          <t>APPROVED</t>
        </is>
      </c>
      <c r="J488" s="19" t="inlineStr">
        <is>
          <t>Yes</t>
        </is>
      </c>
      <c r="K488" s="19" t="inlineStr">
        <is>
          <t>No</t>
        </is>
      </c>
      <c r="L488" s="19" t="inlineStr"/>
      <c r="M488" s="19" t="inlineStr">
        <is>
          <t>RX561631</t>
        </is>
      </c>
      <c r="N488" s="19" t="inlineStr">
        <is>
          <t>E</t>
        </is>
      </c>
      <c r="O488" s="20" t="inlineStr">
        <is>
          <t>No linkage found in awarded contract file</t>
        </is>
      </c>
      <c r="P488" s="19" t="inlineStr"/>
      <c r="Q488" s="19" t="inlineStr"/>
      <c r="R488" s="31" t="inlineStr"/>
      <c r="S488" s="19" t="inlineStr"/>
      <c r="T488" s="19" t="inlineStr">
        <is>
          <t>No</t>
        </is>
      </c>
      <c r="U488" s="19" t="inlineStr">
        <is>
          <t>No</t>
        </is>
      </c>
      <c r="V488" s="19" t="inlineStr">
        <is>
          <t>No</t>
        </is>
      </c>
      <c r="W488" s="19" t="inlineStr">
        <is>
          <t>Yes</t>
        </is>
      </c>
    </row>
    <row r="489">
      <c r="A489" s="19" t="n">
        <v>746643</v>
      </c>
      <c r="B489" s="31" t="n">
        <v>46253</v>
      </c>
      <c r="C489" s="19" t="inlineStr">
        <is>
          <t>DEPARTMENT OF STREETS AND SANITATION</t>
        </is>
      </c>
      <c r="D489" s="19" t="inlineStr">
        <is>
          <t>BLUETRITON BRANDS INC</t>
        </is>
      </c>
      <c r="E489" s="20" t="inlineStr">
        <is>
          <t>Ice Mountain Brand drinking water</t>
        </is>
      </c>
      <c r="F489" s="21" t="n">
        <v>10.63</v>
      </c>
      <c r="G489" s="19" t="inlineStr">
        <is>
          <t>1. Pending New Contract - Original Contract Expired. New Contract in Process</t>
        </is>
      </c>
      <c r="H489" s="19" t="inlineStr">
        <is>
          <t>B. City Law Review</t>
        </is>
      </c>
      <c r="I489" s="19" t="inlineStr">
        <is>
          <t>APPROVED</t>
        </is>
      </c>
      <c r="J489" s="19" t="inlineStr">
        <is>
          <t>Yes</t>
        </is>
      </c>
      <c r="K489" s="19" t="inlineStr">
        <is>
          <t>No</t>
        </is>
      </c>
      <c r="L489" s="19" t="n">
        <v>0</v>
      </c>
      <c r="M489" s="19" t="inlineStr">
        <is>
          <t>RX676831</t>
        </is>
      </c>
      <c r="N489" s="19" t="inlineStr">
        <is>
          <t>E</t>
        </is>
      </c>
      <c r="O489" s="20" t="inlineStr">
        <is>
          <t>No linkage found in awarded contract file</t>
        </is>
      </c>
      <c r="P489" s="19" t="inlineStr"/>
      <c r="Q489" s="19" t="inlineStr"/>
      <c r="R489" s="31" t="inlineStr"/>
      <c r="S489" s="19" t="inlineStr"/>
      <c r="T489" s="19" t="inlineStr">
        <is>
          <t>No</t>
        </is>
      </c>
      <c r="U489" s="19" t="inlineStr">
        <is>
          <t>No</t>
        </is>
      </c>
      <c r="V489" s="19" t="inlineStr">
        <is>
          <t>No</t>
        </is>
      </c>
      <c r="W489" s="19" t="inlineStr">
        <is>
          <t>Yes</t>
        </is>
      </c>
    </row>
    <row r="490">
      <c r="A490" s="19" t="n">
        <v>714252</v>
      </c>
      <c r="B490" s="31" t="n">
        <v>46126</v>
      </c>
      <c r="C490" s="19" t="inlineStr">
        <is>
          <t>DEPARTMENT OF STREETS AND SANITATION</t>
        </is>
      </c>
      <c r="D490" s="19" t="inlineStr">
        <is>
          <t>CASCADE ENGINEERING, INC</t>
        </is>
      </c>
      <c r="E490" s="20" t="inlineStr">
        <is>
          <t>MOBILE REFUSE BLACK CARTS AND RECYCLING BLUE CARTS</t>
        </is>
      </c>
      <c r="F490" s="21" t="n">
        <v>544044.8</v>
      </c>
      <c r="G490" s="19" t="inlineStr">
        <is>
          <t>1. Pending New Contract - Original Contract Expired. New Contract in Process</t>
        </is>
      </c>
      <c r="H490" s="19" t="inlineStr">
        <is>
          <t>B. City Law Review</t>
        </is>
      </c>
      <c r="I490" s="19" t="inlineStr">
        <is>
          <t>APPROVED</t>
        </is>
      </c>
      <c r="J490" s="19" t="inlineStr">
        <is>
          <t>Yes</t>
        </is>
      </c>
      <c r="K490" s="19" t="inlineStr">
        <is>
          <t>No</t>
        </is>
      </c>
      <c r="L490" s="19" t="n">
        <v>0</v>
      </c>
      <c r="M490" s="19" t="inlineStr">
        <is>
          <t>RX634792</t>
        </is>
      </c>
      <c r="N490" s="19" t="inlineStr">
        <is>
          <t>E</t>
        </is>
      </c>
      <c r="O490" s="20" t="inlineStr">
        <is>
          <t>No linkage found in awarded contract file</t>
        </is>
      </c>
      <c r="P490" s="19" t="inlineStr"/>
      <c r="Q490" s="19" t="inlineStr"/>
      <c r="R490" s="31" t="inlineStr"/>
      <c r="S490" s="19" t="inlineStr"/>
      <c r="T490" s="19" t="inlineStr">
        <is>
          <t>No</t>
        </is>
      </c>
      <c r="U490" s="19" t="inlineStr">
        <is>
          <t>No</t>
        </is>
      </c>
      <c r="V490" s="19" t="inlineStr">
        <is>
          <t>No</t>
        </is>
      </c>
      <c r="W490" s="19" t="inlineStr">
        <is>
          <t>Yes</t>
        </is>
      </c>
    </row>
    <row r="491">
      <c r="A491" s="19" t="n">
        <v>718841</v>
      </c>
      <c r="B491" s="31" t="n">
        <v>46162</v>
      </c>
      <c r="C491" s="19" t="inlineStr">
        <is>
          <t>DEPARTMENT OF STREETS AND SANITATION</t>
        </is>
      </c>
      <c r="D491" s="19" t="inlineStr">
        <is>
          <t>PEST MANAGEMENT SUPPLY</t>
        </is>
      </c>
      <c r="E491" s="20" t="inlineStr">
        <is>
          <t>Purchase of Rodenticide</t>
        </is>
      </c>
      <c r="F491" s="21" t="n">
        <v>28637.75</v>
      </c>
      <c r="G491" s="19" t="inlineStr">
        <is>
          <t>1. Pending New Contract - Original Contract Expired. New Contract in Process</t>
        </is>
      </c>
      <c r="H491" s="19" t="inlineStr">
        <is>
          <t>A. Specification Development Phase</t>
        </is>
      </c>
      <c r="I491" s="19" t="inlineStr">
        <is>
          <t>APPROVED</t>
        </is>
      </c>
      <c r="J491" s="19" t="inlineStr">
        <is>
          <t>No</t>
        </is>
      </c>
      <c r="K491" s="19" t="inlineStr">
        <is>
          <t>No</t>
        </is>
      </c>
      <c r="L491" s="19" t="n">
        <v>0</v>
      </c>
      <c r="M491" s="19" t="inlineStr">
        <is>
          <t>VDPEST MANAGEMENT SUPPLY</t>
        </is>
      </c>
      <c r="N491" s="19" t="inlineStr">
        <is>
          <t>E</t>
        </is>
      </c>
      <c r="O491" s="20" t="inlineStr">
        <is>
          <t>No linkage found in awarded contract file</t>
        </is>
      </c>
      <c r="P491" s="19" t="inlineStr"/>
      <c r="Q491" s="19" t="inlineStr"/>
      <c r="R491" s="31" t="inlineStr"/>
      <c r="S491" s="19" t="inlineStr"/>
      <c r="T491" s="19" t="inlineStr">
        <is>
          <t>No</t>
        </is>
      </c>
      <c r="U491" s="19" t="inlineStr">
        <is>
          <t>No</t>
        </is>
      </c>
      <c r="V491" s="19" t="inlineStr">
        <is>
          <t>No</t>
        </is>
      </c>
      <c r="W491" s="19" t="inlineStr">
        <is>
          <t>No</t>
        </is>
      </c>
    </row>
    <row r="492">
      <c r="A492" s="19" t="n">
        <v>711982</v>
      </c>
      <c r="B492" s="31" t="n">
        <v>46064</v>
      </c>
      <c r="C492" s="19" t="inlineStr">
        <is>
          <t>CHICAGO DEPARTMENT OF PUBLIC HEALTH</t>
        </is>
      </c>
      <c r="D492" s="19" t="inlineStr">
        <is>
          <t>Electronic Knowledge Interchange</t>
        </is>
      </c>
      <c r="E492" s="20" t="inlineStr">
        <is>
          <t>TIER 2 SUPPORT - QUANT 16 SERVICES</t>
        </is>
      </c>
      <c r="F492" s="21" t="n">
        <v>0</v>
      </c>
      <c r="G492" s="19" t="inlineStr">
        <is>
          <t>3. One Time Purchase</t>
        </is>
      </c>
      <c r="H492" s="19" t="inlineStr">
        <is>
          <t>H. One Time Purchase</t>
        </is>
      </c>
      <c r="I492" s="19" t="inlineStr"/>
      <c r="J492" s="19" t="inlineStr">
        <is>
          <t>No</t>
        </is>
      </c>
      <c r="K492" s="19" t="inlineStr">
        <is>
          <t>No</t>
        </is>
      </c>
      <c r="L492" s="19" t="inlineStr"/>
      <c r="M492" s="19" t="inlineStr">
        <is>
          <t>VDELECTRONIC KNOWLEDGE INTERCH</t>
        </is>
      </c>
      <c r="N492" s="19" t="inlineStr">
        <is>
          <t>E</t>
        </is>
      </c>
      <c r="O492" s="20" t="inlineStr">
        <is>
          <t>No linkage found in awarded contract file</t>
        </is>
      </c>
      <c r="P492" s="19" t="inlineStr"/>
      <c r="Q492" s="19" t="inlineStr"/>
      <c r="R492" s="31" t="inlineStr"/>
      <c r="S492" s="19" t="inlineStr"/>
      <c r="T492" s="19" t="inlineStr">
        <is>
          <t>No</t>
        </is>
      </c>
      <c r="U492" s="19" t="inlineStr">
        <is>
          <t>No</t>
        </is>
      </c>
      <c r="V492" s="19" t="inlineStr">
        <is>
          <t>No</t>
        </is>
      </c>
      <c r="W492" s="19" t="inlineStr">
        <is>
          <t>No</t>
        </is>
      </c>
    </row>
    <row r="493">
      <c r="A493" s="19" t="n">
        <v>707039</v>
      </c>
      <c r="B493" s="31" t="n">
        <v>46027</v>
      </c>
      <c r="C493" s="19" t="inlineStr">
        <is>
          <t>CHICAGO DEPARTMENT OF TRANSPORTATION</t>
        </is>
      </c>
      <c r="D493" s="19" t="inlineStr">
        <is>
          <t>CHRISTY WEBBER LANDSCAPES</t>
        </is>
      </c>
      <c r="E493" s="20" t="inlineStr">
        <is>
          <t>Landscaping Services Regions 2 and 6</t>
        </is>
      </c>
      <c r="F493" s="21" t="n">
        <v>29460.56</v>
      </c>
      <c r="G493" s="19" t="inlineStr">
        <is>
          <t>1. Pending New Contract - Original Contract Expired. New Contract in Process</t>
        </is>
      </c>
      <c r="H493" s="19" t="inlineStr">
        <is>
          <t>B. City Law Review</t>
        </is>
      </c>
      <c r="I493" s="19" t="inlineStr">
        <is>
          <t>APPROVED</t>
        </is>
      </c>
      <c r="J493" s="19" t="inlineStr">
        <is>
          <t>Yes</t>
        </is>
      </c>
      <c r="K493" s="19" t="inlineStr">
        <is>
          <t>No</t>
        </is>
      </c>
      <c r="L493" s="19" t="inlineStr">
        <is>
          <t>na</t>
        </is>
      </c>
      <c r="M493" s="19" t="inlineStr">
        <is>
          <t>RX652655</t>
        </is>
      </c>
      <c r="N493" s="19" t="inlineStr">
        <is>
          <t>E</t>
        </is>
      </c>
      <c r="O493" s="20" t="inlineStr">
        <is>
          <t>No linkage found in awarded contract file</t>
        </is>
      </c>
      <c r="P493" s="19" t="inlineStr"/>
      <c r="Q493" s="19" t="inlineStr"/>
      <c r="R493" s="31" t="inlineStr"/>
      <c r="S493" s="19" t="inlineStr"/>
      <c r="T493" s="19" t="inlineStr">
        <is>
          <t>No</t>
        </is>
      </c>
      <c r="U493" s="19" t="inlineStr">
        <is>
          <t>No</t>
        </is>
      </c>
      <c r="V493" s="19" t="inlineStr">
        <is>
          <t>No</t>
        </is>
      </c>
      <c r="W493" s="19" t="inlineStr">
        <is>
          <t>Yes</t>
        </is>
      </c>
    </row>
    <row r="494">
      <c r="A494" s="19" t="n">
        <v>707084</v>
      </c>
      <c r="B494" s="31" t="n">
        <v>46036</v>
      </c>
      <c r="C494" s="19" t="inlineStr">
        <is>
          <t>CHICAGO DEPARTMENT OF TRANSPORTATION</t>
        </is>
      </c>
      <c r="D494" s="19" t="inlineStr">
        <is>
          <t>AIR ONE EQUIPMENT INC</t>
        </is>
      </c>
      <c r="E494" s="20" t="inlineStr">
        <is>
          <t>Various Safety Equipment</t>
        </is>
      </c>
      <c r="F494" s="21" t="n">
        <v>35226.55</v>
      </c>
      <c r="G494" s="19" t="inlineStr">
        <is>
          <t>1. Pending New Contract - Original Contract Expired. New Contract in Process</t>
        </is>
      </c>
      <c r="H494" s="19" t="inlineStr">
        <is>
          <t>B. City Law Review</t>
        </is>
      </c>
      <c r="I494" s="19" t="inlineStr">
        <is>
          <t>DENIED</t>
        </is>
      </c>
      <c r="J494" s="19" t="inlineStr">
        <is>
          <t>Yes</t>
        </is>
      </c>
      <c r="K494" s="19" t="inlineStr">
        <is>
          <t>No</t>
        </is>
      </c>
      <c r="L494" s="19" t="inlineStr">
        <is>
          <t>na</t>
        </is>
      </c>
      <c r="M494" s="19" t="inlineStr">
        <is>
          <t>RX697238</t>
        </is>
      </c>
      <c r="N494" s="19" t="inlineStr">
        <is>
          <t>E</t>
        </is>
      </c>
      <c r="O494" s="20" t="inlineStr">
        <is>
          <t>No linkage found in awarded contract file</t>
        </is>
      </c>
      <c r="P494" s="19" t="inlineStr"/>
      <c r="Q494" s="19" t="inlineStr"/>
      <c r="R494" s="31" t="inlineStr"/>
      <c r="S494" s="19" t="inlineStr"/>
      <c r="T494" s="19" t="inlineStr">
        <is>
          <t>No</t>
        </is>
      </c>
      <c r="U494" s="19" t="inlineStr">
        <is>
          <t>No</t>
        </is>
      </c>
      <c r="V494" s="19" t="inlineStr">
        <is>
          <t>No</t>
        </is>
      </c>
      <c r="W494" s="19" t="inlineStr">
        <is>
          <t>Yes</t>
        </is>
      </c>
    </row>
    <row r="495">
      <c r="A495" s="19" t="n">
        <v>707041</v>
      </c>
      <c r="B495" s="31" t="n">
        <v>46031</v>
      </c>
      <c r="C495" s="19" t="inlineStr">
        <is>
          <t>CHICAGO DEPARTMENT OF TRANSPORTATION</t>
        </is>
      </c>
      <c r="D495" s="19" t="inlineStr">
        <is>
          <t>Yellowstone Landscape, Inc</t>
        </is>
      </c>
      <c r="E495" s="20" t="inlineStr">
        <is>
          <t>Landscape Services North &amp; South LSD</t>
        </is>
      </c>
      <c r="F495" s="21" t="n">
        <v>148091.2</v>
      </c>
      <c r="G495" s="19" t="inlineStr">
        <is>
          <t>1. Pending New Contract - Original Contract Expired. New Contract in Process</t>
        </is>
      </c>
      <c r="H495" s="19" t="inlineStr">
        <is>
          <t>B. City Law Review</t>
        </is>
      </c>
      <c r="I495" s="19" t="inlineStr">
        <is>
          <t>APPROVED</t>
        </is>
      </c>
      <c r="J495" s="19" t="inlineStr">
        <is>
          <t>Yes</t>
        </is>
      </c>
      <c r="K495" s="19" t="inlineStr">
        <is>
          <t>No</t>
        </is>
      </c>
      <c r="L495" s="19" t="inlineStr">
        <is>
          <t>na</t>
        </is>
      </c>
      <c r="M495" s="19" t="inlineStr">
        <is>
          <t>RX635010</t>
        </is>
      </c>
      <c r="N495" s="19" t="inlineStr">
        <is>
          <t>E</t>
        </is>
      </c>
      <c r="O495" s="20" t="inlineStr">
        <is>
          <t>No linkage found in awarded contract file</t>
        </is>
      </c>
      <c r="P495" s="19" t="inlineStr"/>
      <c r="Q495" s="19" t="inlineStr"/>
      <c r="R495" s="31" t="inlineStr"/>
      <c r="S495" s="19" t="inlineStr"/>
      <c r="T495" s="19" t="inlineStr">
        <is>
          <t>No</t>
        </is>
      </c>
      <c r="U495" s="19" t="inlineStr">
        <is>
          <t>No</t>
        </is>
      </c>
      <c r="V495" s="19" t="inlineStr">
        <is>
          <t>No</t>
        </is>
      </c>
      <c r="W495" s="19" t="inlineStr">
        <is>
          <t>Yes</t>
        </is>
      </c>
    </row>
    <row r="496">
      <c r="A496" s="19" t="n">
        <v>711568</v>
      </c>
      <c r="B496" s="31" t="n">
        <v>46052</v>
      </c>
      <c r="C496" s="19" t="inlineStr">
        <is>
          <t>CHICAGO POLICE DEPARTMENT</t>
        </is>
      </c>
      <c r="D496" s="19" t="inlineStr">
        <is>
          <t>Primo Brands</t>
        </is>
      </c>
      <c r="E496" s="20" t="inlineStr">
        <is>
          <t>Water Services</t>
        </is>
      </c>
      <c r="F496" s="21" t="n">
        <v>122.89</v>
      </c>
      <c r="G496" s="19" t="inlineStr">
        <is>
          <t>1. Pending New Contract - Original Contract Expired. New Contract in Process</t>
        </is>
      </c>
      <c r="H496" s="19" t="inlineStr">
        <is>
          <t>A. Specification Development Phase</t>
        </is>
      </c>
      <c r="I496" s="19" t="inlineStr">
        <is>
          <t>APPROVED</t>
        </is>
      </c>
      <c r="J496" s="19" t="inlineStr">
        <is>
          <t>Yes</t>
        </is>
      </c>
      <c r="K496" s="19" t="inlineStr">
        <is>
          <t>No</t>
        </is>
      </c>
      <c r="L496" s="19" t="inlineStr"/>
      <c r="M496" s="19" t="inlineStr">
        <is>
          <t>RX676831</t>
        </is>
      </c>
      <c r="N496" s="19" t="inlineStr">
        <is>
          <t>E</t>
        </is>
      </c>
      <c r="O496" s="20" t="inlineStr">
        <is>
          <t>No linkage found in awarded contract file</t>
        </is>
      </c>
      <c r="P496" s="19" t="inlineStr"/>
      <c r="Q496" s="19" t="inlineStr"/>
      <c r="R496" s="31" t="inlineStr"/>
      <c r="S496" s="19" t="inlineStr"/>
      <c r="T496" s="19" t="inlineStr">
        <is>
          <t>No</t>
        </is>
      </c>
      <c r="U496" s="19" t="inlineStr">
        <is>
          <t>No</t>
        </is>
      </c>
      <c r="V496" s="19" t="inlineStr">
        <is>
          <t>No</t>
        </is>
      </c>
      <c r="W496" s="19" t="inlineStr">
        <is>
          <t>Yes</t>
        </is>
      </c>
    </row>
    <row r="497">
      <c r="A497" s="19" t="n">
        <v>712156</v>
      </c>
      <c r="B497" s="31" t="n">
        <v>46058</v>
      </c>
      <c r="C497" s="19" t="inlineStr">
        <is>
          <t>CHICAGO DEPARTMENT OF AVIATION</t>
        </is>
      </c>
      <c r="D497" s="19" t="inlineStr">
        <is>
          <t>BLUETRITON BRANDS INC</t>
        </is>
      </c>
      <c r="E497" s="20" t="inlineStr">
        <is>
          <t>WATER INVOICES FOR January SERVICE 12/13/25-1/12/26. Four invoices are attached.</t>
        </is>
      </c>
      <c r="F497" s="21" t="n">
        <v>3064.83</v>
      </c>
      <c r="G497" s="19" t="inlineStr">
        <is>
          <t>1. Pending New Contract - Original Contract Expired. New Contract in Process</t>
        </is>
      </c>
      <c r="H497" s="19" t="inlineStr">
        <is>
          <t>A. Specification Development Phase</t>
        </is>
      </c>
      <c r="I497" s="19" t="inlineStr">
        <is>
          <t>APPROVED</t>
        </is>
      </c>
      <c r="J497" s="19" t="inlineStr">
        <is>
          <t>No</t>
        </is>
      </c>
      <c r="K497" s="19" t="inlineStr">
        <is>
          <t>No</t>
        </is>
      </c>
      <c r="L497" s="19" t="inlineStr"/>
      <c r="M497" s="19" t="inlineStr">
        <is>
          <t>VDBLUETRITON BRANDS</t>
        </is>
      </c>
      <c r="N497" s="19" t="inlineStr">
        <is>
          <t>E</t>
        </is>
      </c>
      <c r="O497" s="20" t="inlineStr">
        <is>
          <t>No linkage found in awarded contract file</t>
        </is>
      </c>
      <c r="P497" s="19" t="inlineStr"/>
      <c r="Q497" s="19" t="inlineStr"/>
      <c r="R497" s="31" t="inlineStr"/>
      <c r="S497" s="19" t="inlineStr"/>
      <c r="T497" s="19" t="inlineStr">
        <is>
          <t>No</t>
        </is>
      </c>
      <c r="U497" s="19" t="inlineStr">
        <is>
          <t>No</t>
        </is>
      </c>
      <c r="V497" s="19" t="inlineStr">
        <is>
          <t>No</t>
        </is>
      </c>
      <c r="W497" s="19" t="inlineStr">
        <is>
          <t>No</t>
        </is>
      </c>
    </row>
    <row r="498">
      <c r="A498" s="19" t="n">
        <v>713163</v>
      </c>
      <c r="B498" s="31" t="n">
        <v>46063</v>
      </c>
      <c r="C498" s="19" t="inlineStr">
        <is>
          <t>CHICAGO DEPARTMENT OF AVIATION</t>
        </is>
      </c>
      <c r="D498" s="19" t="inlineStr">
        <is>
          <t>SCHINDLER ELEVATOR CORP</t>
        </is>
      </c>
      <c r="E498" s="20" t="inlineStr">
        <is>
          <t>Transfered from APRF No. 507355.  Requesting a Direct Voucher - Exhibit B for O'Hare due to expired contract. Elevators,1-MOD/Final 2/3/26 kf</t>
        </is>
      </c>
      <c r="F498" s="21" t="n">
        <v>809523.3</v>
      </c>
      <c r="G498" s="19" t="inlineStr">
        <is>
          <t>1. Pending New Contract - Original Contract Expired. New Contract in Process</t>
        </is>
      </c>
      <c r="H498" s="19" t="inlineStr">
        <is>
          <t>D. Solicitation Response Under Evaluation</t>
        </is>
      </c>
      <c r="I498" s="19" t="inlineStr">
        <is>
          <t>APPROVED</t>
        </is>
      </c>
      <c r="J498" s="19" t="inlineStr">
        <is>
          <t>No</t>
        </is>
      </c>
      <c r="K498" s="19" t="inlineStr">
        <is>
          <t>No</t>
        </is>
      </c>
      <c r="L498" s="19" t="inlineStr"/>
      <c r="M498" s="19" t="inlineStr">
        <is>
          <t>RX604388</t>
        </is>
      </c>
      <c r="N498" s="19" t="inlineStr">
        <is>
          <t>E</t>
        </is>
      </c>
      <c r="O498" s="20" t="inlineStr">
        <is>
          <t>No linkage found in awarded contract file</t>
        </is>
      </c>
      <c r="P498" s="19" t="inlineStr"/>
      <c r="Q498" s="19" t="inlineStr"/>
      <c r="R498" s="31" t="inlineStr"/>
      <c r="S498" s="19" t="inlineStr"/>
      <c r="T498" s="19" t="inlineStr">
        <is>
          <t>No</t>
        </is>
      </c>
      <c r="U498" s="19" t="inlineStr">
        <is>
          <t>No</t>
        </is>
      </c>
      <c r="V498" s="19" t="inlineStr">
        <is>
          <t>No</t>
        </is>
      </c>
      <c r="W498" s="19" t="inlineStr">
        <is>
          <t>No</t>
        </is>
      </c>
    </row>
    <row r="499">
      <c r="A499" s="19" t="n">
        <v>718924</v>
      </c>
      <c r="B499" s="31" t="n">
        <v>46097</v>
      </c>
      <c r="C499" s="19" t="inlineStr">
        <is>
          <t>CHICAGO DEPARTMENT OF AVIATION</t>
        </is>
      </c>
      <c r="D499" s="19" t="inlineStr">
        <is>
          <t>BLUETRITON BRANDS INC</t>
        </is>
      </c>
      <c r="E499" s="20" t="inlineStr">
        <is>
          <t>WATER INVOICE FOR 1/13/26 - 2/14/26</t>
        </is>
      </c>
      <c r="F499" s="21" t="n">
        <v>2265.39</v>
      </c>
      <c r="G499" s="19" t="inlineStr">
        <is>
          <t>1. Pending New Contract - Original Contract Expired. New Contract in Process</t>
        </is>
      </c>
      <c r="H499" s="19" t="inlineStr">
        <is>
          <t>A. Specification Development Phase</t>
        </is>
      </c>
      <c r="I499" s="19" t="inlineStr">
        <is>
          <t>APPROVED</t>
        </is>
      </c>
      <c r="J499" s="19" t="inlineStr">
        <is>
          <t>No</t>
        </is>
      </c>
      <c r="K499" s="19" t="inlineStr">
        <is>
          <t>No</t>
        </is>
      </c>
      <c r="L499" s="19" t="inlineStr"/>
      <c r="M499" s="19" t="inlineStr">
        <is>
          <t>VDBLUETRITON BRANDS</t>
        </is>
      </c>
      <c r="N499" s="19" t="inlineStr">
        <is>
          <t>E</t>
        </is>
      </c>
      <c r="O499" s="20" t="inlineStr">
        <is>
          <t>No linkage found in awarded contract file</t>
        </is>
      </c>
      <c r="P499" s="19" t="inlineStr"/>
      <c r="Q499" s="19" t="inlineStr"/>
      <c r="R499" s="31" t="inlineStr"/>
      <c r="S499" s="19" t="inlineStr"/>
      <c r="T499" s="19" t="inlineStr">
        <is>
          <t>No</t>
        </is>
      </c>
      <c r="U499" s="19" t="inlineStr">
        <is>
          <t>No</t>
        </is>
      </c>
      <c r="V499" s="19" t="inlineStr">
        <is>
          <t>No</t>
        </is>
      </c>
      <c r="W499" s="19" t="inlineStr">
        <is>
          <t>No</t>
        </is>
      </c>
    </row>
    <row r="500">
      <c r="A500" s="19" t="n">
        <v>730356</v>
      </c>
      <c r="B500" s="31" t="n">
        <v>46157</v>
      </c>
      <c r="C500" s="19" t="inlineStr">
        <is>
          <t>CHICAGO DEPARTMENT OF TRANSPORTATION</t>
        </is>
      </c>
      <c r="D500" s="19" t="inlineStr">
        <is>
          <t>ALDRIDGE ELECTRIC INC</t>
        </is>
      </c>
      <c r="E500" s="20" t="inlineStr">
        <is>
          <t>PO 96175 Aldridge Electric Exhibit B $3,900,000.00</t>
        </is>
      </c>
      <c r="F500" s="21" t="n">
        <v>3900000</v>
      </c>
      <c r="G500" s="19" t="inlineStr">
        <is>
          <t>4. Invoice Reconciliation - Invoice Received after Contract Expiration</t>
        </is>
      </c>
      <c r="H500" s="19" t="inlineStr">
        <is>
          <t>E. ROA - (Recommendation of Award)</t>
        </is>
      </c>
      <c r="I500" s="19" t="inlineStr">
        <is>
          <t>APPROVED</t>
        </is>
      </c>
      <c r="J500" s="19" t="inlineStr">
        <is>
          <t>Yes</t>
        </is>
      </c>
      <c r="K500" s="19" t="inlineStr">
        <is>
          <t>Yes</t>
        </is>
      </c>
      <c r="L500" s="19" t="inlineStr">
        <is>
          <t>Yes</t>
        </is>
      </c>
      <c r="M500" s="19" t="inlineStr">
        <is>
          <t>VDALDRIDGE ELECTRIC</t>
        </is>
      </c>
      <c r="N500" s="19" t="inlineStr">
        <is>
          <t>E</t>
        </is>
      </c>
      <c r="O500" s="20" t="inlineStr">
        <is>
          <t>No linkage found in awarded contract file</t>
        </is>
      </c>
      <c r="P500" s="19" t="inlineStr"/>
      <c r="Q500" s="19" t="inlineStr"/>
      <c r="R500" s="31" t="inlineStr"/>
      <c r="S500" s="19" t="inlineStr"/>
      <c r="T500" s="19" t="inlineStr">
        <is>
          <t>No</t>
        </is>
      </c>
      <c r="U500" s="19" t="inlineStr">
        <is>
          <t>No</t>
        </is>
      </c>
      <c r="V500" s="19" t="inlineStr">
        <is>
          <t>No</t>
        </is>
      </c>
      <c r="W500" s="19" t="inlineStr">
        <is>
          <t>No</t>
        </is>
      </c>
    </row>
    <row r="501">
      <c r="A501" s="19" t="n">
        <v>744818</v>
      </c>
      <c r="B501" s="31" t="n">
        <v>46241</v>
      </c>
      <c r="C501" s="19" t="inlineStr">
        <is>
          <t>CHICAGO DEPARTMENT OF TRANSPORTATION</t>
        </is>
      </c>
      <c r="D501" s="19" t="inlineStr">
        <is>
          <t>CSI 3000 Construction JV LLC</t>
        </is>
      </c>
      <c r="E501" s="20" t="inlineStr">
        <is>
          <t>PO 180678 REL 295456 CSI 3000JV Exhibit B Invoice Reconciliation</t>
        </is>
      </c>
      <c r="F501" s="21" t="n">
        <v>156098.14</v>
      </c>
      <c r="G501" s="19" t="inlineStr">
        <is>
          <t>4. Invoice Reconciliation - Invoice Received after Contract Expiration</t>
        </is>
      </c>
      <c r="H501" s="19" t="inlineStr">
        <is>
          <t>E. ROA - (Recommendation of Award)</t>
        </is>
      </c>
      <c r="I501" s="19" t="inlineStr">
        <is>
          <t>APPROVED</t>
        </is>
      </c>
      <c r="J501" s="19" t="inlineStr">
        <is>
          <t>Yes</t>
        </is>
      </c>
      <c r="K501" s="19" t="inlineStr">
        <is>
          <t>Yes</t>
        </is>
      </c>
      <c r="L501" s="19" t="n">
        <v>309536</v>
      </c>
      <c r="M501" s="19" t="inlineStr">
        <is>
          <t>VDCSI 3000 CONSTRUCTION JV</t>
        </is>
      </c>
      <c r="N501" s="19" t="inlineStr">
        <is>
          <t>E</t>
        </is>
      </c>
      <c r="O501" s="20" t="inlineStr">
        <is>
          <t>No linkage found in awarded contract file</t>
        </is>
      </c>
      <c r="P501" s="19" t="inlineStr"/>
      <c r="Q501" s="19" t="inlineStr"/>
      <c r="R501" s="31" t="inlineStr"/>
      <c r="S501" s="19" t="inlineStr"/>
      <c r="T501" s="19" t="inlineStr">
        <is>
          <t>No</t>
        </is>
      </c>
      <c r="U501" s="19" t="inlineStr">
        <is>
          <t>No</t>
        </is>
      </c>
      <c r="V501" s="19" t="inlineStr">
        <is>
          <t>No</t>
        </is>
      </c>
      <c r="W501" s="19" t="inlineStr">
        <is>
          <t>No</t>
        </is>
      </c>
    </row>
    <row r="502">
      <c r="A502" s="19" t="n">
        <v>734209</v>
      </c>
      <c r="B502" s="31" t="n">
        <v>46181</v>
      </c>
      <c r="C502" s="19" t="inlineStr">
        <is>
          <t>OFFICE OF CITY CLERK</t>
        </is>
      </c>
      <c r="D502" s="19" t="inlineStr">
        <is>
          <t>TAYLOR COMMUNICATIONS INC</t>
        </is>
      </c>
      <c r="E502" s="20" t="inlineStr">
        <is>
          <t>Taylor - City Stickers</t>
        </is>
      </c>
      <c r="F502" s="21" t="n">
        <v>3521.4</v>
      </c>
      <c r="G502" s="19" t="inlineStr">
        <is>
          <t>1. Pending New Contract - Original Contract Expired. New Contract in Process</t>
        </is>
      </c>
      <c r="H502" s="19" t="inlineStr">
        <is>
          <t>B. City Law Review</t>
        </is>
      </c>
      <c r="I502" s="19" t="inlineStr">
        <is>
          <t>APPROVED</t>
        </is>
      </c>
      <c r="J502" s="19" t="inlineStr">
        <is>
          <t>Yes</t>
        </is>
      </c>
      <c r="K502" s="19" t="inlineStr">
        <is>
          <t>No</t>
        </is>
      </c>
      <c r="L502" s="19" t="inlineStr"/>
      <c r="M502" s="19" t="inlineStr">
        <is>
          <t>RX712876</t>
        </is>
      </c>
      <c r="N502" s="19" t="inlineStr">
        <is>
          <t>E</t>
        </is>
      </c>
      <c r="O502" s="20" t="inlineStr">
        <is>
          <t>No linkage found in awarded contract file</t>
        </is>
      </c>
      <c r="P502" s="19" t="inlineStr"/>
      <c r="Q502" s="19" t="inlineStr"/>
      <c r="R502" s="31" t="inlineStr"/>
      <c r="S502" s="19" t="inlineStr"/>
      <c r="T502" s="19" t="inlineStr">
        <is>
          <t>No</t>
        </is>
      </c>
      <c r="U502" s="19" t="inlineStr">
        <is>
          <t>No</t>
        </is>
      </c>
      <c r="V502" s="19" t="inlineStr">
        <is>
          <t>No</t>
        </is>
      </c>
      <c r="W502" s="19" t="inlineStr">
        <is>
          <t>Yes</t>
        </is>
      </c>
    </row>
    <row r="503">
      <c r="A503" s="19" t="n">
        <v>738637</v>
      </c>
      <c r="B503" s="31" t="n">
        <v>46203</v>
      </c>
      <c r="C503" s="19" t="inlineStr">
        <is>
          <t>OFFICE OF CITY CLERK</t>
        </is>
      </c>
      <c r="D503" s="19" t="inlineStr">
        <is>
          <t>Microsystems, Inc.</t>
        </is>
      </c>
      <c r="E503" s="20" t="inlineStr">
        <is>
          <t>de-binding services for City Council archival preservation project.</t>
        </is>
      </c>
      <c r="F503" s="21" t="n">
        <v>825</v>
      </c>
      <c r="G503" s="19" t="inlineStr">
        <is>
          <t>3. One Time Purchase</t>
        </is>
      </c>
      <c r="H503" s="19" t="inlineStr">
        <is>
          <t>H. One Time Purchase</t>
        </is>
      </c>
      <c r="I503" s="19" t="inlineStr">
        <is>
          <t>APPROVED</t>
        </is>
      </c>
      <c r="J503" s="19" t="inlineStr">
        <is>
          <t>No</t>
        </is>
      </c>
      <c r="K503" s="19" t="inlineStr">
        <is>
          <t>No</t>
        </is>
      </c>
      <c r="L503" s="19" t="inlineStr"/>
      <c r="M503" s="19" t="inlineStr">
        <is>
          <t>VDMICROSYSTEMS</t>
        </is>
      </c>
      <c r="N503" s="19" t="inlineStr">
        <is>
          <t>E</t>
        </is>
      </c>
      <c r="O503" s="20" t="inlineStr">
        <is>
          <t>No linkage found in awarded contract file</t>
        </is>
      </c>
      <c r="P503" s="19" t="inlineStr"/>
      <c r="Q503" s="19" t="inlineStr"/>
      <c r="R503" s="31" t="inlineStr"/>
      <c r="S503" s="19" t="inlineStr"/>
      <c r="T503" s="19" t="inlineStr">
        <is>
          <t>No</t>
        </is>
      </c>
      <c r="U503" s="19" t="inlineStr">
        <is>
          <t>No</t>
        </is>
      </c>
      <c r="V503" s="19" t="inlineStr">
        <is>
          <t>No</t>
        </is>
      </c>
      <c r="W503" s="19" t="inlineStr">
        <is>
          <t>No</t>
        </is>
      </c>
    </row>
    <row r="504">
      <c r="A504" s="19" t="n">
        <v>714936</v>
      </c>
      <c r="B504" s="31" t="n">
        <v>46072</v>
      </c>
      <c r="C504" s="19" t="inlineStr">
        <is>
          <t>DEPARTMENT OF STREETS AND SANITATION</t>
        </is>
      </c>
      <c r="D504" s="19" t="inlineStr">
        <is>
          <t>BLUETRITON BRANDS INC</t>
        </is>
      </c>
      <c r="E504" s="20" t="inlineStr">
        <is>
          <t>WATER - DRINKING</t>
        </is>
      </c>
      <c r="F504" s="21" t="n">
        <v>535.11</v>
      </c>
      <c r="G504" s="19" t="inlineStr">
        <is>
          <t>1. Pending New Contract - Original Contract Expired. New Contract in Process</t>
        </is>
      </c>
      <c r="H504" s="19" t="inlineStr">
        <is>
          <t>A. Specification Development Phase</t>
        </is>
      </c>
      <c r="I504" s="19" t="inlineStr">
        <is>
          <t>APPROVED</t>
        </is>
      </c>
      <c r="J504" s="19" t="inlineStr">
        <is>
          <t>Yes</t>
        </is>
      </c>
      <c r="K504" s="19" t="inlineStr">
        <is>
          <t>No</t>
        </is>
      </c>
      <c r="L504" s="19" t="inlineStr"/>
      <c r="M504" s="19" t="inlineStr">
        <is>
          <t>RX511569</t>
        </is>
      </c>
      <c r="N504" s="19" t="inlineStr">
        <is>
          <t>E</t>
        </is>
      </c>
      <c r="O504" s="20" t="inlineStr">
        <is>
          <t>No linkage found in awarded contract file</t>
        </is>
      </c>
      <c r="P504" s="19" t="inlineStr"/>
      <c r="Q504" s="19" t="inlineStr"/>
      <c r="R504" s="31" t="inlineStr"/>
      <c r="S504" s="19" t="inlineStr"/>
      <c r="T504" s="19" t="inlineStr">
        <is>
          <t>No</t>
        </is>
      </c>
      <c r="U504" s="19" t="inlineStr">
        <is>
          <t>No</t>
        </is>
      </c>
      <c r="V504" s="19" t="inlineStr">
        <is>
          <t>No</t>
        </is>
      </c>
      <c r="W504" s="19" t="inlineStr">
        <is>
          <t>Yes</t>
        </is>
      </c>
    </row>
    <row r="505">
      <c r="A505" s="19" t="n">
        <v>711660</v>
      </c>
      <c r="B505" s="31" t="n">
        <v>46052</v>
      </c>
      <c r="C505" s="19" t="inlineStr">
        <is>
          <t>DEPARTMENT OF FLEET AND FACILITY MANAGEMENT</t>
        </is>
      </c>
      <c r="D505" s="19" t="inlineStr">
        <is>
          <t>JOHNSON CONTROLS FIRE PROTECTION LP</t>
        </is>
      </c>
      <c r="E505" s="20" t="inlineStr">
        <is>
          <t>TB/JG/INV #COCL122025 / $580.98</t>
        </is>
      </c>
      <c r="F505" s="21" t="n">
        <v>580.98</v>
      </c>
      <c r="G505" s="19" t="inlineStr">
        <is>
          <t>1. Pending New Contract - Original Contract Expired. New Contract in Process</t>
        </is>
      </c>
      <c r="H505" s="19" t="inlineStr">
        <is>
          <t>B. City Law Review</t>
        </is>
      </c>
      <c r="I505" s="19" t="inlineStr">
        <is>
          <t>APPROVED</t>
        </is>
      </c>
      <c r="J505" s="19" t="inlineStr">
        <is>
          <t>No</t>
        </is>
      </c>
      <c r="K505" s="19" t="inlineStr">
        <is>
          <t>Yes</t>
        </is>
      </c>
      <c r="L505" s="19" t="inlineStr">
        <is>
          <t>PO#130155</t>
        </is>
      </c>
      <c r="M505" s="19" t="inlineStr">
        <is>
          <t>RX612805</t>
        </is>
      </c>
      <c r="N505" s="19" t="inlineStr">
        <is>
          <t>E</t>
        </is>
      </c>
      <c r="O505" s="20" t="inlineStr">
        <is>
          <t>No linkage found in awarded contract file</t>
        </is>
      </c>
      <c r="P505" s="19" t="inlineStr"/>
      <c r="Q505" s="19" t="inlineStr"/>
      <c r="R505" s="31" t="inlineStr"/>
      <c r="S505" s="19" t="inlineStr"/>
      <c r="T505" s="19" t="inlineStr">
        <is>
          <t>No</t>
        </is>
      </c>
      <c r="U505" s="19" t="inlineStr">
        <is>
          <t>No</t>
        </is>
      </c>
      <c r="V505" s="19" t="inlineStr">
        <is>
          <t>No</t>
        </is>
      </c>
      <c r="W505" s="19" t="inlineStr">
        <is>
          <t>No</t>
        </is>
      </c>
    </row>
    <row r="506">
      <c r="A506" s="19" t="n">
        <v>727818</v>
      </c>
      <c r="B506" s="31" t="n">
        <v>46141</v>
      </c>
      <c r="C506" s="19" t="inlineStr">
        <is>
          <t>DEPARTMENT OF FLEET AND FACILITY MANAGEMENT</t>
        </is>
      </c>
      <c r="D506" s="19" t="inlineStr">
        <is>
          <t>C &amp; C COMMUNICATIONS IL</t>
        </is>
      </c>
      <c r="E506" s="20" t="inlineStr">
        <is>
          <t>TB/CC/INVOICE #3370/$3391.44</t>
        </is>
      </c>
      <c r="F506" s="21" t="n">
        <v>3391.44</v>
      </c>
      <c r="G506" s="19" t="inlineStr">
        <is>
          <t>2. Pending Amendment/Modification - Line Item Addition / Vendor Limit Increase / Scope Change</t>
        </is>
      </c>
      <c r="H506" s="19" t="inlineStr">
        <is>
          <t>A. Specification Development Phase</t>
        </is>
      </c>
      <c r="I506" s="19" t="inlineStr">
        <is>
          <t>APPROVED</t>
        </is>
      </c>
      <c r="J506" s="19" t="inlineStr">
        <is>
          <t>No</t>
        </is>
      </c>
      <c r="K506" s="19" t="inlineStr">
        <is>
          <t>No</t>
        </is>
      </c>
      <c r="L506" s="19" t="inlineStr"/>
      <c r="M506" s="19" t="inlineStr">
        <is>
          <t>RX710994</t>
        </is>
      </c>
      <c r="N506" s="19" t="inlineStr">
        <is>
          <t>E</t>
        </is>
      </c>
      <c r="O506" s="20" t="inlineStr">
        <is>
          <t>No linkage found in awarded contract file</t>
        </is>
      </c>
      <c r="P506" s="19" t="inlineStr"/>
      <c r="Q506" s="19" t="inlineStr"/>
      <c r="R506" s="31" t="inlineStr"/>
      <c r="S506" s="19" t="inlineStr"/>
      <c r="T506" s="19" t="inlineStr">
        <is>
          <t>No</t>
        </is>
      </c>
      <c r="U506" s="19" t="inlineStr">
        <is>
          <t>No</t>
        </is>
      </c>
      <c r="V506" s="19" t="inlineStr">
        <is>
          <t>No</t>
        </is>
      </c>
      <c r="W506" s="19" t="inlineStr">
        <is>
          <t>No</t>
        </is>
      </c>
    </row>
    <row r="507">
      <c r="A507" s="19" t="n">
        <v>711611</v>
      </c>
      <c r="B507" s="31" t="n">
        <v>46052</v>
      </c>
      <c r="C507" s="19" t="inlineStr">
        <is>
          <t>DEPARTMENT OF FLEET AND FACILITY MANAGEMENT</t>
        </is>
      </c>
      <c r="D507" s="19" t="inlineStr">
        <is>
          <t>AGAE CONTRACTORS, INC.</t>
        </is>
      </c>
      <c r="E507" s="20" t="inlineStr">
        <is>
          <t>TB/AO/INV #S3330-1 / $747.45</t>
        </is>
      </c>
      <c r="F507" s="21" t="n">
        <v>747.45</v>
      </c>
      <c r="G507" s="19" t="inlineStr">
        <is>
          <t>1. Pending New Contract - Original Contract Expired. New Contract in Process</t>
        </is>
      </c>
      <c r="H507" s="19" t="inlineStr">
        <is>
          <t>A. Specification Development Phase</t>
        </is>
      </c>
      <c r="I507" s="19" t="inlineStr">
        <is>
          <t>APPROVED</t>
        </is>
      </c>
      <c r="J507" s="19" t="inlineStr">
        <is>
          <t>Yes</t>
        </is>
      </c>
      <c r="K507" s="19" t="inlineStr">
        <is>
          <t>No</t>
        </is>
      </c>
      <c r="L507" s="19" t="inlineStr"/>
      <c r="M507" s="19" t="inlineStr">
        <is>
          <t>RX607736</t>
        </is>
      </c>
      <c r="N507" s="19" t="inlineStr">
        <is>
          <t>E</t>
        </is>
      </c>
      <c r="O507" s="20" t="inlineStr">
        <is>
          <t>No linkage found in awarded contract file</t>
        </is>
      </c>
      <c r="P507" s="19" t="inlineStr"/>
      <c r="Q507" s="19" t="inlineStr"/>
      <c r="R507" s="31" t="inlineStr"/>
      <c r="S507" s="19" t="inlineStr"/>
      <c r="T507" s="19" t="inlineStr">
        <is>
          <t>No</t>
        </is>
      </c>
      <c r="U507" s="19" t="inlineStr">
        <is>
          <t>No</t>
        </is>
      </c>
      <c r="V507" s="19" t="inlineStr">
        <is>
          <t>No</t>
        </is>
      </c>
      <c r="W507" s="19" t="inlineStr">
        <is>
          <t>Yes</t>
        </is>
      </c>
    </row>
    <row r="508">
      <c r="A508" s="19" t="n">
        <v>721910</v>
      </c>
      <c r="B508" s="31" t="n">
        <v>46107</v>
      </c>
      <c r="C508" s="19" t="inlineStr">
        <is>
          <t>DEPARTMENT OF FLEET AND FACILITY MANAGEMENT</t>
        </is>
      </c>
      <c r="D508" s="19" t="inlineStr">
        <is>
          <t>AGAE CONTRACTORS, INC.</t>
        </is>
      </c>
      <c r="E508" s="20" t="inlineStr">
        <is>
          <t>TB/AO/INV #S3389-1/$177.75</t>
        </is>
      </c>
      <c r="F508" s="21" t="n">
        <v>177.75</v>
      </c>
      <c r="G508" s="19" t="inlineStr">
        <is>
          <t>1. Pending New Contract - Original Contract Expired. New Contract in Process</t>
        </is>
      </c>
      <c r="H508" s="19" t="inlineStr">
        <is>
          <t>C. Solicitation or Bidding Phase</t>
        </is>
      </c>
      <c r="I508" s="19" t="inlineStr">
        <is>
          <t>APPROVED</t>
        </is>
      </c>
      <c r="J508" s="19" t="inlineStr">
        <is>
          <t>Yes</t>
        </is>
      </c>
      <c r="K508" s="19" t="inlineStr">
        <is>
          <t>No</t>
        </is>
      </c>
      <c r="L508" s="19" t="inlineStr"/>
      <c r="M508" s="19" t="inlineStr">
        <is>
          <t>RX607736</t>
        </is>
      </c>
      <c r="N508" s="19" t="inlineStr">
        <is>
          <t>E</t>
        </is>
      </c>
      <c r="O508" s="20" t="inlineStr">
        <is>
          <t>No linkage found in awarded contract file</t>
        </is>
      </c>
      <c r="P508" s="19" t="inlineStr"/>
      <c r="Q508" s="19" t="inlineStr"/>
      <c r="R508" s="31" t="inlineStr"/>
      <c r="S508" s="19" t="inlineStr"/>
      <c r="T508" s="19" t="inlineStr">
        <is>
          <t>No</t>
        </is>
      </c>
      <c r="U508" s="19" t="inlineStr">
        <is>
          <t>No</t>
        </is>
      </c>
      <c r="V508" s="19" t="inlineStr">
        <is>
          <t>No</t>
        </is>
      </c>
      <c r="W508" s="19" t="inlineStr">
        <is>
          <t>Yes</t>
        </is>
      </c>
    </row>
    <row r="509">
      <c r="A509" s="19" t="n">
        <v>720711</v>
      </c>
      <c r="B509" s="31" t="n">
        <v>46106</v>
      </c>
      <c r="C509" s="19" t="inlineStr">
        <is>
          <t>DEPARTMENT OF FLEET AND FACILITY MANAGEMENT</t>
        </is>
      </c>
      <c r="D509" s="19" t="inlineStr">
        <is>
          <t>ZIPCAR  INC</t>
        </is>
      </c>
      <c r="E509" s="20" t="inlineStr">
        <is>
          <t>TB/WW/11 INVOICES/$2268.78</t>
        </is>
      </c>
      <c r="F509" s="21" t="n">
        <v>2268.78</v>
      </c>
      <c r="G509" s="19" t="inlineStr">
        <is>
          <t>1. Pending New Contract - Original Contract Expired. New Contract in Process</t>
        </is>
      </c>
      <c r="H509" s="19" t="inlineStr">
        <is>
          <t>B. City Law Review</t>
        </is>
      </c>
      <c r="I509" s="19" t="inlineStr">
        <is>
          <t>APPROVED</t>
        </is>
      </c>
      <c r="J509" s="19" t="inlineStr">
        <is>
          <t>No</t>
        </is>
      </c>
      <c r="K509" s="19" t="inlineStr">
        <is>
          <t>No</t>
        </is>
      </c>
      <c r="L509" s="19" t="inlineStr"/>
      <c r="M509" s="19" t="inlineStr">
        <is>
          <t>RX529316</t>
        </is>
      </c>
      <c r="N509" s="19" t="inlineStr">
        <is>
          <t>E</t>
        </is>
      </c>
      <c r="O509" s="20" t="inlineStr">
        <is>
          <t>No linkage found in awarded contract file</t>
        </is>
      </c>
      <c r="P509" s="19" t="inlineStr"/>
      <c r="Q509" s="19" t="inlineStr"/>
      <c r="R509" s="31" t="inlineStr"/>
      <c r="S509" s="19" t="inlineStr"/>
      <c r="T509" s="19" t="inlineStr">
        <is>
          <t>No</t>
        </is>
      </c>
      <c r="U509" s="19" t="inlineStr">
        <is>
          <t>No</t>
        </is>
      </c>
      <c r="V509" s="19" t="inlineStr">
        <is>
          <t>No</t>
        </is>
      </c>
      <c r="W509" s="19" t="inlineStr">
        <is>
          <t>No</t>
        </is>
      </c>
    </row>
    <row r="510">
      <c r="A510" s="19" t="n">
        <v>717867</v>
      </c>
      <c r="B510" s="31" t="n">
        <v>46087</v>
      </c>
      <c r="C510" s="19" t="inlineStr">
        <is>
          <t>DEPARTMENT OF FLEET AND FACILITY MANAGEMENT</t>
        </is>
      </c>
      <c r="D510" s="19" t="inlineStr">
        <is>
          <t>INDUSTRIAL FENCE INC.</t>
        </is>
      </c>
      <c r="E510" s="20" t="inlineStr">
        <is>
          <t>TB/AH/INV#26400/$3460.02</t>
        </is>
      </c>
      <c r="F510" s="21" t="n">
        <v>3460.02</v>
      </c>
      <c r="G510" s="19" t="inlineStr">
        <is>
          <t>1. Pending New Contract - Original Contract Expired. New Contract in Process</t>
        </is>
      </c>
      <c r="H510" s="19" t="inlineStr">
        <is>
          <t>A. Specification Development Phase</t>
        </is>
      </c>
      <c r="I510" s="19" t="inlineStr">
        <is>
          <t>APPROVED</t>
        </is>
      </c>
      <c r="J510" s="19" t="inlineStr">
        <is>
          <t>No</t>
        </is>
      </c>
      <c r="K510" s="19" t="inlineStr">
        <is>
          <t>No</t>
        </is>
      </c>
      <c r="L510" s="19" t="inlineStr">
        <is>
          <t>TBD</t>
        </is>
      </c>
      <c r="M510" s="19" t="inlineStr">
        <is>
          <t>VDINDUSTRIAL FENCE</t>
        </is>
      </c>
      <c r="N510" s="19" t="inlineStr">
        <is>
          <t>E</t>
        </is>
      </c>
      <c r="O510" s="20" t="inlineStr">
        <is>
          <t>No linkage found in awarded contract file</t>
        </is>
      </c>
      <c r="P510" s="19" t="inlineStr"/>
      <c r="Q510" s="19" t="inlineStr"/>
      <c r="R510" s="31" t="inlineStr"/>
      <c r="S510" s="19" t="inlineStr"/>
      <c r="T510" s="19" t="inlineStr">
        <is>
          <t>No</t>
        </is>
      </c>
      <c r="U510" s="19" t="inlineStr">
        <is>
          <t>No</t>
        </is>
      </c>
      <c r="V510" s="19" t="inlineStr">
        <is>
          <t>No</t>
        </is>
      </c>
      <c r="W510" s="19" t="inlineStr">
        <is>
          <t>No</t>
        </is>
      </c>
    </row>
    <row r="511">
      <c r="A511" s="19" t="n">
        <v>707541</v>
      </c>
      <c r="B511" s="31" t="n">
        <v>46031</v>
      </c>
      <c r="C511" s="19" t="inlineStr">
        <is>
          <t>DEPARTMENT OF FLEET AND FACILITY MANAGEMENT</t>
        </is>
      </c>
      <c r="D511" s="19" t="inlineStr">
        <is>
          <t>INDUSTRIAL FENCE INC.</t>
        </is>
      </c>
      <c r="E511" s="20" t="inlineStr">
        <is>
          <t>TB/AH/INV #25456/$4111.71</t>
        </is>
      </c>
      <c r="F511" s="21" t="n">
        <v>4111.71</v>
      </c>
      <c r="G511" s="19" t="inlineStr">
        <is>
          <t>1. Pending New Contract - Original Contract Expired. New Contract in Process</t>
        </is>
      </c>
      <c r="H511" s="19" t="inlineStr">
        <is>
          <t>A. Specification Development Phase</t>
        </is>
      </c>
      <c r="I511" s="19" t="inlineStr">
        <is>
          <t>APPROVED</t>
        </is>
      </c>
      <c r="J511" s="19" t="inlineStr">
        <is>
          <t>No</t>
        </is>
      </c>
      <c r="K511" s="19" t="inlineStr">
        <is>
          <t>No</t>
        </is>
      </c>
      <c r="L511" s="19" t="inlineStr">
        <is>
          <t>TBD</t>
        </is>
      </c>
      <c r="M511" s="19" t="inlineStr">
        <is>
          <t>VDINDUSTRIAL FENCE</t>
        </is>
      </c>
      <c r="N511" s="19" t="inlineStr">
        <is>
          <t>E</t>
        </is>
      </c>
      <c r="O511" s="20" t="inlineStr">
        <is>
          <t>No linkage found in awarded contract file</t>
        </is>
      </c>
      <c r="P511" s="19" t="inlineStr"/>
      <c r="Q511" s="19" t="inlineStr"/>
      <c r="R511" s="31" t="inlineStr"/>
      <c r="S511" s="19" t="inlineStr"/>
      <c r="T511" s="19" t="inlineStr">
        <is>
          <t>No</t>
        </is>
      </c>
      <c r="U511" s="19" t="inlineStr">
        <is>
          <t>No</t>
        </is>
      </c>
      <c r="V511" s="19" t="inlineStr">
        <is>
          <t>No</t>
        </is>
      </c>
      <c r="W511" s="19" t="inlineStr">
        <is>
          <t>No</t>
        </is>
      </c>
    </row>
    <row r="512">
      <c r="A512" s="19" t="n">
        <v>744530</v>
      </c>
      <c r="B512" s="31" t="n">
        <v>46241</v>
      </c>
      <c r="C512" s="19" t="inlineStr">
        <is>
          <t>DEPARTMENT OF FLEET AND FACILITY MANAGEMENT</t>
        </is>
      </c>
      <c r="D512" s="19" t="inlineStr">
        <is>
          <t>INDUSTRIAL FENCE INC.</t>
        </is>
      </c>
      <c r="E512" s="20" t="inlineStr">
        <is>
          <t>TB/VJ/4 INVOICES/$15,908.57</t>
        </is>
      </c>
      <c r="F512" s="21" t="n">
        <v>15908.57</v>
      </c>
      <c r="G512" s="19" t="inlineStr">
        <is>
          <t>1. Pending New Contract - Original Contract Expired. New Contract in Process</t>
        </is>
      </c>
      <c r="H512" s="19" t="inlineStr">
        <is>
          <t>A. Specification Development Phase</t>
        </is>
      </c>
      <c r="I512" s="19" t="inlineStr">
        <is>
          <t>APPROVED</t>
        </is>
      </c>
      <c r="J512" s="19" t="inlineStr">
        <is>
          <t>No</t>
        </is>
      </c>
      <c r="K512" s="19" t="inlineStr">
        <is>
          <t>No</t>
        </is>
      </c>
      <c r="L512" s="19" t="inlineStr">
        <is>
          <t>TBD</t>
        </is>
      </c>
      <c r="M512" s="19" t="inlineStr">
        <is>
          <t>RX596048</t>
        </is>
      </c>
      <c r="N512" s="19" t="inlineStr">
        <is>
          <t>E</t>
        </is>
      </c>
      <c r="O512" s="20" t="inlineStr">
        <is>
          <t>No linkage found in awarded contract file</t>
        </is>
      </c>
      <c r="P512" s="19" t="inlineStr"/>
      <c r="Q512" s="19" t="inlineStr"/>
      <c r="R512" s="31" t="inlineStr"/>
      <c r="S512" s="19" t="inlineStr"/>
      <c r="T512" s="19" t="inlineStr">
        <is>
          <t>No</t>
        </is>
      </c>
      <c r="U512" s="19" t="inlineStr">
        <is>
          <t>No</t>
        </is>
      </c>
      <c r="V512" s="19" t="inlineStr">
        <is>
          <t>No</t>
        </is>
      </c>
      <c r="W512" s="19" t="inlineStr">
        <is>
          <t>No</t>
        </is>
      </c>
    </row>
    <row r="513">
      <c r="A513" s="19" t="n">
        <v>708919</v>
      </c>
      <c r="B513" s="31" t="n">
        <v>46038</v>
      </c>
      <c r="C513" s="19" t="inlineStr">
        <is>
          <t>DEPARTMENT OF FLEET AND FACILITY MANAGEMENT</t>
        </is>
      </c>
      <c r="D513" s="19" t="inlineStr">
        <is>
          <t>ILLINOIS HARLEY-DAVIDSON SALES</t>
        </is>
      </c>
      <c r="E513" s="20" t="inlineStr">
        <is>
          <t>TB/MM/3 INVOICES/$328.85</t>
        </is>
      </c>
      <c r="F513" s="21" t="n">
        <v>328.85</v>
      </c>
      <c r="G513" s="19" t="inlineStr">
        <is>
          <t>1. Pending New Contract - Original Contract Expired. New Contract in Process</t>
        </is>
      </c>
      <c r="H513" s="19" t="inlineStr">
        <is>
          <t>A. Specification Development Phase</t>
        </is>
      </c>
      <c r="I513" s="19" t="inlineStr">
        <is>
          <t>APPROVED</t>
        </is>
      </c>
      <c r="J513" s="19" t="inlineStr">
        <is>
          <t>Yes</t>
        </is>
      </c>
      <c r="K513" s="19" t="inlineStr">
        <is>
          <t>No</t>
        </is>
      </c>
      <c r="L513" s="19" t="inlineStr"/>
      <c r="M513" s="19" t="inlineStr">
        <is>
          <t>RX590958</t>
        </is>
      </c>
      <c r="N513" s="19" t="inlineStr">
        <is>
          <t>E</t>
        </is>
      </c>
      <c r="O513" s="20" t="inlineStr">
        <is>
          <t>No linkage found in awarded contract file</t>
        </is>
      </c>
      <c r="P513" s="19" t="inlineStr"/>
      <c r="Q513" s="19" t="inlineStr"/>
      <c r="R513" s="31" t="inlineStr"/>
      <c r="S513" s="19" t="inlineStr"/>
      <c r="T513" s="19" t="inlineStr">
        <is>
          <t>No</t>
        </is>
      </c>
      <c r="U513" s="19" t="inlineStr">
        <is>
          <t>No</t>
        </is>
      </c>
      <c r="V513" s="19" t="inlineStr">
        <is>
          <t>No</t>
        </is>
      </c>
      <c r="W513" s="19" t="inlineStr">
        <is>
          <t>Yes</t>
        </is>
      </c>
    </row>
    <row r="514">
      <c r="A514" s="19" t="n">
        <v>717844</v>
      </c>
      <c r="B514" s="31" t="n">
        <v>46087</v>
      </c>
      <c r="C514" s="19" t="inlineStr">
        <is>
          <t>DEPARTMENT OF FLEET AND FACILITY MANAGEMENT</t>
        </is>
      </c>
      <c r="D514" s="19" t="inlineStr">
        <is>
          <t>P. R. STREICH &amp; SONS</t>
        </is>
      </c>
      <c r="E514" s="20" t="inlineStr">
        <is>
          <t>TB/MM/INV#56310/$9901.42</t>
        </is>
      </c>
      <c r="F514" s="21" t="n">
        <v>9901.42</v>
      </c>
      <c r="G514" s="19" t="inlineStr">
        <is>
          <t>1. Pending New Contract - Original Contract Expired. New Contract in Process</t>
        </is>
      </c>
      <c r="H514" s="19" t="inlineStr">
        <is>
          <t>B. City Law Review</t>
        </is>
      </c>
      <c r="I514" s="19" t="inlineStr">
        <is>
          <t>APPROVED</t>
        </is>
      </c>
      <c r="J514" s="19" t="inlineStr">
        <is>
          <t>Yes</t>
        </is>
      </c>
      <c r="K514" s="19" t="inlineStr">
        <is>
          <t>No</t>
        </is>
      </c>
      <c r="L514" s="19" t="inlineStr">
        <is>
          <t>TBD</t>
        </is>
      </c>
      <c r="M514" s="19" t="inlineStr">
        <is>
          <t>RX679901</t>
        </is>
      </c>
      <c r="N514" s="19" t="inlineStr">
        <is>
          <t>E</t>
        </is>
      </c>
      <c r="O514" s="20" t="inlineStr">
        <is>
          <t>No linkage found in awarded contract file</t>
        </is>
      </c>
      <c r="P514" s="19" t="inlineStr"/>
      <c r="Q514" s="19" t="inlineStr"/>
      <c r="R514" s="31" t="inlineStr"/>
      <c r="S514" s="19" t="inlineStr"/>
      <c r="T514" s="19" t="inlineStr">
        <is>
          <t>No</t>
        </is>
      </c>
      <c r="U514" s="19" t="inlineStr">
        <is>
          <t>No</t>
        </is>
      </c>
      <c r="V514" s="19" t="inlineStr">
        <is>
          <t>No</t>
        </is>
      </c>
      <c r="W514" s="19" t="inlineStr">
        <is>
          <t>Yes</t>
        </is>
      </c>
    </row>
    <row r="515">
      <c r="A515" s="19" t="n">
        <v>711772</v>
      </c>
      <c r="B515" s="31" t="n">
        <v>46055</v>
      </c>
      <c r="C515" s="19" t="inlineStr">
        <is>
          <t>DEPARTMENT OF FLEET AND FACILITY MANAGEMENT</t>
        </is>
      </c>
      <c r="D515" s="19" t="inlineStr">
        <is>
          <t>SPEEDY GONZALEZ LANDSCAPING INC</t>
        </is>
      </c>
      <c r="E515" s="20" t="inlineStr">
        <is>
          <t>TB/AH/8 INVOICES/$33,788.05</t>
        </is>
      </c>
      <c r="F515" s="21" t="n">
        <v>33788.05</v>
      </c>
      <c r="G515" s="19" t="inlineStr">
        <is>
          <t>2. Pending Amendment/Modification - Line Item Addition / Vendor Limit Increase / Scope Change</t>
        </is>
      </c>
      <c r="H515" s="19" t="inlineStr">
        <is>
          <t>D. Solicitation Response Under Evaluation</t>
        </is>
      </c>
      <c r="I515" s="19" t="inlineStr">
        <is>
          <t>DENIED</t>
        </is>
      </c>
      <c r="J515" s="19" t="inlineStr">
        <is>
          <t>Yes</t>
        </is>
      </c>
      <c r="K515" s="19" t="inlineStr">
        <is>
          <t>No</t>
        </is>
      </c>
      <c r="L515" s="19" t="inlineStr"/>
      <c r="M515" s="19" t="inlineStr">
        <is>
          <t>RX690281</t>
        </is>
      </c>
      <c r="N515" s="19" t="inlineStr">
        <is>
          <t>E</t>
        </is>
      </c>
      <c r="O515" s="20" t="inlineStr">
        <is>
          <t>No linkage found in awarded contract file</t>
        </is>
      </c>
      <c r="P515" s="19" t="inlineStr"/>
      <c r="Q515" s="19" t="inlineStr"/>
      <c r="R515" s="31" t="inlineStr"/>
      <c r="S515" s="19" t="inlineStr"/>
      <c r="T515" s="19" t="inlineStr">
        <is>
          <t>No</t>
        </is>
      </c>
      <c r="U515" s="19" t="inlineStr">
        <is>
          <t>No</t>
        </is>
      </c>
      <c r="V515" s="19" t="inlineStr">
        <is>
          <t>No</t>
        </is>
      </c>
      <c r="W515" s="19" t="inlineStr">
        <is>
          <t>Yes</t>
        </is>
      </c>
    </row>
    <row r="516">
      <c r="A516" s="19" t="n">
        <v>715624</v>
      </c>
      <c r="B516" s="31" t="n">
        <v>46077</v>
      </c>
      <c r="C516" s="19" t="inlineStr">
        <is>
          <t>DEPARTMENT OF FLEET AND FACILITY MANAGEMENT</t>
        </is>
      </c>
      <c r="D516" s="19" t="inlineStr">
        <is>
          <t>ABM INDUSTRY GROUPS, LLC</t>
        </is>
      </c>
      <c r="E516" s="20" t="inlineStr">
        <is>
          <t>TB/AH/10 INVOICES/$239,191.72</t>
        </is>
      </c>
      <c r="F516" s="21" t="n">
        <v>239191.72</v>
      </c>
      <c r="G516" s="19" t="inlineStr">
        <is>
          <t>1. Pending New Contract - Original Contract Expired. New Contract in Process</t>
        </is>
      </c>
      <c r="H516" s="19" t="inlineStr">
        <is>
          <t>A. Specification Development Phase</t>
        </is>
      </c>
      <c r="I516" s="19" t="inlineStr">
        <is>
          <t>APPROVED</t>
        </is>
      </c>
      <c r="J516" s="19" t="inlineStr">
        <is>
          <t>Yes</t>
        </is>
      </c>
      <c r="K516" s="19" t="inlineStr">
        <is>
          <t>No</t>
        </is>
      </c>
      <c r="L516" s="19" t="inlineStr"/>
      <c r="M516" s="19" t="inlineStr">
        <is>
          <t>RX624331</t>
        </is>
      </c>
      <c r="N516" s="19" t="inlineStr">
        <is>
          <t>E</t>
        </is>
      </c>
      <c r="O516" s="20" t="inlineStr">
        <is>
          <t>No linkage found in awarded contract file</t>
        </is>
      </c>
      <c r="P516" s="19" t="inlineStr"/>
      <c r="Q516" s="19" t="inlineStr"/>
      <c r="R516" s="31" t="inlineStr"/>
      <c r="S516" s="19" t="inlineStr"/>
      <c r="T516" s="19" t="inlineStr">
        <is>
          <t>No</t>
        </is>
      </c>
      <c r="U516" s="19" t="inlineStr">
        <is>
          <t>No</t>
        </is>
      </c>
      <c r="V516" s="19" t="inlineStr">
        <is>
          <t>No</t>
        </is>
      </c>
      <c r="W516" s="19" t="inlineStr">
        <is>
          <t>Yes</t>
        </is>
      </c>
    </row>
    <row r="517">
      <c r="A517" s="19" t="n">
        <v>708062</v>
      </c>
      <c r="B517" s="31" t="n">
        <v>46035</v>
      </c>
      <c r="C517" s="19" t="inlineStr">
        <is>
          <t>DEPARTMENT OF FLEET AND FACILITY MANAGEMENT</t>
        </is>
      </c>
      <c r="D517" s="19" t="inlineStr">
        <is>
          <t>QUALITY CAR WASH, INC.</t>
        </is>
      </c>
      <c r="E517" s="20" t="inlineStr">
        <is>
          <t>TB/9 INVOICES/$12,244.89</t>
        </is>
      </c>
      <c r="F517" s="21" t="n">
        <v>12244.89</v>
      </c>
      <c r="G517" s="19" t="inlineStr">
        <is>
          <t>1. Pending New Contract - Original Contract Expired. New Contract in Process</t>
        </is>
      </c>
      <c r="H517" s="19" t="inlineStr">
        <is>
          <t>A. Specification Development Phase</t>
        </is>
      </c>
      <c r="I517" s="19" t="inlineStr">
        <is>
          <t>APPROVED</t>
        </is>
      </c>
      <c r="J517" s="19" t="inlineStr">
        <is>
          <t>Yes</t>
        </is>
      </c>
      <c r="K517" s="19" t="inlineStr">
        <is>
          <t>No</t>
        </is>
      </c>
      <c r="L517" s="19" t="inlineStr"/>
      <c r="M517" s="19" t="inlineStr">
        <is>
          <t>VDQUALITY CAR WASH</t>
        </is>
      </c>
      <c r="N517" s="19" t="inlineStr">
        <is>
          <t>E</t>
        </is>
      </c>
      <c r="O517" s="20" t="inlineStr">
        <is>
          <t>No linkage found in awarded contract file</t>
        </is>
      </c>
      <c r="P517" s="19" t="inlineStr"/>
      <c r="Q517" s="19" t="inlineStr"/>
      <c r="R517" s="31" t="inlineStr"/>
      <c r="S517" s="19" t="inlineStr"/>
      <c r="T517" s="19" t="inlineStr">
        <is>
          <t>No</t>
        </is>
      </c>
      <c r="U517" s="19" t="inlineStr">
        <is>
          <t>No</t>
        </is>
      </c>
      <c r="V517" s="19" t="inlineStr">
        <is>
          <t>No</t>
        </is>
      </c>
      <c r="W517" s="19" t="inlineStr">
        <is>
          <t>Yes</t>
        </is>
      </c>
    </row>
    <row r="518">
      <c r="A518" s="19" t="n">
        <v>728161</v>
      </c>
      <c r="B518" s="31" t="n">
        <v>46142</v>
      </c>
      <c r="C518" s="19" t="inlineStr">
        <is>
          <t>DEPARTMENT OF FLEET AND FACILITY MANAGEMENT</t>
        </is>
      </c>
      <c r="D518" s="19" t="inlineStr">
        <is>
          <t>ARLINGTON GLASS &amp; MIRROR</t>
        </is>
      </c>
      <c r="E518" s="20" t="inlineStr">
        <is>
          <t>TB/AO/INVOICE #75216/$1850.00</t>
        </is>
      </c>
      <c r="F518" s="21" t="n">
        <v>1850</v>
      </c>
      <c r="G518" s="19" t="inlineStr">
        <is>
          <t>1. Pending New Contract - Original Contract Expired. New Contract in Process</t>
        </is>
      </c>
      <c r="H518" s="19" t="inlineStr">
        <is>
          <t>A. Specification Development Phase</t>
        </is>
      </c>
      <c r="I518" s="19" t="inlineStr">
        <is>
          <t>APPROVED</t>
        </is>
      </c>
      <c r="J518" s="19" t="inlineStr">
        <is>
          <t>Yes</t>
        </is>
      </c>
      <c r="K518" s="19" t="inlineStr">
        <is>
          <t>No</t>
        </is>
      </c>
      <c r="L518" s="19" t="inlineStr"/>
      <c r="M518" s="19" t="inlineStr">
        <is>
          <t>RX647383</t>
        </is>
      </c>
      <c r="N518" s="19" t="inlineStr">
        <is>
          <t>E</t>
        </is>
      </c>
      <c r="O518" s="20" t="inlineStr">
        <is>
          <t>No linkage found in awarded contract file</t>
        </is>
      </c>
      <c r="P518" s="19" t="inlineStr"/>
      <c r="Q518" s="19" t="inlineStr"/>
      <c r="R518" s="31" t="inlineStr"/>
      <c r="S518" s="19" t="inlineStr"/>
      <c r="T518" s="19" t="inlineStr">
        <is>
          <t>No</t>
        </is>
      </c>
      <c r="U518" s="19" t="inlineStr">
        <is>
          <t>No</t>
        </is>
      </c>
      <c r="V518" s="19" t="inlineStr">
        <is>
          <t>No</t>
        </is>
      </c>
      <c r="W518" s="19" t="inlineStr">
        <is>
          <t>Yes</t>
        </is>
      </c>
    </row>
    <row r="519">
      <c r="A519" s="19" t="n">
        <v>711038</v>
      </c>
      <c r="B519" s="31" t="n">
        <v>46052</v>
      </c>
      <c r="C519" s="19" t="inlineStr">
        <is>
          <t>DEPARTMENT OF FLEET AND FACILITY MANAGEMENT</t>
        </is>
      </c>
      <c r="D519" s="19" t="inlineStr">
        <is>
          <t>PRESSURE WASHING SYSTEMS</t>
        </is>
      </c>
      <c r="E519" s="20" t="inlineStr">
        <is>
          <t>TB/MM/ INV #inv110833 / $1061.00</t>
        </is>
      </c>
      <c r="F519" s="21" t="n">
        <v>1061</v>
      </c>
      <c r="G519" s="19" t="inlineStr">
        <is>
          <t>1. Pending New Contract - Original Contract Expired. New Contract in Process</t>
        </is>
      </c>
      <c r="H519" s="19" t="inlineStr">
        <is>
          <t>A. Specification Development Phase</t>
        </is>
      </c>
      <c r="I519" s="19" t="inlineStr">
        <is>
          <t>APPROVED</t>
        </is>
      </c>
      <c r="J519" s="19" t="inlineStr">
        <is>
          <t>Yes</t>
        </is>
      </c>
      <c r="K519" s="19" t="inlineStr">
        <is>
          <t>No</t>
        </is>
      </c>
      <c r="L519" s="19" t="inlineStr"/>
      <c r="M519" s="19" t="inlineStr">
        <is>
          <t>RX708700</t>
        </is>
      </c>
      <c r="N519" s="19" t="inlineStr">
        <is>
          <t>E</t>
        </is>
      </c>
      <c r="O519" s="20" t="inlineStr">
        <is>
          <t>No linkage found in awarded contract file</t>
        </is>
      </c>
      <c r="P519" s="19" t="inlineStr"/>
      <c r="Q519" s="19" t="inlineStr"/>
      <c r="R519" s="31" t="inlineStr"/>
      <c r="S519" s="19" t="inlineStr"/>
      <c r="T519" s="19" t="inlineStr">
        <is>
          <t>No</t>
        </is>
      </c>
      <c r="U519" s="19" t="inlineStr">
        <is>
          <t>No</t>
        </is>
      </c>
      <c r="V519" s="19" t="inlineStr">
        <is>
          <t>No</t>
        </is>
      </c>
      <c r="W519" s="19" t="inlineStr">
        <is>
          <t>Yes</t>
        </is>
      </c>
    </row>
    <row r="520">
      <c r="A520" s="19" t="n">
        <v>717948</v>
      </c>
      <c r="B520" s="31" t="n">
        <v>46087</v>
      </c>
      <c r="C520" s="19" t="inlineStr">
        <is>
          <t>DEPARTMENT OF FLEET AND FACILITY MANAGEMENT</t>
        </is>
      </c>
      <c r="D520" s="19" t="inlineStr">
        <is>
          <t>ABC Humane Wildlife Control &amp; Prevention, Inc.</t>
        </is>
      </c>
      <c r="E520" s="20" t="inlineStr">
        <is>
          <t>TB/AH/4 INVOICES/$58242.76</t>
        </is>
      </c>
      <c r="F520" s="21" t="n">
        <v>58242.76</v>
      </c>
      <c r="G520" s="19" t="inlineStr">
        <is>
          <t>1. Pending New Contract - Original Contract Expired. New Contract in Process</t>
        </is>
      </c>
      <c r="H520" s="19" t="inlineStr">
        <is>
          <t>A. Specification Development Phase</t>
        </is>
      </c>
      <c r="I520" s="19" t="inlineStr">
        <is>
          <t>APPROVED</t>
        </is>
      </c>
      <c r="J520" s="19" t="inlineStr">
        <is>
          <t>No</t>
        </is>
      </c>
      <c r="K520" s="19" t="inlineStr">
        <is>
          <t>No</t>
        </is>
      </c>
      <c r="L520" s="19" t="inlineStr"/>
      <c r="M520" s="19" t="inlineStr">
        <is>
          <t>RX682957</t>
        </is>
      </c>
      <c r="N520" s="19" t="inlineStr">
        <is>
          <t>E</t>
        </is>
      </c>
      <c r="O520" s="20" t="inlineStr">
        <is>
          <t>No linkage found in awarded contract file</t>
        </is>
      </c>
      <c r="P520" s="19" t="inlineStr"/>
      <c r="Q520" s="19" t="inlineStr"/>
      <c r="R520" s="31" t="inlineStr"/>
      <c r="S520" s="19" t="inlineStr"/>
      <c r="T520" s="19" t="inlineStr">
        <is>
          <t>No</t>
        </is>
      </c>
      <c r="U520" s="19" t="inlineStr">
        <is>
          <t>No</t>
        </is>
      </c>
      <c r="V520" s="19" t="inlineStr">
        <is>
          <t>No</t>
        </is>
      </c>
      <c r="W520" s="19" t="inlineStr">
        <is>
          <t>No</t>
        </is>
      </c>
    </row>
    <row r="521">
      <c r="A521" s="19" t="n">
        <v>737549</v>
      </c>
      <c r="B521" s="31" t="n">
        <v>46197</v>
      </c>
      <c r="C521" s="19" t="inlineStr">
        <is>
          <t>DEPARTMENT OF FLEET AND FACILITY MANAGEMENT</t>
        </is>
      </c>
      <c r="D521" s="19" t="inlineStr">
        <is>
          <t>DODD CAMERA HOLDINGS, INC</t>
        </is>
      </c>
      <c r="E521" s="20" t="inlineStr">
        <is>
          <t>TB/GR/INVOICE #RO305183/$6671.00</t>
        </is>
      </c>
      <c r="F521" s="21" t="n">
        <v>6671</v>
      </c>
      <c r="G521" s="19" t="inlineStr">
        <is>
          <t>1. Pending New Contract - Original Contract Expired. New Contract in Process</t>
        </is>
      </c>
      <c r="H521" s="19" t="inlineStr">
        <is>
          <t>A. Specification Development Phase</t>
        </is>
      </c>
      <c r="I521" s="19" t="inlineStr">
        <is>
          <t>APPROVED</t>
        </is>
      </c>
      <c r="J521" s="19" t="inlineStr">
        <is>
          <t>Yes</t>
        </is>
      </c>
      <c r="K521" s="19" t="inlineStr">
        <is>
          <t>No</t>
        </is>
      </c>
      <c r="L521" s="19" t="inlineStr"/>
      <c r="M521" s="19" t="inlineStr">
        <is>
          <t>RX674586</t>
        </is>
      </c>
      <c r="N521" s="19" t="inlineStr">
        <is>
          <t>E</t>
        </is>
      </c>
      <c r="O521" s="20" t="inlineStr">
        <is>
          <t>No linkage found in awarded contract file</t>
        </is>
      </c>
      <c r="P521" s="19" t="inlineStr"/>
      <c r="Q521" s="19" t="inlineStr"/>
      <c r="R521" s="31" t="inlineStr"/>
      <c r="S521" s="19" t="inlineStr"/>
      <c r="T521" s="19" t="inlineStr">
        <is>
          <t>No</t>
        </is>
      </c>
      <c r="U521" s="19" t="inlineStr">
        <is>
          <t>No</t>
        </is>
      </c>
      <c r="V521" s="19" t="inlineStr">
        <is>
          <t>No</t>
        </is>
      </c>
      <c r="W521" s="19" t="inlineStr">
        <is>
          <t>Yes</t>
        </is>
      </c>
    </row>
    <row r="522">
      <c r="A522" s="19" t="n">
        <v>724282</v>
      </c>
      <c r="B522" s="31" t="n">
        <v>46133</v>
      </c>
      <c r="C522" s="19" t="inlineStr">
        <is>
          <t>DEPARTMENT OF FLEET AND FACILITY MANAGEMENT</t>
        </is>
      </c>
      <c r="D522" s="19" t="inlineStr">
        <is>
          <t>C &amp; C COMMUNICATIONS IL</t>
        </is>
      </c>
      <c r="E522" s="20" t="inlineStr">
        <is>
          <t>TB/CC/INV#3357/$364.00</t>
        </is>
      </c>
      <c r="F522" s="21" t="n">
        <v>364</v>
      </c>
      <c r="G522" s="19" t="inlineStr">
        <is>
          <t>2. Pending Amendment/Modification - Line Item Addition / Vendor Limit Increase / Scope Change</t>
        </is>
      </c>
      <c r="H522" s="19" t="inlineStr">
        <is>
          <t>A. Specification Development Phase</t>
        </is>
      </c>
      <c r="I522" s="19" t="inlineStr">
        <is>
          <t>APPROVED</t>
        </is>
      </c>
      <c r="J522" s="19" t="inlineStr">
        <is>
          <t>No</t>
        </is>
      </c>
      <c r="K522" s="19" t="inlineStr">
        <is>
          <t>No</t>
        </is>
      </c>
      <c r="L522" s="19" t="inlineStr"/>
      <c r="M522" s="19" t="inlineStr">
        <is>
          <t>RX710994</t>
        </is>
      </c>
      <c r="N522" s="19" t="inlineStr">
        <is>
          <t>E</t>
        </is>
      </c>
      <c r="O522" s="20" t="inlineStr">
        <is>
          <t>No linkage found in awarded contract file</t>
        </is>
      </c>
      <c r="P522" s="19" t="inlineStr"/>
      <c r="Q522" s="19" t="inlineStr"/>
      <c r="R522" s="31" t="inlineStr"/>
      <c r="S522" s="19" t="inlineStr"/>
      <c r="T522" s="19" t="inlineStr">
        <is>
          <t>No</t>
        </is>
      </c>
      <c r="U522" s="19" t="inlineStr">
        <is>
          <t>No</t>
        </is>
      </c>
      <c r="V522" s="19" t="inlineStr">
        <is>
          <t>No</t>
        </is>
      </c>
      <c r="W522" s="19" t="inlineStr">
        <is>
          <t>No</t>
        </is>
      </c>
    </row>
    <row r="523">
      <c r="A523" s="19" t="n">
        <v>731160</v>
      </c>
      <c r="B523" s="31" t="n">
        <v>46161</v>
      </c>
      <c r="C523" s="19" t="inlineStr">
        <is>
          <t>DEPARTMENT OF FLEET AND FACILITY MANAGEMENT</t>
        </is>
      </c>
      <c r="D523" s="19" t="inlineStr">
        <is>
          <t>C &amp; C COMMUNICATIONS IL</t>
        </is>
      </c>
      <c r="E523" s="20" t="inlineStr">
        <is>
          <t>TB/JG/INVOICE #3375/$8537.12</t>
        </is>
      </c>
      <c r="F523" s="21" t="n">
        <v>8537.120000000001</v>
      </c>
      <c r="G523" s="19" t="inlineStr">
        <is>
          <t>2. Pending Amendment/Modification - Line Item Addition / Vendor Limit Increase / Scope Change</t>
        </is>
      </c>
      <c r="H523" s="19" t="inlineStr">
        <is>
          <t>A. Specification Development Phase</t>
        </is>
      </c>
      <c r="I523" s="19" t="inlineStr">
        <is>
          <t>APPROVED</t>
        </is>
      </c>
      <c r="J523" s="19" t="inlineStr">
        <is>
          <t>No</t>
        </is>
      </c>
      <c r="K523" s="19" t="inlineStr">
        <is>
          <t>No</t>
        </is>
      </c>
      <c r="L523" s="19" t="inlineStr"/>
      <c r="M523" s="19" t="inlineStr">
        <is>
          <t>RX710994</t>
        </is>
      </c>
      <c r="N523" s="19" t="inlineStr">
        <is>
          <t>E</t>
        </is>
      </c>
      <c r="O523" s="20" t="inlineStr">
        <is>
          <t>No linkage found in awarded contract file</t>
        </is>
      </c>
      <c r="P523" s="19" t="inlineStr"/>
      <c r="Q523" s="19" t="inlineStr"/>
      <c r="R523" s="31" t="inlineStr"/>
      <c r="S523" s="19" t="inlineStr"/>
      <c r="T523" s="19" t="inlineStr">
        <is>
          <t>No</t>
        </is>
      </c>
      <c r="U523" s="19" t="inlineStr">
        <is>
          <t>No</t>
        </is>
      </c>
      <c r="V523" s="19" t="inlineStr">
        <is>
          <t>No</t>
        </is>
      </c>
      <c r="W523" s="19" t="inlineStr">
        <is>
          <t>No</t>
        </is>
      </c>
    </row>
    <row r="524">
      <c r="A524" s="19" t="n">
        <v>729821</v>
      </c>
      <c r="B524" s="31" t="n">
        <v>46150</v>
      </c>
      <c r="C524" s="19" t="inlineStr">
        <is>
          <t>DEPARTMENT OF FLEET AND FACILITY MANAGEMENT</t>
        </is>
      </c>
      <c r="D524" s="19" t="inlineStr">
        <is>
          <t>INDUSTRIAL FENCE INC.</t>
        </is>
      </c>
      <c r="E524" s="20" t="inlineStr">
        <is>
          <t>TB/VJ/INVOICE #26407/$795.40</t>
        </is>
      </c>
      <c r="F524" s="21" t="n">
        <v>795.4</v>
      </c>
      <c r="G524" s="19" t="inlineStr">
        <is>
          <t>1. Pending New Contract - Original Contract Expired. New Contract in Process</t>
        </is>
      </c>
      <c r="H524" s="19" t="inlineStr">
        <is>
          <t>A. Specification Development Phase</t>
        </is>
      </c>
      <c r="I524" s="19" t="inlineStr">
        <is>
          <t>APPROVED</t>
        </is>
      </c>
      <c r="J524" s="19" t="inlineStr">
        <is>
          <t>No</t>
        </is>
      </c>
      <c r="K524" s="19" t="inlineStr">
        <is>
          <t>No</t>
        </is>
      </c>
      <c r="L524" s="19" t="inlineStr">
        <is>
          <t>TBD</t>
        </is>
      </c>
      <c r="M524" s="19" t="inlineStr">
        <is>
          <t>RX596048</t>
        </is>
      </c>
      <c r="N524" s="19" t="inlineStr">
        <is>
          <t>E</t>
        </is>
      </c>
      <c r="O524" s="20" t="inlineStr">
        <is>
          <t>No linkage found in awarded contract file</t>
        </is>
      </c>
      <c r="P524" s="19" t="inlineStr"/>
      <c r="Q524" s="19" t="inlineStr"/>
      <c r="R524" s="31" t="inlineStr"/>
      <c r="S524" s="19" t="inlineStr"/>
      <c r="T524" s="19" t="inlineStr">
        <is>
          <t>No</t>
        </is>
      </c>
      <c r="U524" s="19" t="inlineStr">
        <is>
          <t>No</t>
        </is>
      </c>
      <c r="V524" s="19" t="inlineStr">
        <is>
          <t>No</t>
        </is>
      </c>
      <c r="W524" s="19" t="inlineStr">
        <is>
          <t>No</t>
        </is>
      </c>
    </row>
    <row r="525">
      <c r="A525" s="19" t="n">
        <v>725258</v>
      </c>
      <c r="B525" s="31" t="n">
        <v>46136</v>
      </c>
      <c r="C525" s="19" t="inlineStr">
        <is>
          <t>DEPARTMENT OF FLEET AND FACILITY MANAGEMENT</t>
        </is>
      </c>
      <c r="D525" s="19" t="inlineStr">
        <is>
          <t>QUALITY CAR WASH, INC.</t>
        </is>
      </c>
      <c r="E525" s="20" t="inlineStr">
        <is>
          <t>TB/9 INVOICES/$19,433.16</t>
        </is>
      </c>
      <c r="F525" s="21" t="n">
        <v>19433.16</v>
      </c>
      <c r="G525" s="19" t="inlineStr">
        <is>
          <t>1. Pending New Contract - Original Contract Expired. New Contract in Process</t>
        </is>
      </c>
      <c r="H525" s="19" t="inlineStr">
        <is>
          <t>A. Specification Development Phase</t>
        </is>
      </c>
      <c r="I525" s="19" t="inlineStr">
        <is>
          <t>APPROVED</t>
        </is>
      </c>
      <c r="J525" s="19" t="inlineStr">
        <is>
          <t>Yes</t>
        </is>
      </c>
      <c r="K525" s="19" t="inlineStr">
        <is>
          <t>No</t>
        </is>
      </c>
      <c r="L525" s="19" t="inlineStr"/>
      <c r="M525" s="19" t="inlineStr">
        <is>
          <t>RX710856</t>
        </is>
      </c>
      <c r="N525" s="19" t="inlineStr">
        <is>
          <t>E</t>
        </is>
      </c>
      <c r="O525" s="20" t="inlineStr">
        <is>
          <t>No linkage found in awarded contract file</t>
        </is>
      </c>
      <c r="P525" s="19" t="inlineStr"/>
      <c r="Q525" s="19" t="inlineStr"/>
      <c r="R525" s="31" t="inlineStr"/>
      <c r="S525" s="19" t="inlineStr"/>
      <c r="T525" s="19" t="inlineStr">
        <is>
          <t>No</t>
        </is>
      </c>
      <c r="U525" s="19" t="inlineStr">
        <is>
          <t>No</t>
        </is>
      </c>
      <c r="V525" s="19" t="inlineStr">
        <is>
          <t>No</t>
        </is>
      </c>
      <c r="W525" s="19" t="inlineStr">
        <is>
          <t>Yes</t>
        </is>
      </c>
    </row>
    <row r="526">
      <c r="A526" s="19" t="n">
        <v>730652</v>
      </c>
      <c r="B526" s="31" t="n">
        <v>46161</v>
      </c>
      <c r="C526" s="19" t="inlineStr">
        <is>
          <t>DEPARTMENT OF FLEET AND FACILITY MANAGEMENT</t>
        </is>
      </c>
      <c r="D526" s="19" t="inlineStr">
        <is>
          <t>The RIV LLC</t>
        </is>
      </c>
      <c r="E526" s="20" t="inlineStr">
        <is>
          <t>TB/INVOICE #39/$275.00</t>
        </is>
      </c>
      <c r="F526" s="21" t="n">
        <v>275</v>
      </c>
      <c r="G526" s="19" t="inlineStr">
        <is>
          <t>1. Pending New Contract - Original Contract Expired. New Contract in Process</t>
        </is>
      </c>
      <c r="H526" s="19" t="inlineStr">
        <is>
          <t>A. Specification Development Phase</t>
        </is>
      </c>
      <c r="I526" s="19" t="inlineStr">
        <is>
          <t>APPROVED</t>
        </is>
      </c>
      <c r="J526" s="19" t="inlineStr">
        <is>
          <t>Yes</t>
        </is>
      </c>
      <c r="K526" s="19" t="inlineStr">
        <is>
          <t>No</t>
        </is>
      </c>
      <c r="L526" s="19" t="inlineStr"/>
      <c r="M526" s="19" t="inlineStr">
        <is>
          <t>RX710856</t>
        </is>
      </c>
      <c r="N526" s="19" t="inlineStr">
        <is>
          <t>E</t>
        </is>
      </c>
      <c r="O526" s="20" t="inlineStr">
        <is>
          <t>No linkage found in awarded contract file</t>
        </is>
      </c>
      <c r="P526" s="19" t="inlineStr"/>
      <c r="Q526" s="19" t="inlineStr"/>
      <c r="R526" s="31" t="inlineStr"/>
      <c r="S526" s="19" t="inlineStr"/>
      <c r="T526" s="19" t="inlineStr">
        <is>
          <t>No</t>
        </is>
      </c>
      <c r="U526" s="19" t="inlineStr">
        <is>
          <t>No</t>
        </is>
      </c>
      <c r="V526" s="19" t="inlineStr">
        <is>
          <t>No</t>
        </is>
      </c>
      <c r="W526" s="19" t="inlineStr">
        <is>
          <t>Yes</t>
        </is>
      </c>
    </row>
    <row r="527">
      <c r="A527" s="19" t="n">
        <v>715451</v>
      </c>
      <c r="B527" s="31" t="n">
        <v>46077</v>
      </c>
      <c r="C527" s="19" t="inlineStr">
        <is>
          <t>DEPARTMENT OF STREETS AND SANITATION</t>
        </is>
      </c>
      <c r="D527" s="19" t="inlineStr">
        <is>
          <t>BANDIT INDUSTRIES, INC</t>
        </is>
      </c>
      <c r="E527" s="20" t="inlineStr">
        <is>
          <t>STUMP GRINDING</t>
        </is>
      </c>
      <c r="F527" s="21" t="n">
        <v>34086.73</v>
      </c>
      <c r="G527" s="19" t="inlineStr">
        <is>
          <t>1. Pending New Contract - Original Contract Expired. New Contract in Process</t>
        </is>
      </c>
      <c r="H527" s="19" t="inlineStr">
        <is>
          <t>D. Solicitation Response Under Evaluation</t>
        </is>
      </c>
      <c r="I527" s="19" t="inlineStr">
        <is>
          <t>DENIED</t>
        </is>
      </c>
      <c r="J527" s="19" t="inlineStr">
        <is>
          <t>No</t>
        </is>
      </c>
      <c r="K527" s="19" t="inlineStr">
        <is>
          <t>No</t>
        </is>
      </c>
      <c r="L527" s="19" t="inlineStr"/>
      <c r="M527" s="19" t="inlineStr">
        <is>
          <t>VDBANDIT INDUSTRIES</t>
        </is>
      </c>
      <c r="N527" s="19" t="inlineStr">
        <is>
          <t>E</t>
        </is>
      </c>
      <c r="O527" s="20" t="inlineStr">
        <is>
          <t>No linkage found in awarded contract file</t>
        </is>
      </c>
      <c r="P527" s="19" t="inlineStr"/>
      <c r="Q527" s="19" t="inlineStr"/>
      <c r="R527" s="31" t="inlineStr"/>
      <c r="S527" s="19" t="inlineStr"/>
      <c r="T527" s="19" t="inlineStr">
        <is>
          <t>No</t>
        </is>
      </c>
      <c r="U527" s="19" t="inlineStr">
        <is>
          <t>No</t>
        </is>
      </c>
      <c r="V527" s="19" t="inlineStr">
        <is>
          <t>No</t>
        </is>
      </c>
      <c r="W527" s="19" t="inlineStr">
        <is>
          <t>No</t>
        </is>
      </c>
    </row>
    <row r="528">
      <c r="A528" s="19" t="n">
        <v>741183</v>
      </c>
      <c r="B528" s="31" t="n">
        <v>46220</v>
      </c>
      <c r="C528" s="19" t="inlineStr">
        <is>
          <t>DEPARTMENT OF STREETS AND SANITATION</t>
        </is>
      </c>
      <c r="D528" s="19" t="inlineStr">
        <is>
          <t>BLUETRITON BRANDS INC</t>
        </is>
      </c>
      <c r="E528" s="20" t="inlineStr">
        <is>
          <t>water</t>
        </is>
      </c>
      <c r="F528" s="21" t="n">
        <v>165.85</v>
      </c>
      <c r="G528" s="19" t="inlineStr">
        <is>
          <t>6. Bid Protest - Contract Award under Review</t>
        </is>
      </c>
      <c r="H528" s="19" t="inlineStr">
        <is>
          <t>D. Solicitation Response Under Evaluation</t>
        </is>
      </c>
      <c r="I528" s="19" t="inlineStr">
        <is>
          <t>APPROVED</t>
        </is>
      </c>
      <c r="J528" s="19" t="inlineStr">
        <is>
          <t>Yes</t>
        </is>
      </c>
      <c r="K528" s="19" t="inlineStr">
        <is>
          <t>No</t>
        </is>
      </c>
      <c r="L528" s="19" t="n">
        <v>0</v>
      </c>
      <c r="M528" s="19" t="inlineStr">
        <is>
          <t>VDBLUETRITON BRANDS</t>
        </is>
      </c>
      <c r="N528" s="19" t="inlineStr">
        <is>
          <t>E</t>
        </is>
      </c>
      <c r="O528" s="20" t="inlineStr">
        <is>
          <t>No linkage found in awarded contract file</t>
        </is>
      </c>
      <c r="P528" s="19" t="inlineStr"/>
      <c r="Q528" s="19" t="inlineStr"/>
      <c r="R528" s="31" t="inlineStr"/>
      <c r="S528" s="19" t="inlineStr"/>
      <c r="T528" s="19" t="inlineStr">
        <is>
          <t>No</t>
        </is>
      </c>
      <c r="U528" s="19" t="inlineStr">
        <is>
          <t>No</t>
        </is>
      </c>
      <c r="V528" s="19" t="inlineStr">
        <is>
          <t>No</t>
        </is>
      </c>
      <c r="W528" s="19" t="inlineStr">
        <is>
          <t>No</t>
        </is>
      </c>
    </row>
    <row r="529">
      <c r="A529" s="19" t="n">
        <v>736550</v>
      </c>
      <c r="B529" s="31" t="n">
        <v>46195</v>
      </c>
      <c r="C529" s="19" t="inlineStr">
        <is>
          <t>DEPARTMENT OF STREETS AND SANITATION</t>
        </is>
      </c>
      <c r="D529" s="19" t="inlineStr">
        <is>
          <t>BLUETRITON BRANDS INC</t>
        </is>
      </c>
      <c r="E529" s="20" t="inlineStr">
        <is>
          <t>water</t>
        </is>
      </c>
      <c r="F529" s="21" t="n">
        <v>210.22</v>
      </c>
      <c r="G529" s="19" t="inlineStr">
        <is>
          <t>6. Bid Protest - Contract Award under Review</t>
        </is>
      </c>
      <c r="H529" s="19" t="inlineStr">
        <is>
          <t>D. Solicitation Response Under Evaluation</t>
        </is>
      </c>
      <c r="I529" s="19" t="inlineStr">
        <is>
          <t>APPROVED</t>
        </is>
      </c>
      <c r="J529" s="19" t="inlineStr">
        <is>
          <t>Yes</t>
        </is>
      </c>
      <c r="K529" s="19" t="inlineStr">
        <is>
          <t>No</t>
        </is>
      </c>
      <c r="L529" s="19" t="n">
        <v>0</v>
      </c>
      <c r="M529" s="19" t="inlineStr">
        <is>
          <t>VDBLUETRITON BRANDS</t>
        </is>
      </c>
      <c r="N529" s="19" t="inlineStr">
        <is>
          <t>E</t>
        </is>
      </c>
      <c r="O529" s="20" t="inlineStr">
        <is>
          <t>No linkage found in awarded contract file</t>
        </is>
      </c>
      <c r="P529" s="19" t="inlineStr"/>
      <c r="Q529" s="19" t="inlineStr"/>
      <c r="R529" s="31" t="inlineStr"/>
      <c r="S529" s="19" t="inlineStr"/>
      <c r="T529" s="19" t="inlineStr">
        <is>
          <t>No</t>
        </is>
      </c>
      <c r="U529" s="19" t="inlineStr">
        <is>
          <t>No</t>
        </is>
      </c>
      <c r="V529" s="19" t="inlineStr">
        <is>
          <t>No</t>
        </is>
      </c>
      <c r="W529" s="19" t="inlineStr">
        <is>
          <t>No</t>
        </is>
      </c>
    </row>
    <row r="530">
      <c r="A530" s="19" t="n">
        <v>714132</v>
      </c>
      <c r="B530" s="31" t="n">
        <v>46070</v>
      </c>
      <c r="C530" s="19" t="inlineStr">
        <is>
          <t>CHICAGO DEPARTMENT OF PUBLIC HEALTH</t>
        </is>
      </c>
      <c r="D530" s="19" t="inlineStr">
        <is>
          <t>DELL MARKETING L.P.</t>
        </is>
      </c>
      <c r="E530" s="20" t="inlineStr">
        <is>
          <t>All In One Desktops</t>
        </is>
      </c>
      <c r="F530" s="21" t="n">
        <v>4815</v>
      </c>
      <c r="G530" s="19" t="inlineStr">
        <is>
          <t>4. Invoice Reconciliation - Invoice Received after Contract Expiration</t>
        </is>
      </c>
      <c r="H530" s="19" t="inlineStr">
        <is>
          <t>H. One Time Purchase</t>
        </is>
      </c>
      <c r="I530" s="19" t="inlineStr">
        <is>
          <t>APPROVED</t>
        </is>
      </c>
      <c r="J530" s="19" t="inlineStr">
        <is>
          <t>No</t>
        </is>
      </c>
      <c r="K530" s="19" t="inlineStr">
        <is>
          <t>Yes</t>
        </is>
      </c>
      <c r="L530" s="19" t="inlineStr"/>
      <c r="M530" s="19" t="inlineStr">
        <is>
          <t>VDDELL MARKETING L P</t>
        </is>
      </c>
      <c r="N530" s="19" t="inlineStr">
        <is>
          <t>E</t>
        </is>
      </c>
      <c r="O530" s="20" t="inlineStr">
        <is>
          <t>No linkage found in awarded contract file</t>
        </is>
      </c>
      <c r="P530" s="19" t="inlineStr"/>
      <c r="Q530" s="19" t="inlineStr"/>
      <c r="R530" s="31" t="inlineStr"/>
      <c r="S530" s="19" t="inlineStr"/>
      <c r="T530" s="19" t="inlineStr">
        <is>
          <t>No</t>
        </is>
      </c>
      <c r="U530" s="19" t="inlineStr">
        <is>
          <t>No</t>
        </is>
      </c>
      <c r="V530" s="19" t="inlineStr">
        <is>
          <t>No</t>
        </is>
      </c>
      <c r="W530" s="19" t="inlineStr">
        <is>
          <t>No</t>
        </is>
      </c>
    </row>
    <row r="531">
      <c r="A531" s="19" t="n">
        <v>734145</v>
      </c>
      <c r="B531" s="31" t="n">
        <v>46177</v>
      </c>
      <c r="C531" s="19" t="inlineStr">
        <is>
          <t>CHICAGO DEPARTMENT OF PUBLIC HEALTH</t>
        </is>
      </c>
      <c r="D531" s="19" t="inlineStr">
        <is>
          <t>INTEGRATED SOLUTIONS CONSULTING CORPORATION</t>
        </is>
      </c>
      <c r="E531" s="20" t="inlineStr">
        <is>
          <t>Hosting Fee</t>
        </is>
      </c>
      <c r="F531" s="21" t="n">
        <v>2499</v>
      </c>
      <c r="G531" s="19" t="inlineStr">
        <is>
          <t>1. Pending New Contract - Original Contract Expired. New Contract in Process</t>
        </is>
      </c>
      <c r="H531" s="19" t="inlineStr">
        <is>
          <t>B. City Law Review</t>
        </is>
      </c>
      <c r="I531" s="19" t="inlineStr">
        <is>
          <t>APPROVED</t>
        </is>
      </c>
      <c r="J531" s="19" t="inlineStr">
        <is>
          <t>Yes</t>
        </is>
      </c>
      <c r="K531" s="19" t="inlineStr">
        <is>
          <t>No</t>
        </is>
      </c>
      <c r="L531" s="19" t="inlineStr"/>
      <c r="M531" s="19" t="inlineStr">
        <is>
          <t>RX657660</t>
        </is>
      </c>
      <c r="N531" s="19" t="inlineStr">
        <is>
          <t>A</t>
        </is>
      </c>
      <c r="O531" s="20" t="inlineStr">
        <is>
          <t>Requisition ID link: Exhibit B new-contract RX = awarded REQ</t>
        </is>
      </c>
      <c r="P531" s="19" t="inlineStr">
        <is>
          <t>386925</t>
        </is>
      </c>
      <c r="Q531" s="19" t="inlineStr">
        <is>
          <t>INTEGRATED SOLUTIONS CONSULTING CORPORATION</t>
        </is>
      </c>
      <c r="R531" s="31" t="n">
        <v>46220</v>
      </c>
      <c r="S531" s="19" t="inlineStr">
        <is>
          <t>SOLE SOURCE</t>
        </is>
      </c>
      <c r="T531" s="19" t="inlineStr">
        <is>
          <t>No</t>
        </is>
      </c>
      <c r="U531" s="19" t="inlineStr">
        <is>
          <t>Yes</t>
        </is>
      </c>
      <c r="V531" s="19" t="inlineStr">
        <is>
          <t>No</t>
        </is>
      </c>
      <c r="W531" s="19" t="inlineStr">
        <is>
          <t>Yes</t>
        </is>
      </c>
    </row>
    <row r="532">
      <c r="A532" s="19" t="n">
        <v>708826</v>
      </c>
      <c r="B532" s="31" t="n">
        <v>46042</v>
      </c>
      <c r="C532" s="19" t="inlineStr">
        <is>
          <t>CHICAGO DEPARTMENT OF PUBLIC HEALTH</t>
        </is>
      </c>
      <c r="D532" s="19" t="inlineStr">
        <is>
          <t>Helen E Cejtin</t>
        </is>
      </c>
      <c r="E532" s="20" t="inlineStr">
        <is>
          <t>Consultant</t>
        </is>
      </c>
      <c r="F532" s="21" t="n">
        <v>10446.8</v>
      </c>
      <c r="G532" s="19" t="inlineStr">
        <is>
          <t>3. One Time Purchase</t>
        </is>
      </c>
      <c r="H532" s="19" t="inlineStr">
        <is>
          <t>H. One Time Purchase</t>
        </is>
      </c>
      <c r="I532" s="19" t="inlineStr">
        <is>
          <t>APPROVED</t>
        </is>
      </c>
      <c r="J532" s="19" t="inlineStr">
        <is>
          <t>No</t>
        </is>
      </c>
      <c r="K532" s="19" t="inlineStr">
        <is>
          <t>No</t>
        </is>
      </c>
      <c r="L532" s="19" t="inlineStr"/>
      <c r="M532" s="19" t="inlineStr">
        <is>
          <t>VDHELEN E CEJTIN</t>
        </is>
      </c>
      <c r="N532" s="19" t="inlineStr">
        <is>
          <t>E</t>
        </is>
      </c>
      <c r="O532" s="20" t="inlineStr">
        <is>
          <t>No linkage found in awarded contract file</t>
        </is>
      </c>
      <c r="P532" s="19" t="inlineStr"/>
      <c r="Q532" s="19" t="inlineStr"/>
      <c r="R532" s="31" t="inlineStr"/>
      <c r="S532" s="19" t="inlineStr"/>
      <c r="T532" s="19" t="inlineStr">
        <is>
          <t>No</t>
        </is>
      </c>
      <c r="U532" s="19" t="inlineStr">
        <is>
          <t>No</t>
        </is>
      </c>
      <c r="V532" s="19" t="inlineStr">
        <is>
          <t>No</t>
        </is>
      </c>
      <c r="W532" s="19" t="inlineStr">
        <is>
          <t>No</t>
        </is>
      </c>
    </row>
    <row r="533">
      <c r="A533" s="19" t="n">
        <v>709470</v>
      </c>
      <c r="B533" s="31" t="n">
        <v>46050</v>
      </c>
      <c r="C533" s="19" t="inlineStr">
        <is>
          <t>CHICAGO DEPARTMENT OF AVIATION</t>
        </is>
      </c>
      <c r="D533" s="19" t="inlineStr">
        <is>
          <t>AGAE CONTRACTORS, INC.</t>
        </is>
      </c>
      <c r="E533" s="20" t="inlineStr">
        <is>
          <t>#5 Invoices  $19,221.46    Transferred from APRF No. 508036.  This Direct voucher will cover the cost of the following ORD invoices: S3367-1, S3366-1, S3359-1, S3368-1 &amp; S3360-1</t>
        </is>
      </c>
      <c r="F533" s="21" t="n">
        <v>19221.46</v>
      </c>
      <c r="G533" s="19" t="inlineStr">
        <is>
          <t>1. Pending New Contract - Original Contract Expired. New Contract in Process</t>
        </is>
      </c>
      <c r="H533" s="19" t="inlineStr">
        <is>
          <t>A. Specification Development Phase</t>
        </is>
      </c>
      <c r="I533" s="19" t="inlineStr">
        <is>
          <t>APPROVED</t>
        </is>
      </c>
      <c r="J533" s="19" t="inlineStr">
        <is>
          <t>Yes</t>
        </is>
      </c>
      <c r="K533" s="19" t="inlineStr">
        <is>
          <t>No</t>
        </is>
      </c>
      <c r="L533" s="19" t="inlineStr"/>
      <c r="M533" s="19" t="inlineStr">
        <is>
          <t>RX607736</t>
        </is>
      </c>
      <c r="N533" s="19" t="inlineStr">
        <is>
          <t>E</t>
        </is>
      </c>
      <c r="O533" s="20" t="inlineStr">
        <is>
          <t>No linkage found in awarded contract file</t>
        </is>
      </c>
      <c r="P533" s="19" t="inlineStr"/>
      <c r="Q533" s="19" t="inlineStr"/>
      <c r="R533" s="31" t="inlineStr"/>
      <c r="S533" s="19" t="inlineStr"/>
      <c r="T533" s="19" t="inlineStr">
        <is>
          <t>No</t>
        </is>
      </c>
      <c r="U533" s="19" t="inlineStr">
        <is>
          <t>No</t>
        </is>
      </c>
      <c r="V533" s="19" t="inlineStr">
        <is>
          <t>No</t>
        </is>
      </c>
      <c r="W533" s="19" t="inlineStr">
        <is>
          <t>Yes</t>
        </is>
      </c>
    </row>
    <row r="534">
      <c r="A534" s="19" t="n">
        <v>735119</v>
      </c>
      <c r="B534" s="31" t="n">
        <v>46195</v>
      </c>
      <c r="C534" s="19" t="inlineStr">
        <is>
          <t>CHICAGO DEPARTMENT OF AVIATION</t>
        </is>
      </c>
      <c r="D534" s="19" t="inlineStr">
        <is>
          <t>INDUSTRIAL FENCE INC.</t>
        </is>
      </c>
      <c r="E534" s="20" t="inlineStr">
        <is>
          <t>#3 Invoices    Exhibit B - Direct Voucher to pay for emergency repairs rendered from 2025.  Remove &amp; Reinstall Damaged Gate &amp; Fence Line - Exhibit B</t>
        </is>
      </c>
      <c r="F534" s="21" t="n">
        <v>159731.09</v>
      </c>
      <c r="G534" s="19" t="inlineStr">
        <is>
          <t>1. Pending New Contract - Original Contract Expired. New Contract in Process</t>
        </is>
      </c>
      <c r="H534" s="19" t="inlineStr">
        <is>
          <t>D. Solicitation Response Under Evaluation</t>
        </is>
      </c>
      <c r="I534" s="19" t="inlineStr">
        <is>
          <t>APPROVED</t>
        </is>
      </c>
      <c r="J534" s="19" t="inlineStr">
        <is>
          <t>Yes</t>
        </is>
      </c>
      <c r="K534" s="19" t="inlineStr">
        <is>
          <t>No</t>
        </is>
      </c>
      <c r="L534" s="19" t="inlineStr"/>
      <c r="M534" s="19" t="inlineStr">
        <is>
          <t>RX596048</t>
        </is>
      </c>
      <c r="N534" s="19" t="inlineStr">
        <is>
          <t>E</t>
        </is>
      </c>
      <c r="O534" s="20" t="inlineStr">
        <is>
          <t>No linkage found in awarded contract file</t>
        </is>
      </c>
      <c r="P534" s="19" t="inlineStr"/>
      <c r="Q534" s="19" t="inlineStr"/>
      <c r="R534" s="31" t="inlineStr"/>
      <c r="S534" s="19" t="inlineStr"/>
      <c r="T534" s="19" t="inlineStr">
        <is>
          <t>No</t>
        </is>
      </c>
      <c r="U534" s="19" t="inlineStr">
        <is>
          <t>No</t>
        </is>
      </c>
      <c r="V534" s="19" t="inlineStr">
        <is>
          <t>No</t>
        </is>
      </c>
      <c r="W534" s="19" t="inlineStr">
        <is>
          <t>Yes</t>
        </is>
      </c>
    </row>
    <row r="535">
      <c r="A535" s="19" t="n">
        <v>710107</v>
      </c>
      <c r="B535" s="31" t="n">
        <v>46048</v>
      </c>
      <c r="C535" s="19" t="inlineStr">
        <is>
          <t>CHICAGO DEPARTMENT OF AVIATION</t>
        </is>
      </c>
      <c r="D535" s="19" t="inlineStr">
        <is>
          <t>ARLINGTON GLASS &amp; MIRROR</t>
        </is>
      </c>
      <c r="E535" s="20" t="inlineStr">
        <is>
          <t>#5 Invoices  $242,660.23  Transferred from APRF No. 505880.  Replace broken glass at Rotunda, H&amp;R plant, T3 UL vestibule 3H, and bullet resistant pMOD to audit invoices kf 1.23.26</t>
        </is>
      </c>
      <c r="F535" s="21" t="n">
        <v>242660.23</v>
      </c>
      <c r="G535" s="19" t="inlineStr">
        <is>
          <t>1. Pending New Contract - Original Contract Expired. New Contract in Process</t>
        </is>
      </c>
      <c r="H535" s="19" t="inlineStr">
        <is>
          <t>B. City Law Review</t>
        </is>
      </c>
      <c r="I535" s="19" t="inlineStr">
        <is>
          <t>APPROVED</t>
        </is>
      </c>
      <c r="J535" s="19" t="inlineStr">
        <is>
          <t>Yes</t>
        </is>
      </c>
      <c r="K535" s="19" t="inlineStr">
        <is>
          <t>No</t>
        </is>
      </c>
      <c r="L535" s="19" t="inlineStr">
        <is>
          <t>None yet</t>
        </is>
      </c>
      <c r="M535" s="19" t="inlineStr">
        <is>
          <t>VDARLINGTON GLASS MIRROR</t>
        </is>
      </c>
      <c r="N535" s="19" t="inlineStr">
        <is>
          <t>E</t>
        </is>
      </c>
      <c r="O535" s="20" t="inlineStr">
        <is>
          <t>No linkage found in awarded contract file</t>
        </is>
      </c>
      <c r="P535" s="19" t="inlineStr"/>
      <c r="Q535" s="19" t="inlineStr"/>
      <c r="R535" s="31" t="inlineStr"/>
      <c r="S535" s="19" t="inlineStr"/>
      <c r="T535" s="19" t="inlineStr">
        <is>
          <t>No</t>
        </is>
      </c>
      <c r="U535" s="19" t="inlineStr">
        <is>
          <t>No</t>
        </is>
      </c>
      <c r="V535" s="19" t="inlineStr">
        <is>
          <t>No</t>
        </is>
      </c>
      <c r="W535" s="19" t="inlineStr">
        <is>
          <t>Yes</t>
        </is>
      </c>
    </row>
    <row r="536">
      <c r="A536" s="19" t="n">
        <v>709259</v>
      </c>
      <c r="B536" s="31" t="n">
        <v>46044</v>
      </c>
      <c r="C536" s="19" t="inlineStr">
        <is>
          <t>DEPARTMENT OF FLEET AND FACILITY MANAGEMENT</t>
        </is>
      </c>
      <c r="D536" s="19" t="inlineStr">
        <is>
          <t>AGAE CONTRACTORS, INC.</t>
        </is>
      </c>
      <c r="E536" s="20" t="inlineStr">
        <is>
          <t>AGAE CONTRACTORS 50570038 A   JS/ WA/ Invoice S3340-1/ $624.95/ Signs for Parking Lot/ WO 5234360/ BAT CAVE-EAST 136 W CARROL AVE</t>
        </is>
      </c>
      <c r="F536" s="21" t="n">
        <v>624.95</v>
      </c>
      <c r="G536" s="19" t="inlineStr">
        <is>
          <t>1. Pending New Contract - Original Contract Expired. New Contract in Process</t>
        </is>
      </c>
      <c r="H536" s="19" t="inlineStr">
        <is>
          <t>A. Specification Development Phase</t>
        </is>
      </c>
      <c r="I536" s="19" t="inlineStr">
        <is>
          <t>APPROVED</t>
        </is>
      </c>
      <c r="J536" s="19" t="inlineStr">
        <is>
          <t>Yes</t>
        </is>
      </c>
      <c r="K536" s="19" t="inlineStr">
        <is>
          <t>No</t>
        </is>
      </c>
      <c r="L536" s="19" t="inlineStr"/>
      <c r="M536" s="19" t="inlineStr">
        <is>
          <t>RX607736</t>
        </is>
      </c>
      <c r="N536" s="19" t="inlineStr">
        <is>
          <t>E</t>
        </is>
      </c>
      <c r="O536" s="20" t="inlineStr">
        <is>
          <t>No linkage found in awarded contract file</t>
        </is>
      </c>
      <c r="P536" s="19" t="inlineStr"/>
      <c r="Q536" s="19" t="inlineStr"/>
      <c r="R536" s="31" t="inlineStr"/>
      <c r="S536" s="19" t="inlineStr"/>
      <c r="T536" s="19" t="inlineStr">
        <is>
          <t>No</t>
        </is>
      </c>
      <c r="U536" s="19" t="inlineStr">
        <is>
          <t>No</t>
        </is>
      </c>
      <c r="V536" s="19" t="inlineStr">
        <is>
          <t>No</t>
        </is>
      </c>
      <c r="W536" s="19" t="inlineStr">
        <is>
          <t>Yes</t>
        </is>
      </c>
    </row>
    <row r="537">
      <c r="A537" s="19" t="n">
        <v>737668</v>
      </c>
      <c r="B537" s="31" t="n">
        <v>46197</v>
      </c>
      <c r="C537" s="19" t="inlineStr">
        <is>
          <t>DEPARTMENT OF FLEET AND FACILITY MANAGEMENT</t>
        </is>
      </c>
      <c r="D537" s="19" t="inlineStr">
        <is>
          <t>Grove Street Boat Marina LLC dba Canal Street Marina LLC</t>
        </is>
      </c>
      <c r="E537" s="20" t="inlineStr">
        <is>
          <t>CANAL STREET MARINA 52850021 B   JS/ BJ/ Invoice # INV24720/ $480.00/FDG636/ WO 2628044/ Launch boat at Canal Marina Locks closed</t>
        </is>
      </c>
      <c r="F537" s="21" t="n">
        <v>480</v>
      </c>
      <c r="G537" s="19" t="inlineStr">
        <is>
          <t>1. Pending New Contract - Original Contract Expired. New Contract in Process</t>
        </is>
      </c>
      <c r="H537" s="19" t="inlineStr">
        <is>
          <t>A. Specification Development Phase</t>
        </is>
      </c>
      <c r="I537" s="19" t="inlineStr">
        <is>
          <t>APPROVED</t>
        </is>
      </c>
      <c r="J537" s="19" t="inlineStr">
        <is>
          <t>No</t>
        </is>
      </c>
      <c r="K537" s="19" t="inlineStr">
        <is>
          <t>No</t>
        </is>
      </c>
      <c r="L537" s="19" t="inlineStr"/>
      <c r="M537" s="19" t="inlineStr">
        <is>
          <t>RX689541</t>
        </is>
      </c>
      <c r="N537" s="19" t="inlineStr">
        <is>
          <t>E</t>
        </is>
      </c>
      <c r="O537" s="20" t="inlineStr">
        <is>
          <t>No linkage found in awarded contract file</t>
        </is>
      </c>
      <c r="P537" s="19" t="inlineStr"/>
      <c r="Q537" s="19" t="inlineStr"/>
      <c r="R537" s="31" t="inlineStr"/>
      <c r="S537" s="19" t="inlineStr"/>
      <c r="T537" s="19" t="inlineStr">
        <is>
          <t>No</t>
        </is>
      </c>
      <c r="U537" s="19" t="inlineStr">
        <is>
          <t>No</t>
        </is>
      </c>
      <c r="V537" s="19" t="inlineStr">
        <is>
          <t>No</t>
        </is>
      </c>
      <c r="W537" s="19" t="inlineStr">
        <is>
          <t>No</t>
        </is>
      </c>
    </row>
    <row r="538">
      <c r="A538" s="19" t="n">
        <v>736398</v>
      </c>
      <c r="B538" s="31" t="n">
        <v>46189</v>
      </c>
      <c r="C538" s="19" t="inlineStr">
        <is>
          <t>DEPARTMENT OF FLEET AND FACILITY MANAGEMENT</t>
        </is>
      </c>
      <c r="D538" s="19" t="inlineStr">
        <is>
          <t>R4 SERVICES, LLC.</t>
        </is>
      </c>
      <c r="E538" s="20" t="inlineStr">
        <is>
          <t>R4 Services 1042280 A  JS/ EJ/ Payment of Invoice # A406592/ $41,303.47/ April 2026</t>
        </is>
      </c>
      <c r="F538" s="21" t="n">
        <v>41303.47</v>
      </c>
      <c r="G538" s="19" t="inlineStr">
        <is>
          <t>1. Pending New Contract - Original Contract Expired. New Contract in Process</t>
        </is>
      </c>
      <c r="H538" s="19" t="inlineStr">
        <is>
          <t>E. ROA - (Recommendation of Award)</t>
        </is>
      </c>
      <c r="I538" s="19" t="inlineStr">
        <is>
          <t>APPROVED</t>
        </is>
      </c>
      <c r="J538" s="19" t="inlineStr">
        <is>
          <t>Yes</t>
        </is>
      </c>
      <c r="K538" s="19" t="inlineStr">
        <is>
          <t>No</t>
        </is>
      </c>
      <c r="L538" s="19" t="inlineStr">
        <is>
          <t>No</t>
        </is>
      </c>
      <c r="M538" s="19" t="inlineStr">
        <is>
          <t>RX425669</t>
        </is>
      </c>
      <c r="N538" s="19" t="inlineStr">
        <is>
          <t>E</t>
        </is>
      </c>
      <c r="O538" s="20" t="inlineStr">
        <is>
          <t>No linkage found in awarded contract file</t>
        </is>
      </c>
      <c r="P538" s="19" t="inlineStr"/>
      <c r="Q538" s="19" t="inlineStr"/>
      <c r="R538" s="31" t="inlineStr"/>
      <c r="S538" s="19" t="inlineStr"/>
      <c r="T538" s="19" t="inlineStr">
        <is>
          <t>No</t>
        </is>
      </c>
      <c r="U538" s="19" t="inlineStr">
        <is>
          <t>No</t>
        </is>
      </c>
      <c r="V538" s="19" t="inlineStr">
        <is>
          <t>No</t>
        </is>
      </c>
      <c r="W538" s="19" t="inlineStr">
        <is>
          <t>Yes</t>
        </is>
      </c>
    </row>
    <row r="539">
      <c r="A539" s="19" t="n">
        <v>711526</v>
      </c>
      <c r="B539" s="31" t="n">
        <v>46052</v>
      </c>
      <c r="C539" s="19" t="inlineStr">
        <is>
          <t>DEPARTMENT OF FLEET AND FACILITY MANAGEMENT</t>
        </is>
      </c>
      <c r="D539" s="19" t="inlineStr">
        <is>
          <t>CHARLES EQUIPMENT ENERGY SYSTEMS LLC</t>
        </is>
      </c>
      <c r="E539" s="20" t="inlineStr">
        <is>
          <t>Charles Equipment  A  JS/ AH/ Invoice # 17732/ $6,084.40/ Dec 2024/ CPD 1st Dist/ Z4/ 5193014/q4487</t>
        </is>
      </c>
      <c r="F539" s="21" t="n">
        <v>6084.4</v>
      </c>
      <c r="G539" s="19" t="inlineStr">
        <is>
          <t>1. Pending New Contract - Original Contract Expired. New Contract in Process</t>
        </is>
      </c>
      <c r="H539" s="19" t="inlineStr">
        <is>
          <t>A. Specification Development Phase</t>
        </is>
      </c>
      <c r="I539" s="19" t="inlineStr">
        <is>
          <t>APPROVED</t>
        </is>
      </c>
      <c r="J539" s="19" t="inlineStr">
        <is>
          <t>Yes</t>
        </is>
      </c>
      <c r="K539" s="19" t="inlineStr">
        <is>
          <t>No</t>
        </is>
      </c>
      <c r="L539" s="19" t="inlineStr"/>
      <c r="M539" s="19" t="inlineStr">
        <is>
          <t>RX622326</t>
        </is>
      </c>
      <c r="N539" s="19" t="inlineStr">
        <is>
          <t>E</t>
        </is>
      </c>
      <c r="O539" s="20" t="inlineStr">
        <is>
          <t>No linkage found in awarded contract file</t>
        </is>
      </c>
      <c r="P539" s="19" t="inlineStr"/>
      <c r="Q539" s="19" t="inlineStr"/>
      <c r="R539" s="31" t="inlineStr"/>
      <c r="S539" s="19" t="inlineStr"/>
      <c r="T539" s="19" t="inlineStr">
        <is>
          <t>No</t>
        </is>
      </c>
      <c r="U539" s="19" t="inlineStr">
        <is>
          <t>No</t>
        </is>
      </c>
      <c r="V539" s="19" t="inlineStr">
        <is>
          <t>No</t>
        </is>
      </c>
      <c r="W539" s="19" t="inlineStr">
        <is>
          <t>Yes</t>
        </is>
      </c>
    </row>
    <row r="540">
      <c r="A540" s="19" t="n">
        <v>711531</v>
      </c>
      <c r="B540" s="31" t="n">
        <v>46052</v>
      </c>
      <c r="C540" s="19" t="inlineStr">
        <is>
          <t>DEPARTMENT OF FLEET AND FACILITY MANAGEMENT</t>
        </is>
      </c>
      <c r="D540" s="19" t="inlineStr">
        <is>
          <t>CHARLES EQUIPMENT ENERGY SYSTEMS LLC</t>
        </is>
      </c>
      <c r="E540" s="20" t="inlineStr">
        <is>
          <t>Charles Equipment 157247 A  JS/ AH/ Invoice # 18411/ $8,016.00/ Apr 25/1st Dist/ 5215199/Q4525/Z4</t>
        </is>
      </c>
      <c r="F540" s="21" t="n">
        <v>8016</v>
      </c>
      <c r="G540" s="19" t="inlineStr">
        <is>
          <t>1. Pending New Contract - Original Contract Expired. New Contract in Process</t>
        </is>
      </c>
      <c r="H540" s="19" t="inlineStr">
        <is>
          <t>A. Specification Development Phase</t>
        </is>
      </c>
      <c r="I540" s="19" t="inlineStr">
        <is>
          <t>APPROVED</t>
        </is>
      </c>
      <c r="J540" s="19" t="inlineStr">
        <is>
          <t>Yes</t>
        </is>
      </c>
      <c r="K540" s="19" t="inlineStr">
        <is>
          <t>No</t>
        </is>
      </c>
      <c r="L540" s="19" t="inlineStr"/>
      <c r="M540" s="19" t="inlineStr">
        <is>
          <t>RX622326</t>
        </is>
      </c>
      <c r="N540" s="19" t="inlineStr">
        <is>
          <t>E</t>
        </is>
      </c>
      <c r="O540" s="20" t="inlineStr">
        <is>
          <t>No linkage found in awarded contract file</t>
        </is>
      </c>
      <c r="P540" s="19" t="inlineStr"/>
      <c r="Q540" s="19" t="inlineStr"/>
      <c r="R540" s="31" t="inlineStr"/>
      <c r="S540" s="19" t="inlineStr"/>
      <c r="T540" s="19" t="inlineStr">
        <is>
          <t>No</t>
        </is>
      </c>
      <c r="U540" s="19" t="inlineStr">
        <is>
          <t>No</t>
        </is>
      </c>
      <c r="V540" s="19" t="inlineStr">
        <is>
          <t>No</t>
        </is>
      </c>
      <c r="W540" s="19" t="inlineStr">
        <is>
          <t>Yes</t>
        </is>
      </c>
    </row>
    <row r="541">
      <c r="A541" s="19" t="n">
        <v>711539</v>
      </c>
      <c r="B541" s="31" t="n">
        <v>46058</v>
      </c>
      <c r="C541" s="19" t="inlineStr">
        <is>
          <t>DEPARTMENT OF FLEET AND FACILITY MANAGEMENT</t>
        </is>
      </c>
      <c r="D541" s="19" t="inlineStr">
        <is>
          <t>ABM INDUSTRY GROUPS, LLC</t>
        </is>
      </c>
      <c r="E541" s="20" t="inlineStr">
        <is>
          <t>ABM  1062984 A  JS/ AH/ 8-INVOICES/ $50,178.25/ Snow &amp; Labor Hours</t>
        </is>
      </c>
      <c r="F541" s="21" t="n">
        <v>50178.25</v>
      </c>
      <c r="G541" s="19" t="inlineStr">
        <is>
          <t>1. Pending New Contract - Original Contract Expired. New Contract in Process</t>
        </is>
      </c>
      <c r="H541" s="19" t="inlineStr">
        <is>
          <t>A. Specification Development Phase</t>
        </is>
      </c>
      <c r="I541" s="19" t="inlineStr">
        <is>
          <t>APPROVED</t>
        </is>
      </c>
      <c r="J541" s="19" t="inlineStr">
        <is>
          <t>Yes</t>
        </is>
      </c>
      <c r="K541" s="19" t="inlineStr">
        <is>
          <t>No</t>
        </is>
      </c>
      <c r="L541" s="19" t="inlineStr">
        <is>
          <t>No</t>
        </is>
      </c>
      <c r="M541" s="19" t="inlineStr">
        <is>
          <t>RX624331</t>
        </is>
      </c>
      <c r="N541" s="19" t="inlineStr">
        <is>
          <t>E</t>
        </is>
      </c>
      <c r="O541" s="20" t="inlineStr">
        <is>
          <t>No linkage found in awarded contract file</t>
        </is>
      </c>
      <c r="P541" s="19" t="inlineStr"/>
      <c r="Q541" s="19" t="inlineStr"/>
      <c r="R541" s="31" t="inlineStr"/>
      <c r="S541" s="19" t="inlineStr"/>
      <c r="T541" s="19" t="inlineStr">
        <is>
          <t>No</t>
        </is>
      </c>
      <c r="U541" s="19" t="inlineStr">
        <is>
          <t>No</t>
        </is>
      </c>
      <c r="V541" s="19" t="inlineStr">
        <is>
          <t>No</t>
        </is>
      </c>
      <c r="W541" s="19" t="inlineStr">
        <is>
          <t>Yes</t>
        </is>
      </c>
    </row>
    <row r="542">
      <c r="A542" s="19" t="n">
        <v>710068</v>
      </c>
      <c r="B542" s="31" t="n">
        <v>46048</v>
      </c>
      <c r="C542" s="19" t="inlineStr">
        <is>
          <t>DEPARTMENT OF FLEET AND FACILITY MANAGEMENT</t>
        </is>
      </c>
      <c r="D542" s="19" t="inlineStr">
        <is>
          <t>Helicopters, Inc.</t>
        </is>
      </c>
      <c r="E542" s="20" t="inlineStr">
        <is>
          <t>Helicopter 10633647 A    JS/ BJ/ 6-Invoices/ $18,010.22/ PD911Z/ WO 2603623/ ASR</t>
        </is>
      </c>
      <c r="F542" s="21" t="n">
        <v>18010.22</v>
      </c>
      <c r="G542" s="19" t="inlineStr">
        <is>
          <t>1. Pending New Contract - Original Contract Expired. New Contract in Process</t>
        </is>
      </c>
      <c r="H542" s="19" t="inlineStr">
        <is>
          <t>B. City Law Review</t>
        </is>
      </c>
      <c r="I542" s="19" t="inlineStr">
        <is>
          <t>APPROVED</t>
        </is>
      </c>
      <c r="J542" s="19" t="inlineStr">
        <is>
          <t>No</t>
        </is>
      </c>
      <c r="K542" s="19" t="inlineStr">
        <is>
          <t>Yes</t>
        </is>
      </c>
      <c r="L542" s="19" t="inlineStr">
        <is>
          <t>TBD</t>
        </is>
      </c>
      <c r="M542" s="19" t="inlineStr">
        <is>
          <t>RX690671</t>
        </is>
      </c>
      <c r="N542" s="19" t="inlineStr">
        <is>
          <t>A</t>
        </is>
      </c>
      <c r="O542" s="20" t="inlineStr">
        <is>
          <t>Requisition ID link: Exhibit B new-contract RX = awarded REQ</t>
        </is>
      </c>
      <c r="P542" s="19" t="inlineStr">
        <is>
          <t>386844</t>
        </is>
      </c>
      <c r="Q542" s="19" t="inlineStr">
        <is>
          <t>Helicopters, Inc.</t>
        </is>
      </c>
      <c r="R542" s="31" t="n">
        <v>46203</v>
      </c>
      <c r="S542" s="19" t="inlineStr">
        <is>
          <t>EMERGENCY</t>
        </is>
      </c>
      <c r="T542" s="19" t="inlineStr">
        <is>
          <t>No</t>
        </is>
      </c>
      <c r="U542" s="19" t="inlineStr">
        <is>
          <t>Yes</t>
        </is>
      </c>
      <c r="V542" s="19" t="inlineStr">
        <is>
          <t>No</t>
        </is>
      </c>
      <c r="W542" s="19" t="inlineStr">
        <is>
          <t>No</t>
        </is>
      </c>
    </row>
    <row r="543">
      <c r="A543" s="19" t="n">
        <v>741733</v>
      </c>
      <c r="B543" s="31" t="n">
        <v>46224</v>
      </c>
      <c r="C543" s="19" t="inlineStr">
        <is>
          <t>DEPARTMENT OF FLEET AND FACILITY MANAGEMENT</t>
        </is>
      </c>
      <c r="D543" s="19" t="inlineStr">
        <is>
          <t>ABM JANITORIAL SERVICES</t>
        </is>
      </c>
      <c r="E543" s="20" t="inlineStr">
        <is>
          <t>ABM 1062984 B  JS/ VJ/ 10-Invoices/ $1,026,304.54/ May 2026/ 2FM</t>
        </is>
      </c>
      <c r="F543" s="21" t="n">
        <v>0</v>
      </c>
      <c r="G543" s="19" t="inlineStr">
        <is>
          <t>1. Pending New Contract - Original Contract Expired. New Contract in Process</t>
        </is>
      </c>
      <c r="H543" s="19" t="inlineStr">
        <is>
          <t>A. Specification Development Phase</t>
        </is>
      </c>
      <c r="I543" s="19" t="inlineStr"/>
      <c r="J543" s="19" t="inlineStr">
        <is>
          <t>Yes</t>
        </is>
      </c>
      <c r="K543" s="19" t="inlineStr">
        <is>
          <t>No</t>
        </is>
      </c>
      <c r="L543" s="19" t="inlineStr"/>
      <c r="M543" s="19" t="inlineStr">
        <is>
          <t>RX624331</t>
        </is>
      </c>
      <c r="N543" s="19" t="inlineStr">
        <is>
          <t>E</t>
        </is>
      </c>
      <c r="O543" s="20" t="inlineStr">
        <is>
          <t>No linkage found in awarded contract file</t>
        </is>
      </c>
      <c r="P543" s="19" t="inlineStr"/>
      <c r="Q543" s="19" t="inlineStr"/>
      <c r="R543" s="31" t="inlineStr"/>
      <c r="S543" s="19" t="inlineStr"/>
      <c r="T543" s="19" t="inlineStr">
        <is>
          <t>No</t>
        </is>
      </c>
      <c r="U543" s="19" t="inlineStr">
        <is>
          <t>No</t>
        </is>
      </c>
      <c r="V543" s="19" t="inlineStr">
        <is>
          <t>No</t>
        </is>
      </c>
      <c r="W543" s="19" t="inlineStr">
        <is>
          <t>Yes</t>
        </is>
      </c>
    </row>
    <row r="544">
      <c r="A544" s="19" t="n">
        <v>723815</v>
      </c>
      <c r="B544" s="31" t="n">
        <v>46133</v>
      </c>
      <c r="C544" s="19" t="inlineStr">
        <is>
          <t>DEPARTMENT OF FLEET AND FACILITY MANAGEMENT</t>
        </is>
      </c>
      <c r="D544" s="19" t="inlineStr">
        <is>
          <t>ARLINGTON GLASS &amp; MIRROR</t>
        </is>
      </c>
      <c r="E544" s="20" t="inlineStr">
        <is>
          <t>Arlington Glass 50089341 A  JS/ WA/ Invoice 75154/ $114.40/ South Chicago Library</t>
        </is>
      </c>
      <c r="F544" s="21" t="n">
        <v>114.4</v>
      </c>
      <c r="G544" s="19" t="inlineStr">
        <is>
          <t>1. Pending New Contract - Original Contract Expired. New Contract in Process</t>
        </is>
      </c>
      <c r="H544" s="19" t="inlineStr">
        <is>
          <t>A. Specification Development Phase</t>
        </is>
      </c>
      <c r="I544" s="19" t="inlineStr">
        <is>
          <t>APPROVED</t>
        </is>
      </c>
      <c r="J544" s="19" t="inlineStr">
        <is>
          <t>Yes</t>
        </is>
      </c>
      <c r="K544" s="19" t="inlineStr">
        <is>
          <t>No</t>
        </is>
      </c>
      <c r="L544" s="19" t="inlineStr"/>
      <c r="M544" s="19" t="inlineStr">
        <is>
          <t>RX647383</t>
        </is>
      </c>
      <c r="N544" s="19" t="inlineStr">
        <is>
          <t>E</t>
        </is>
      </c>
      <c r="O544" s="20" t="inlineStr">
        <is>
          <t>No linkage found in awarded contract file</t>
        </is>
      </c>
      <c r="P544" s="19" t="inlineStr"/>
      <c r="Q544" s="19" t="inlineStr"/>
      <c r="R544" s="31" t="inlineStr"/>
      <c r="S544" s="19" t="inlineStr"/>
      <c r="T544" s="19" t="inlineStr">
        <is>
          <t>No</t>
        </is>
      </c>
      <c r="U544" s="19" t="inlineStr">
        <is>
          <t>No</t>
        </is>
      </c>
      <c r="V544" s="19" t="inlineStr">
        <is>
          <t>No</t>
        </is>
      </c>
      <c r="W544" s="19" t="inlineStr">
        <is>
          <t>Yes</t>
        </is>
      </c>
    </row>
    <row r="545">
      <c r="A545" s="19" t="n">
        <v>729672</v>
      </c>
      <c r="B545" s="31" t="n">
        <v>46150</v>
      </c>
      <c r="C545" s="19" t="inlineStr">
        <is>
          <t>CHICAGO DEPARTMENT OF AVIATION</t>
        </is>
      </c>
      <c r="D545" s="19" t="inlineStr">
        <is>
          <t>DTN, LLC</t>
        </is>
      </c>
      <c r="E545" s="20" t="inlineStr">
        <is>
          <t>March 2026 Weather Forecast Services- Midway- To pay for invoice # 210-00278152 for $1,998.00</t>
        </is>
      </c>
      <c r="F545" s="21" t="n">
        <v>1998</v>
      </c>
      <c r="G545" s="19" t="inlineStr">
        <is>
          <t>1. Pending New Contract - Original Contract Expired. New Contract in Process</t>
        </is>
      </c>
      <c r="H545" s="19" t="inlineStr">
        <is>
          <t>D. Solicitation Response Under Evaluation</t>
        </is>
      </c>
      <c r="I545" s="19" t="inlineStr">
        <is>
          <t>APPROVED</t>
        </is>
      </c>
      <c r="J545" s="19" t="inlineStr">
        <is>
          <t>No</t>
        </is>
      </c>
      <c r="K545" s="19" t="inlineStr">
        <is>
          <t>No</t>
        </is>
      </c>
      <c r="L545" s="19" t="inlineStr"/>
      <c r="M545" s="19" t="inlineStr">
        <is>
          <t>RX682208</t>
        </is>
      </c>
      <c r="N545" s="19" t="inlineStr">
        <is>
          <t>E</t>
        </is>
      </c>
      <c r="O545" s="20" t="inlineStr">
        <is>
          <t>No linkage found in awarded contract file</t>
        </is>
      </c>
      <c r="P545" s="19" t="inlineStr"/>
      <c r="Q545" s="19" t="inlineStr"/>
      <c r="R545" s="31" t="inlineStr"/>
      <c r="S545" s="19" t="inlineStr"/>
      <c r="T545" s="19" t="inlineStr">
        <is>
          <t>No</t>
        </is>
      </c>
      <c r="U545" s="19" t="inlineStr">
        <is>
          <t>No</t>
        </is>
      </c>
      <c r="V545" s="19" t="inlineStr">
        <is>
          <t>No</t>
        </is>
      </c>
      <c r="W545" s="19" t="inlineStr">
        <is>
          <t>No</t>
        </is>
      </c>
    </row>
    <row r="546">
      <c r="A546" s="19" t="n">
        <v>742211</v>
      </c>
      <c r="B546" s="31" t="n">
        <v>46226</v>
      </c>
      <c r="C546" s="19" t="inlineStr">
        <is>
          <t>CHICAGO POLICE DEPARTMENT</t>
        </is>
      </c>
      <c r="D546" s="19" t="inlineStr">
        <is>
          <t>Volcanic Bikes</t>
        </is>
      </c>
      <c r="E546" s="20" t="inlineStr">
        <is>
          <t>Volcanic Bike Inv-1333 $173,853</t>
        </is>
      </c>
      <c r="F546" s="21" t="n">
        <v>173853</v>
      </c>
      <c r="G546" s="19" t="inlineStr">
        <is>
          <t>1. Pending New Contract - Original Contract Expired. New Contract in Process</t>
        </is>
      </c>
      <c r="H546" s="19" t="inlineStr">
        <is>
          <t>B. City Law Review</t>
        </is>
      </c>
      <c r="I546" s="19" t="inlineStr">
        <is>
          <t>APPROVED</t>
        </is>
      </c>
      <c r="J546" s="19" t="inlineStr">
        <is>
          <t>No</t>
        </is>
      </c>
      <c r="K546" s="19" t="inlineStr">
        <is>
          <t>No</t>
        </is>
      </c>
      <c r="L546" s="19" t="inlineStr"/>
      <c r="M546" s="19" t="inlineStr">
        <is>
          <t>RX713262</t>
        </is>
      </c>
      <c r="N546" s="19" t="inlineStr">
        <is>
          <t>E</t>
        </is>
      </c>
      <c r="O546" s="20" t="inlineStr">
        <is>
          <t>No linkage found in awarded contract file</t>
        </is>
      </c>
      <c r="P546" s="19" t="inlineStr"/>
      <c r="Q546" s="19" t="inlineStr"/>
      <c r="R546" s="31" t="inlineStr"/>
      <c r="S546" s="19" t="inlineStr"/>
      <c r="T546" s="19" t="inlineStr">
        <is>
          <t>No</t>
        </is>
      </c>
      <c r="U546" s="19" t="inlineStr">
        <is>
          <t>No</t>
        </is>
      </c>
      <c r="V546" s="19" t="inlineStr">
        <is>
          <t>No</t>
        </is>
      </c>
      <c r="W546" s="19" t="inlineStr">
        <is>
          <t>No</t>
        </is>
      </c>
    </row>
    <row r="547">
      <c r="A547" s="19" t="n">
        <v>710469</v>
      </c>
      <c r="B547" s="31" t="n">
        <v>46048</v>
      </c>
      <c r="C547" s="19" t="inlineStr">
        <is>
          <t>CHICAGO DEPARTMENT OF PUBLIC HEALTH</t>
        </is>
      </c>
      <c r="D547" s="19" t="inlineStr">
        <is>
          <t>BOARD OF TRUSTEES OF THE UNIV. OF ILLINOIS</t>
        </is>
      </c>
      <c r="E547" s="20" t="inlineStr">
        <is>
          <t>Community Services, (Testing and Vaccine Services) December 2025</t>
        </is>
      </c>
      <c r="F547" s="21" t="n">
        <v>69415.23</v>
      </c>
      <c r="G547" s="19" t="inlineStr">
        <is>
          <t>1. Pending New Contract - Original Contract Expired. New Contract in Process</t>
        </is>
      </c>
      <c r="H547" s="19" t="inlineStr">
        <is>
          <t>A. Specification Development Phase</t>
        </is>
      </c>
      <c r="I547" s="19" t="inlineStr">
        <is>
          <t>APPROVED</t>
        </is>
      </c>
      <c r="J547" s="19" t="inlineStr">
        <is>
          <t>Yes</t>
        </is>
      </c>
      <c r="K547" s="19" t="inlineStr">
        <is>
          <t>No</t>
        </is>
      </c>
      <c r="L547" s="19" t="inlineStr">
        <is>
          <t>na</t>
        </is>
      </c>
      <c r="M547" s="19" t="inlineStr">
        <is>
          <t>VDBOARD TRUSTEES UNIV ILLINOIS</t>
        </is>
      </c>
      <c r="N547" s="19" t="inlineStr">
        <is>
          <t>E</t>
        </is>
      </c>
      <c r="O547" s="20" t="inlineStr">
        <is>
          <t>No linkage found in awarded contract file</t>
        </is>
      </c>
      <c r="P547" s="19" t="inlineStr"/>
      <c r="Q547" s="19" t="inlineStr"/>
      <c r="R547" s="31" t="inlineStr"/>
      <c r="S547" s="19" t="inlineStr"/>
      <c r="T547" s="19" t="inlineStr">
        <is>
          <t>No</t>
        </is>
      </c>
      <c r="U547" s="19" t="inlineStr">
        <is>
          <t>No</t>
        </is>
      </c>
      <c r="V547" s="19" t="inlineStr">
        <is>
          <t>No</t>
        </is>
      </c>
      <c r="W547" s="19" t="inlineStr">
        <is>
          <t>Yes</t>
        </is>
      </c>
    </row>
    <row r="548">
      <c r="A548" s="19" t="n">
        <v>725315</v>
      </c>
      <c r="B548" s="31" t="n">
        <v>46135</v>
      </c>
      <c r="C548" s="19" t="inlineStr">
        <is>
          <t>DEPARTMENT OF PLANNING AND DEVELOPMENT</t>
        </is>
      </c>
      <c r="D548" s="19" t="inlineStr">
        <is>
          <t>GREATER ILLINOIS TITLE CO. INC.</t>
        </is>
      </c>
      <c r="E548" s="20" t="inlineStr">
        <is>
          <t>Purchase 279 Title Commitments @ $275.00 each per file (city-owned) from Greater Illinois Title Co; PO #49308</t>
        </is>
      </c>
      <c r="F548" s="21" t="n">
        <v>77675</v>
      </c>
      <c r="G548" s="19" t="inlineStr">
        <is>
          <t>1. Pending New Contract - Original Contract Expired. New Contract in Process</t>
        </is>
      </c>
      <c r="H548" s="19" t="inlineStr">
        <is>
          <t>A. Specification Development Phase</t>
        </is>
      </c>
      <c r="I548" s="19" t="inlineStr">
        <is>
          <t>APPROVED</t>
        </is>
      </c>
      <c r="J548" s="19" t="inlineStr">
        <is>
          <t>Yes</t>
        </is>
      </c>
      <c r="K548" s="19" t="inlineStr">
        <is>
          <t>No</t>
        </is>
      </c>
      <c r="L548" s="19" t="inlineStr"/>
      <c r="M548" s="19" t="inlineStr">
        <is>
          <t>RX522404</t>
        </is>
      </c>
      <c r="N548" s="19" t="inlineStr">
        <is>
          <t>E</t>
        </is>
      </c>
      <c r="O548" s="20" t="inlineStr">
        <is>
          <t>No linkage found in awarded contract file</t>
        </is>
      </c>
      <c r="P548" s="19" t="inlineStr"/>
      <c r="Q548" s="19" t="inlineStr"/>
      <c r="R548" s="31" t="inlineStr"/>
      <c r="S548" s="19" t="inlineStr"/>
      <c r="T548" s="19" t="inlineStr">
        <is>
          <t>No</t>
        </is>
      </c>
      <c r="U548" s="19" t="inlineStr">
        <is>
          <t>No</t>
        </is>
      </c>
      <c r="V548" s="19" t="inlineStr">
        <is>
          <t>No</t>
        </is>
      </c>
      <c r="W548" s="19" t="inlineStr">
        <is>
          <t>Yes</t>
        </is>
      </c>
    </row>
    <row r="549">
      <c r="A549" s="19" t="n">
        <v>733620</v>
      </c>
      <c r="B549" s="31" t="n">
        <v>46174</v>
      </c>
      <c r="C549" s="19" t="inlineStr">
        <is>
          <t>CHICAGO DEPARTMENT OF AVIATION</t>
        </is>
      </c>
      <c r="D549" s="19" t="inlineStr">
        <is>
          <t>P. R. STREICH &amp; SONS</t>
        </is>
      </c>
      <c r="E549" s="20" t="inlineStr">
        <is>
          <t>Supplies and Labor</t>
        </is>
      </c>
      <c r="F549" s="21" t="n">
        <v>404724.23</v>
      </c>
      <c r="G549" s="19" t="inlineStr">
        <is>
          <t>3. One Time Purchase</t>
        </is>
      </c>
      <c r="H549" s="19" t="inlineStr">
        <is>
          <t>H. One Time Purchase</t>
        </is>
      </c>
      <c r="I549" s="19" t="inlineStr">
        <is>
          <t>APPROVED</t>
        </is>
      </c>
      <c r="J549" s="19" t="inlineStr">
        <is>
          <t>No</t>
        </is>
      </c>
      <c r="K549" s="19" t="inlineStr">
        <is>
          <t>No</t>
        </is>
      </c>
      <c r="L549" s="19" t="inlineStr"/>
      <c r="M549" s="19" t="inlineStr">
        <is>
          <t>VDP R STREICH SONS</t>
        </is>
      </c>
      <c r="N549" s="19" t="inlineStr">
        <is>
          <t>E</t>
        </is>
      </c>
      <c r="O549" s="20" t="inlineStr">
        <is>
          <t>No linkage found in awarded contract file</t>
        </is>
      </c>
      <c r="P549" s="19" t="inlineStr"/>
      <c r="Q549" s="19" t="inlineStr"/>
      <c r="R549" s="31" t="inlineStr"/>
      <c r="S549" s="19" t="inlineStr"/>
      <c r="T549" s="19" t="inlineStr">
        <is>
          <t>No</t>
        </is>
      </c>
      <c r="U549" s="19" t="inlineStr">
        <is>
          <t>No</t>
        </is>
      </c>
      <c r="V549" s="19" t="inlineStr">
        <is>
          <t>No</t>
        </is>
      </c>
      <c r="W549" s="19" t="inlineStr">
        <is>
          <t>No</t>
        </is>
      </c>
    </row>
    <row r="550">
      <c r="A550" s="19" t="n">
        <v>731136</v>
      </c>
      <c r="B550" s="31" t="n">
        <v>46161</v>
      </c>
      <c r="C550" s="19" t="inlineStr">
        <is>
          <t>CHICAGO DEPARTMENT OF AVIATION</t>
        </is>
      </c>
      <c r="D550" s="19" t="inlineStr">
        <is>
          <t>BLUETRITON BRANDS INC</t>
        </is>
      </c>
      <c r="E550" s="20" t="inlineStr">
        <is>
          <t>Account Number: 6710421194 - Office Supplies Account Number: 0122238496 - Office Supplies</t>
        </is>
      </c>
      <c r="F550" s="21" t="n">
        <v>4747.49</v>
      </c>
      <c r="G550" s="19" t="inlineStr">
        <is>
          <t>1. Pending New Contract - Original Contract Expired. New Contract in Process</t>
        </is>
      </c>
      <c r="H550" s="19" t="inlineStr">
        <is>
          <t>A. Specification Development Phase</t>
        </is>
      </c>
      <c r="I550" s="19" t="inlineStr">
        <is>
          <t>APPROVED</t>
        </is>
      </c>
      <c r="J550" s="19" t="inlineStr">
        <is>
          <t>No</t>
        </is>
      </c>
      <c r="K550" s="19" t="inlineStr">
        <is>
          <t>No</t>
        </is>
      </c>
      <c r="L550" s="19" t="inlineStr"/>
      <c r="M550" s="19" t="inlineStr">
        <is>
          <t>VDBLUETRITON BRANDS</t>
        </is>
      </c>
      <c r="N550" s="19" t="inlineStr">
        <is>
          <t>E</t>
        </is>
      </c>
      <c r="O550" s="20" t="inlineStr">
        <is>
          <t>No linkage found in awarded contract file</t>
        </is>
      </c>
      <c r="P550" s="19" t="inlineStr"/>
      <c r="Q550" s="19" t="inlineStr"/>
      <c r="R550" s="31" t="inlineStr"/>
      <c r="S550" s="19" t="inlineStr"/>
      <c r="T550" s="19" t="inlineStr">
        <is>
          <t>No</t>
        </is>
      </c>
      <c r="U550" s="19" t="inlineStr">
        <is>
          <t>No</t>
        </is>
      </c>
      <c r="V550" s="19" t="inlineStr">
        <is>
          <t>No</t>
        </is>
      </c>
      <c r="W550" s="19" t="inlineStr">
        <is>
          <t>No</t>
        </is>
      </c>
    </row>
    <row r="551">
      <c r="A551" s="19" t="n">
        <v>742847</v>
      </c>
      <c r="B551" s="31" t="n">
        <v>46241</v>
      </c>
      <c r="C551" s="19" t="inlineStr">
        <is>
          <t>CHICAGO DEPARTMENT OF TRANSPORTATION</t>
        </is>
      </c>
      <c r="D551" s="19" t="inlineStr">
        <is>
          <t>AECOM TECHNICAL SERVICES</t>
        </is>
      </c>
      <c r="E551" s="20" t="inlineStr">
        <is>
          <t>31st Street Viaduct over Metra/ICRR - Exhibit B payment request for AECOM (PO #47573 - Rel 5)</t>
        </is>
      </c>
      <c r="F551" s="21" t="n">
        <v>13656.95</v>
      </c>
      <c r="G551" s="19" t="inlineStr">
        <is>
          <t>4. Invoice Reconciliation - Invoice Received after Contract Expiration</t>
        </is>
      </c>
      <c r="H551" s="19" t="inlineStr">
        <is>
          <t>G. Not Applicable (Office Depot use Only)</t>
        </is>
      </c>
      <c r="I551" s="19" t="inlineStr">
        <is>
          <t>APPROVED</t>
        </is>
      </c>
      <c r="J551" s="19" t="inlineStr">
        <is>
          <t>No</t>
        </is>
      </c>
      <c r="K551" s="19" t="inlineStr">
        <is>
          <t>Yes</t>
        </is>
      </c>
      <c r="L551" s="19" t="n">
        <v>47573</v>
      </c>
      <c r="M551" s="19" t="inlineStr">
        <is>
          <t>VDAECOM TECHNICAL</t>
        </is>
      </c>
      <c r="N551" s="19" t="inlineStr">
        <is>
          <t>E</t>
        </is>
      </c>
      <c r="O551" s="20" t="inlineStr">
        <is>
          <t>No linkage found in awarded contract file</t>
        </is>
      </c>
      <c r="P551" s="19" t="inlineStr"/>
      <c r="Q551" s="19" t="inlineStr"/>
      <c r="R551" s="31" t="inlineStr"/>
      <c r="S551" s="19" t="inlineStr"/>
      <c r="T551" s="19" t="inlineStr">
        <is>
          <t>No</t>
        </is>
      </c>
      <c r="U551" s="19" t="inlineStr">
        <is>
          <t>No</t>
        </is>
      </c>
      <c r="V551" s="19" t="inlineStr">
        <is>
          <t>No</t>
        </is>
      </c>
      <c r="W551" s="19" t="inlineStr">
        <is>
          <t>No</t>
        </is>
      </c>
    </row>
    <row r="552">
      <c r="A552" s="19" t="n">
        <v>746544</v>
      </c>
      <c r="B552" s="31" t="n">
        <v>46253</v>
      </c>
      <c r="C552" s="19" t="inlineStr">
        <is>
          <t>DEPARTMENT OF PLANNING AND DEVELOPMENT</t>
        </is>
      </c>
      <c r="D552" s="19" t="inlineStr">
        <is>
          <t>COSTAR REALTY INFORMATION, INC</t>
        </is>
      </c>
      <c r="E552" s="20" t="inlineStr">
        <is>
          <t>CoStar Aug 2026 Invoice</t>
        </is>
      </c>
      <c r="F552" s="21" t="n">
        <v>0</v>
      </c>
      <c r="G552" s="19" t="inlineStr"/>
      <c r="H552" s="19" t="inlineStr"/>
      <c r="I552" s="19" t="inlineStr"/>
      <c r="J552" s="19" t="inlineStr"/>
      <c r="K552" s="19" t="inlineStr">
        <is>
          <t>No</t>
        </is>
      </c>
      <c r="L552" s="19" t="inlineStr"/>
      <c r="M552" s="19" t="inlineStr">
        <is>
          <t>VDCOSTAR REALTY INFORMATION</t>
        </is>
      </c>
      <c r="N552" s="19" t="inlineStr">
        <is>
          <t>E</t>
        </is>
      </c>
      <c r="O552" s="20" t="inlineStr">
        <is>
          <t>No linkage found in awarded contract file</t>
        </is>
      </c>
      <c r="P552" s="19" t="inlineStr"/>
      <c r="Q552" s="19" t="inlineStr"/>
      <c r="R552" s="31" t="inlineStr"/>
      <c r="S552" s="19" t="inlineStr"/>
      <c r="T552" s="19" t="inlineStr">
        <is>
          <t>No</t>
        </is>
      </c>
      <c r="U552" s="19" t="inlineStr">
        <is>
          <t>No</t>
        </is>
      </c>
      <c r="V552" s="19" t="inlineStr">
        <is>
          <t>No</t>
        </is>
      </c>
      <c r="W552" s="19" t="inlineStr">
        <is>
          <t>No</t>
        </is>
      </c>
    </row>
    <row r="553">
      <c r="A553" s="19" t="n">
        <v>743622</v>
      </c>
      <c r="B553" s="31" t="n">
        <v>46238</v>
      </c>
      <c r="C553" s="19" t="inlineStr">
        <is>
          <t>DEPARTMENT OF FLEET AND FACILITY MANAGEMENT</t>
        </is>
      </c>
      <c r="D553" s="19" t="inlineStr">
        <is>
          <t>ACORN GARAGE INC</t>
        </is>
      </c>
      <c r="E553" s="20" t="inlineStr">
        <is>
          <t>JK/ MM/ invoices #204406/204825 / $156.00</t>
        </is>
      </c>
      <c r="F553" s="21" t="n">
        <v>156</v>
      </c>
      <c r="G553" s="19" t="inlineStr">
        <is>
          <t>1. Pending New Contract - Original Contract Expired. New Contract in Process</t>
        </is>
      </c>
      <c r="H553" s="19" t="inlineStr">
        <is>
          <t>B. City Law Review</t>
        </is>
      </c>
      <c r="I553" s="19" t="inlineStr">
        <is>
          <t>APPROVED</t>
        </is>
      </c>
      <c r="J553" s="19" t="inlineStr">
        <is>
          <t>Yes</t>
        </is>
      </c>
      <c r="K553" s="19" t="inlineStr">
        <is>
          <t>No</t>
        </is>
      </c>
      <c r="L553" s="19" t="inlineStr"/>
      <c r="M553" s="19" t="inlineStr">
        <is>
          <t>RX636139</t>
        </is>
      </c>
      <c r="N553" s="19" t="inlineStr">
        <is>
          <t>E</t>
        </is>
      </c>
      <c r="O553" s="20" t="inlineStr">
        <is>
          <t>No linkage found in awarded contract file</t>
        </is>
      </c>
      <c r="P553" s="19" t="inlineStr"/>
      <c r="Q553" s="19" t="inlineStr"/>
      <c r="R553" s="31" t="inlineStr"/>
      <c r="S553" s="19" t="inlineStr"/>
      <c r="T553" s="19" t="inlineStr">
        <is>
          <t>No</t>
        </is>
      </c>
      <c r="U553" s="19" t="inlineStr">
        <is>
          <t>No</t>
        </is>
      </c>
      <c r="V553" s="19" t="inlineStr">
        <is>
          <t>No</t>
        </is>
      </c>
      <c r="W553" s="19" t="inlineStr">
        <is>
          <t>Yes</t>
        </is>
      </c>
    </row>
    <row r="554">
      <c r="A554" s="19" t="n">
        <v>741134</v>
      </c>
      <c r="B554" s="31" t="n">
        <v>46220</v>
      </c>
      <c r="C554" s="19" t="inlineStr">
        <is>
          <t>DEPARTMENT OF FLEET AND FACILITY MANAGEMENT</t>
        </is>
      </c>
      <c r="D554" s="19" t="inlineStr">
        <is>
          <t>TOTAL FACILITY MAINTENANCE</t>
        </is>
      </c>
      <c r="E554" s="20" t="inlineStr">
        <is>
          <t>JK/ VJ/ JAN 2026/ SNOW/ $28532.16</t>
        </is>
      </c>
      <c r="F554" s="21" t="n">
        <v>28532.16</v>
      </c>
      <c r="G554" s="19" t="inlineStr">
        <is>
          <t>1. Pending New Contract - Original Contract Expired. New Contract in Process</t>
        </is>
      </c>
      <c r="H554" s="19" t="inlineStr">
        <is>
          <t>B. City Law Review</t>
        </is>
      </c>
      <c r="I554" s="19" t="inlineStr">
        <is>
          <t>APPROVED</t>
        </is>
      </c>
      <c r="J554" s="19" t="inlineStr">
        <is>
          <t>Yes</t>
        </is>
      </c>
      <c r="K554" s="19" t="inlineStr">
        <is>
          <t>No</t>
        </is>
      </c>
      <c r="L554" s="19" t="inlineStr"/>
      <c r="M554" s="19" t="inlineStr">
        <is>
          <t>RX624331</t>
        </is>
      </c>
      <c r="N554" s="19" t="inlineStr">
        <is>
          <t>E</t>
        </is>
      </c>
      <c r="O554" s="20" t="inlineStr">
        <is>
          <t>No linkage found in awarded contract file</t>
        </is>
      </c>
      <c r="P554" s="19" t="inlineStr"/>
      <c r="Q554" s="19" t="inlineStr"/>
      <c r="R554" s="31" t="inlineStr"/>
      <c r="S554" s="19" t="inlineStr"/>
      <c r="T554" s="19" t="inlineStr">
        <is>
          <t>No</t>
        </is>
      </c>
      <c r="U554" s="19" t="inlineStr">
        <is>
          <t>No</t>
        </is>
      </c>
      <c r="V554" s="19" t="inlineStr">
        <is>
          <t>No</t>
        </is>
      </c>
      <c r="W554" s="19" t="inlineStr">
        <is>
          <t>Yes</t>
        </is>
      </c>
    </row>
    <row r="555">
      <c r="A555" s="19" t="n">
        <v>741989</v>
      </c>
      <c r="B555" s="31" t="n">
        <v>46226</v>
      </c>
      <c r="C555" s="19" t="inlineStr">
        <is>
          <t>DEPARTMENT OF FLEET AND FACILITY MANAGEMENT</t>
        </is>
      </c>
      <c r="D555" s="19" t="inlineStr">
        <is>
          <t>ABC Humane Wildlife Control &amp; Prevention, Inc.</t>
        </is>
      </c>
      <c r="E555" s="20" t="inlineStr">
        <is>
          <t>ABC HUMANE/ JK/ VJ/ 6-INVOICES/ 18,807.79</t>
        </is>
      </c>
      <c r="F555" s="21" t="n">
        <v>18807.79</v>
      </c>
      <c r="G555" s="19" t="inlineStr">
        <is>
          <t>1. Pending New Contract - Original Contract Expired. New Contract in Process</t>
        </is>
      </c>
      <c r="H555" s="19" t="inlineStr">
        <is>
          <t>A. Specification Development Phase</t>
        </is>
      </c>
      <c r="I555" s="19" t="inlineStr">
        <is>
          <t>APPROVED</t>
        </is>
      </c>
      <c r="J555" s="19" t="inlineStr">
        <is>
          <t>No</t>
        </is>
      </c>
      <c r="K555" s="19" t="inlineStr">
        <is>
          <t>No</t>
        </is>
      </c>
      <c r="L555" s="19" t="inlineStr"/>
      <c r="M555" s="19" t="inlineStr">
        <is>
          <t>RX682957</t>
        </is>
      </c>
      <c r="N555" s="19" t="inlineStr">
        <is>
          <t>E</t>
        </is>
      </c>
      <c r="O555" s="20" t="inlineStr">
        <is>
          <t>No linkage found in awarded contract file</t>
        </is>
      </c>
      <c r="P555" s="19" t="inlineStr"/>
      <c r="Q555" s="19" t="inlineStr"/>
      <c r="R555" s="31" t="inlineStr"/>
      <c r="S555" s="19" t="inlineStr"/>
      <c r="T555" s="19" t="inlineStr">
        <is>
          <t>No</t>
        </is>
      </c>
      <c r="U555" s="19" t="inlineStr">
        <is>
          <t>No</t>
        </is>
      </c>
      <c r="V555" s="19" t="inlineStr">
        <is>
          <t>No</t>
        </is>
      </c>
      <c r="W555" s="19" t="inlineStr">
        <is>
          <t>No</t>
        </is>
      </c>
    </row>
    <row r="556">
      <c r="A556" s="19" t="n">
        <v>718718</v>
      </c>
      <c r="B556" s="31" t="n">
        <v>46101</v>
      </c>
      <c r="C556" s="19" t="inlineStr">
        <is>
          <t>OFFICE OF EMERGENCY MANAGEMENT AND COMMUNICATIONS</t>
        </is>
      </c>
      <c r="D556" s="19" t="inlineStr">
        <is>
          <t>EQUIPMENT DEPOT OF ILLINOIS INC</t>
        </is>
      </c>
      <c r="E556" s="20" t="inlineStr">
        <is>
          <t>SVC ORDE#W00980681, W00980669 &amp; W00980680</t>
        </is>
      </c>
      <c r="F556" s="21" t="n">
        <v>0</v>
      </c>
      <c r="G556" s="19" t="inlineStr">
        <is>
          <t>3. One Time Purchase</t>
        </is>
      </c>
      <c r="H556" s="19" t="inlineStr">
        <is>
          <t>H. One Time Purchase</t>
        </is>
      </c>
      <c r="I556" s="19" t="inlineStr"/>
      <c r="J556" s="19" t="inlineStr">
        <is>
          <t>Yes</t>
        </is>
      </c>
      <c r="K556" s="19" t="inlineStr">
        <is>
          <t>No</t>
        </is>
      </c>
      <c r="L556" s="19" t="inlineStr"/>
      <c r="M556" s="19" t="inlineStr">
        <is>
          <t>VDEQUIPMENT DEPOT ILLINOIS</t>
        </is>
      </c>
      <c r="N556" s="19" t="inlineStr">
        <is>
          <t>E</t>
        </is>
      </c>
      <c r="O556" s="20" t="inlineStr">
        <is>
          <t>No linkage found in awarded contract file</t>
        </is>
      </c>
      <c r="P556" s="19" t="inlineStr"/>
      <c r="Q556" s="19" t="inlineStr"/>
      <c r="R556" s="31" t="inlineStr"/>
      <c r="S556" s="19" t="inlineStr"/>
      <c r="T556" s="19" t="inlineStr">
        <is>
          <t>No</t>
        </is>
      </c>
      <c r="U556" s="19" t="inlineStr">
        <is>
          <t>No</t>
        </is>
      </c>
      <c r="V556" s="19" t="inlineStr">
        <is>
          <t>No</t>
        </is>
      </c>
      <c r="W556" s="19" t="inlineStr">
        <is>
          <t>No</t>
        </is>
      </c>
    </row>
    <row r="557">
      <c r="A557" s="19" t="n">
        <v>744483</v>
      </c>
      <c r="B557" s="31" t="n">
        <v>46241</v>
      </c>
      <c r="C557" s="19" t="inlineStr">
        <is>
          <t>DEPARTMENT OF TECHNOLOGY AND INNOVATION</t>
        </is>
      </c>
      <c r="D557" s="19" t="inlineStr">
        <is>
          <t>DLT SOLUTIONS LLC</t>
        </is>
      </c>
      <c r="E557" s="20" t="inlineStr">
        <is>
          <t>1- 2025 unpaid DLT invoice for Oracle Active Data Guard Processor. This invoice was received after the Finance cutoff received date of 02/27/2026</t>
        </is>
      </c>
      <c r="F557" s="21" t="n">
        <v>48673.35</v>
      </c>
      <c r="G557" s="19" t="inlineStr">
        <is>
          <t>4. Invoice Reconciliation - Invoice Received after Contract Expiration</t>
        </is>
      </c>
      <c r="H557" s="19" t="inlineStr">
        <is>
          <t>H. One Time Purchase</t>
        </is>
      </c>
      <c r="I557" s="19" t="inlineStr">
        <is>
          <t>APPROVED</t>
        </is>
      </c>
      <c r="J557" s="19" t="inlineStr">
        <is>
          <t>No</t>
        </is>
      </c>
      <c r="K557" s="19" t="inlineStr">
        <is>
          <t>No</t>
        </is>
      </c>
      <c r="L557" s="19" t="n">
        <v>336809</v>
      </c>
      <c r="M557" s="19" t="inlineStr">
        <is>
          <t>VDDLT SOLUTIONS</t>
        </is>
      </c>
      <c r="N557" s="19" t="inlineStr">
        <is>
          <t>A</t>
        </is>
      </c>
      <c r="O557" s="20" t="inlineStr">
        <is>
          <t>Contract number link: reported number = awarded PO</t>
        </is>
      </c>
      <c r="P557" s="19" t="inlineStr">
        <is>
          <t>387728</t>
        </is>
      </c>
      <c r="Q557" s="19" t="inlineStr">
        <is>
          <t>DLT SOLUTIONS LLC</t>
        </is>
      </c>
      <c r="R557" s="31" t="n">
        <v>46073</v>
      </c>
      <c r="S557" s="19" t="inlineStr">
        <is>
          <t>JOINT PURCHASE</t>
        </is>
      </c>
      <c r="T557" s="19" t="inlineStr">
        <is>
          <t>No</t>
        </is>
      </c>
      <c r="U557" s="19" t="inlineStr">
        <is>
          <t>No</t>
        </is>
      </c>
      <c r="V557" s="19" t="inlineStr">
        <is>
          <t>Yes</t>
        </is>
      </c>
      <c r="W557" s="19" t="inlineStr">
        <is>
          <t>No</t>
        </is>
      </c>
    </row>
    <row r="558">
      <c r="A558" s="19" t="n">
        <v>733294</v>
      </c>
      <c r="B558" s="31" t="n">
        <v>46177</v>
      </c>
      <c r="C558" s="19" t="inlineStr">
        <is>
          <t>DEPARTMENT OF WATER MANAGEMENT</t>
        </is>
      </c>
      <c r="D558" s="19" t="inlineStr">
        <is>
          <t>SUMIT CONSTRUCTION CO., INC.</t>
        </is>
      </c>
      <c r="E558" s="20" t="inlineStr">
        <is>
          <t>Street and Parkway Restoration North Region</t>
        </is>
      </c>
      <c r="F558" s="21" t="n">
        <v>938950.36</v>
      </c>
      <c r="G558" s="19" t="inlineStr">
        <is>
          <t>1. Pending New Contract - Original Contract Expired. New Contract in Process</t>
        </is>
      </c>
      <c r="H558" s="19" t="inlineStr">
        <is>
          <t>H. One Time Purchase</t>
        </is>
      </c>
      <c r="I558" s="19" t="inlineStr">
        <is>
          <t>APPROVED</t>
        </is>
      </c>
      <c r="J558" s="19" t="inlineStr">
        <is>
          <t>Yes</t>
        </is>
      </c>
      <c r="K558" s="19" t="inlineStr">
        <is>
          <t>Yes</t>
        </is>
      </c>
      <c r="L558" s="19" t="n">
        <v>305303</v>
      </c>
      <c r="M558" s="19" t="inlineStr">
        <is>
          <t>RX492777</t>
        </is>
      </c>
      <c r="N558" s="19" t="inlineStr">
        <is>
          <t>C</t>
        </is>
      </c>
      <c r="O558" s="20" t="inlineStr">
        <is>
          <t>Vendor name match only (similarity 0.00)</t>
        </is>
      </c>
      <c r="P558" s="19" t="inlineStr">
        <is>
          <t>385131</t>
        </is>
      </c>
      <c r="Q558" s="19" t="inlineStr">
        <is>
          <t>SUMIT CONSTRUCTION CO., INC.</t>
        </is>
      </c>
      <c r="R558" s="31" t="n">
        <v>46127</v>
      </c>
      <c r="S558" s="19" t="inlineStr">
        <is>
          <t>BID</t>
        </is>
      </c>
      <c r="T558" s="19" t="inlineStr">
        <is>
          <t>Yes</t>
        </is>
      </c>
      <c r="U558" s="19" t="inlineStr">
        <is>
          <t>No</t>
        </is>
      </c>
      <c r="V558" s="19" t="inlineStr">
        <is>
          <t>No</t>
        </is>
      </c>
      <c r="W558" s="19" t="inlineStr">
        <is>
          <t>Yes</t>
        </is>
      </c>
    </row>
    <row r="559">
      <c r="A559" s="19" t="n">
        <v>740422</v>
      </c>
      <c r="B559" s="31" t="n">
        <v>46217</v>
      </c>
      <c r="C559" s="19" t="inlineStr">
        <is>
          <t>DEPARTMENT OF FLEET AND FACILITY MANAGEMENT</t>
        </is>
      </c>
      <c r="D559" s="19" t="inlineStr">
        <is>
          <t>TOTAL FACILITY MAINTENANCE</t>
        </is>
      </c>
      <c r="E559" s="20" t="inlineStr">
        <is>
          <t>WB/VJ/2 INVOICES/$159913.91</t>
        </is>
      </c>
      <c r="F559" s="21" t="n">
        <v>159913.91</v>
      </c>
      <c r="G559" s="19" t="inlineStr">
        <is>
          <t>1. Pending New Contract - Original Contract Expired. New Contract in Process</t>
        </is>
      </c>
      <c r="H559" s="19" t="inlineStr">
        <is>
          <t>B. City Law Review</t>
        </is>
      </c>
      <c r="I559" s="19" t="inlineStr">
        <is>
          <t>APPROVED</t>
        </is>
      </c>
      <c r="J559" s="19" t="inlineStr">
        <is>
          <t>Yes</t>
        </is>
      </c>
      <c r="K559" s="19" t="inlineStr">
        <is>
          <t>No</t>
        </is>
      </c>
      <c r="L559" s="19" t="inlineStr"/>
      <c r="M559" s="19" t="inlineStr">
        <is>
          <t>RX624331</t>
        </is>
      </c>
      <c r="N559" s="19" t="inlineStr">
        <is>
          <t>E</t>
        </is>
      </c>
      <c r="O559" s="20" t="inlineStr">
        <is>
          <t>No linkage found in awarded contract file</t>
        </is>
      </c>
      <c r="P559" s="19" t="inlineStr"/>
      <c r="Q559" s="19" t="inlineStr"/>
      <c r="R559" s="31" t="inlineStr"/>
      <c r="S559" s="19" t="inlineStr"/>
      <c r="T559" s="19" t="inlineStr">
        <is>
          <t>No</t>
        </is>
      </c>
      <c r="U559" s="19" t="inlineStr">
        <is>
          <t>No</t>
        </is>
      </c>
      <c r="V559" s="19" t="inlineStr">
        <is>
          <t>No</t>
        </is>
      </c>
      <c r="W559" s="19" t="inlineStr">
        <is>
          <t>Yes</t>
        </is>
      </c>
    </row>
    <row r="560">
      <c r="A560" s="19" t="n">
        <v>728184</v>
      </c>
      <c r="B560" s="31" t="n">
        <v>46146</v>
      </c>
      <c r="C560" s="19" t="inlineStr">
        <is>
          <t>DEPARTMENT OF BUSINESS AFFAIRS AND CONSUMER PROTECTION</t>
        </is>
      </c>
      <c r="D560" s="19" t="inlineStr">
        <is>
          <t>BLUETRITON BRANDS INC</t>
        </is>
      </c>
      <c r="E560" s="20" t="inlineStr">
        <is>
          <t>WATER for EXPO</t>
        </is>
      </c>
      <c r="F560" s="21" t="n">
        <v>36.45</v>
      </c>
      <c r="G560" s="19" t="inlineStr">
        <is>
          <t>1. Pending New Contract - Original Contract Expired. New Contract in Process</t>
        </is>
      </c>
      <c r="H560" s="19" t="inlineStr">
        <is>
          <t>C. Solicitation or Bidding Phase</t>
        </is>
      </c>
      <c r="I560" s="19" t="inlineStr">
        <is>
          <t>APPROVED</t>
        </is>
      </c>
      <c r="J560" s="19" t="inlineStr">
        <is>
          <t>No</t>
        </is>
      </c>
      <c r="K560" s="19" t="inlineStr">
        <is>
          <t>No</t>
        </is>
      </c>
      <c r="L560" s="19" t="inlineStr"/>
      <c r="M560" s="19" t="inlineStr">
        <is>
          <t>VDBLUETRITON BRANDS</t>
        </is>
      </c>
      <c r="N560" s="19" t="inlineStr">
        <is>
          <t>E</t>
        </is>
      </c>
      <c r="O560" s="20" t="inlineStr">
        <is>
          <t>No linkage found in awarded contract file</t>
        </is>
      </c>
      <c r="P560" s="19" t="inlineStr"/>
      <c r="Q560" s="19" t="inlineStr"/>
      <c r="R560" s="31" t="inlineStr"/>
      <c r="S560" s="19" t="inlineStr"/>
      <c r="T560" s="19" t="inlineStr">
        <is>
          <t>No</t>
        </is>
      </c>
      <c r="U560" s="19" t="inlineStr">
        <is>
          <t>No</t>
        </is>
      </c>
      <c r="V560" s="19" t="inlineStr">
        <is>
          <t>No</t>
        </is>
      </c>
      <c r="W560" s="19" t="inlineStr">
        <is>
          <t>No</t>
        </is>
      </c>
    </row>
    <row r="561">
      <c r="A561" s="19" t="n">
        <v>715287</v>
      </c>
      <c r="B561" s="31" t="n">
        <v>46093</v>
      </c>
      <c r="C561" s="19" t="inlineStr">
        <is>
          <t>DEPARTMENT OF BUILDINGS</t>
        </is>
      </c>
      <c r="D561" s="19" t="inlineStr">
        <is>
          <t>SEBIS DIRECT</t>
        </is>
      </c>
      <c r="E561" s="20" t="inlineStr">
        <is>
          <t>WEB HOSTING, PRINTING AND MAIL MANAGEMENT SERVICES FOR CITY BILLINGS; DOB, WATER, &amp; SEWER</t>
        </is>
      </c>
      <c r="F561" s="21" t="n">
        <v>0</v>
      </c>
      <c r="G561" s="19" t="inlineStr">
        <is>
          <t>2. Pending Amendment/Modification - Line Item Addition / Vendor Limit Increase / Scope Change</t>
        </is>
      </c>
      <c r="H561" s="19" t="inlineStr">
        <is>
          <t>F. SC - (Signature Cycle)</t>
        </is>
      </c>
      <c r="I561" s="19" t="inlineStr"/>
      <c r="J561" s="19" t="inlineStr">
        <is>
          <t>No</t>
        </is>
      </c>
      <c r="K561" s="19" t="inlineStr">
        <is>
          <t>No</t>
        </is>
      </c>
      <c r="L561" s="19" t="n">
        <v>28466</v>
      </c>
      <c r="M561" s="19" t="inlineStr">
        <is>
          <t>RX693953</t>
        </is>
      </c>
      <c r="N561" s="19" t="inlineStr">
        <is>
          <t>E</t>
        </is>
      </c>
      <c r="O561" s="20" t="inlineStr">
        <is>
          <t>No linkage found in awarded contract file</t>
        </is>
      </c>
      <c r="P561" s="19" t="inlineStr"/>
      <c r="Q561" s="19" t="inlineStr"/>
      <c r="R561" s="31" t="inlineStr"/>
      <c r="S561" s="19" t="inlineStr"/>
      <c r="T561" s="19" t="inlineStr">
        <is>
          <t>No</t>
        </is>
      </c>
      <c r="U561" s="19" t="inlineStr">
        <is>
          <t>No</t>
        </is>
      </c>
      <c r="V561" s="19" t="inlineStr">
        <is>
          <t>No</t>
        </is>
      </c>
      <c r="W561" s="19" t="inlineStr">
        <is>
          <t>No</t>
        </is>
      </c>
    </row>
    <row r="562">
      <c r="A562" s="19" t="n">
        <v>707116</v>
      </c>
      <c r="B562" s="31" t="n">
        <v>46027</v>
      </c>
      <c r="C562" s="19" t="inlineStr">
        <is>
          <t>DEPARTMENT OF BUILDINGS</t>
        </is>
      </c>
      <c r="D562" s="19" t="inlineStr">
        <is>
          <t>A &amp; D PROPERTY SERVICES, INC.</t>
        </is>
      </c>
      <c r="E562" s="20" t="inlineStr">
        <is>
          <t>BOARD UP SERVICES</t>
        </is>
      </c>
      <c r="F562" s="21" t="n">
        <v>57750</v>
      </c>
      <c r="G562" s="19" t="inlineStr">
        <is>
          <t>1. Pending New Contract - Original Contract Expired. New Contract in Process</t>
        </is>
      </c>
      <c r="H562" s="19" t="inlineStr">
        <is>
          <t>A. Specification Development Phase</t>
        </is>
      </c>
      <c r="I562" s="19" t="inlineStr">
        <is>
          <t>APPROVED</t>
        </is>
      </c>
      <c r="J562" s="19" t="inlineStr">
        <is>
          <t>Yes</t>
        </is>
      </c>
      <c r="K562" s="19" t="inlineStr">
        <is>
          <t>No</t>
        </is>
      </c>
      <c r="L562" s="19" t="n">
        <v>32040</v>
      </c>
      <c r="M562" s="19" t="inlineStr">
        <is>
          <t>RX659422</t>
        </is>
      </c>
      <c r="N562" s="19" t="inlineStr">
        <is>
          <t>E</t>
        </is>
      </c>
      <c r="O562" s="20" t="inlineStr">
        <is>
          <t>No linkage found in awarded contract file</t>
        </is>
      </c>
      <c r="P562" s="19" t="inlineStr"/>
      <c r="Q562" s="19" t="inlineStr"/>
      <c r="R562" s="31" t="inlineStr"/>
      <c r="S562" s="19" t="inlineStr"/>
      <c r="T562" s="19" t="inlineStr">
        <is>
          <t>No</t>
        </is>
      </c>
      <c r="U562" s="19" t="inlineStr">
        <is>
          <t>No</t>
        </is>
      </c>
      <c r="V562" s="19" t="inlineStr">
        <is>
          <t>No</t>
        </is>
      </c>
      <c r="W562" s="19" t="inlineStr">
        <is>
          <t>Yes</t>
        </is>
      </c>
    </row>
    <row r="563">
      <c r="A563" s="19" t="n">
        <v>716366</v>
      </c>
      <c r="B563" s="31" t="n">
        <v>46079</v>
      </c>
      <c r="C563" s="19" t="inlineStr">
        <is>
          <t>CHICAGO DEPARTMENT OF PUBLIC HEALTH</t>
        </is>
      </c>
      <c r="D563" s="19" t="inlineStr">
        <is>
          <t>CIS Support, Inc.</t>
        </is>
      </c>
      <c r="E563" s="20" t="inlineStr">
        <is>
          <t>CIS Maintenance/Support-February</t>
        </is>
      </c>
      <c r="F563" s="21" t="n">
        <v>5500</v>
      </c>
      <c r="G563" s="19" t="inlineStr">
        <is>
          <t>1. Pending New Contract - Original Contract Expired. New Contract in Process</t>
        </is>
      </c>
      <c r="H563" s="19" t="inlineStr">
        <is>
          <t>H. One Time Purchase</t>
        </is>
      </c>
      <c r="I563" s="19" t="inlineStr">
        <is>
          <t>APPROVED</t>
        </is>
      </c>
      <c r="J563" s="19" t="inlineStr">
        <is>
          <t>Yes</t>
        </is>
      </c>
      <c r="K563" s="19" t="inlineStr">
        <is>
          <t>No</t>
        </is>
      </c>
      <c r="L563" s="19" t="inlineStr"/>
      <c r="M563" s="19" t="inlineStr">
        <is>
          <t>VDCIS SUPPORT</t>
        </is>
      </c>
      <c r="N563" s="19" t="inlineStr">
        <is>
          <t>E</t>
        </is>
      </c>
      <c r="O563" s="20" t="inlineStr">
        <is>
          <t>No linkage found in awarded contract file</t>
        </is>
      </c>
      <c r="P563" s="19" t="inlineStr"/>
      <c r="Q563" s="19" t="inlineStr"/>
      <c r="R563" s="31" t="inlineStr"/>
      <c r="S563" s="19" t="inlineStr"/>
      <c r="T563" s="19" t="inlineStr">
        <is>
          <t>No</t>
        </is>
      </c>
      <c r="U563" s="19" t="inlineStr">
        <is>
          <t>No</t>
        </is>
      </c>
      <c r="V563" s="19" t="inlineStr">
        <is>
          <t>No</t>
        </is>
      </c>
      <c r="W563" s="19" t="inlineStr">
        <is>
          <t>Yes</t>
        </is>
      </c>
    </row>
    <row r="564">
      <c r="A564" s="19" t="n">
        <v>746756</v>
      </c>
      <c r="B564" s="31" t="n">
        <v>46253.66295138889</v>
      </c>
      <c r="C564" s="19" t="inlineStr">
        <is>
          <t>DEPARTMENT OF WATER MANAGEMENT</t>
        </is>
      </c>
      <c r="D564" s="19" t="inlineStr">
        <is>
          <t>JOHNSON CONTROLS FIRE PROTECTION LP</t>
        </is>
      </c>
      <c r="E564" s="20" t="inlineStr">
        <is>
          <t>ANNUAL FIREEXTINGUISHER INSPECTION.</t>
        </is>
      </c>
      <c r="F564" s="21" t="n">
        <v>3704.19</v>
      </c>
      <c r="G564" s="19" t="inlineStr">
        <is>
          <t>1. Pending New Contract - Original Contract Expired. New Contract in Process</t>
        </is>
      </c>
      <c r="H564" s="19" t="inlineStr">
        <is>
          <t>H. One Time Purchase</t>
        </is>
      </c>
      <c r="I564" s="19" t="inlineStr"/>
      <c r="J564" s="19" t="inlineStr">
        <is>
          <t>Yes</t>
        </is>
      </c>
      <c r="K564" s="19" t="inlineStr">
        <is>
          <t>No</t>
        </is>
      </c>
      <c r="L564" s="19" t="inlineStr"/>
      <c r="M564" s="19" t="inlineStr">
        <is>
          <t>RX612805</t>
        </is>
      </c>
      <c r="N564" s="19" t="inlineStr">
        <is>
          <t>E</t>
        </is>
      </c>
      <c r="O564" s="20" t="inlineStr">
        <is>
          <t>No linkage found in awarded contract file</t>
        </is>
      </c>
      <c r="P564" s="19" t="inlineStr"/>
      <c r="Q564" s="19" t="inlineStr"/>
      <c r="R564" s="31" t="inlineStr"/>
      <c r="S564" s="19" t="inlineStr"/>
      <c r="T564" s="19" t="inlineStr">
        <is>
          <t>No</t>
        </is>
      </c>
      <c r="U564" s="19" t="inlineStr">
        <is>
          <t>No</t>
        </is>
      </c>
      <c r="V564" s="19" t="inlineStr">
        <is>
          <t>No</t>
        </is>
      </c>
      <c r="W564" s="19" t="inlineStr">
        <is>
          <t>Yes</t>
        </is>
      </c>
    </row>
    <row r="565">
      <c r="A565" s="19" t="n">
        <v>720678</v>
      </c>
      <c r="B565" s="31" t="n">
        <v>46107</v>
      </c>
      <c r="C565" s="19" t="inlineStr">
        <is>
          <t>CHICAGO FIRE DEPARTMENT</t>
        </is>
      </c>
      <c r="D565" s="19" t="inlineStr">
        <is>
          <t>DS Services of America, Inc.</t>
        </is>
      </c>
      <c r="E565" s="20" t="inlineStr">
        <is>
          <t>FFIB Hinkley Springs $29,328.78</t>
        </is>
      </c>
      <c r="F565" s="21" t="n">
        <v>29328.78</v>
      </c>
      <c r="G565" s="19" t="inlineStr">
        <is>
          <t>1. Pending New Contract - Original Contract Expired. New Contract in Process</t>
        </is>
      </c>
      <c r="H565" s="19" t="inlineStr">
        <is>
          <t>B. City Law Review</t>
        </is>
      </c>
      <c r="I565" s="19" t="inlineStr">
        <is>
          <t>APPROVED</t>
        </is>
      </c>
      <c r="J565" s="19" t="inlineStr">
        <is>
          <t>No</t>
        </is>
      </c>
      <c r="K565" s="19" t="inlineStr">
        <is>
          <t>No</t>
        </is>
      </c>
      <c r="L565" s="19" t="inlineStr"/>
      <c r="M565" s="19" t="inlineStr">
        <is>
          <t>RX676831</t>
        </is>
      </c>
      <c r="N565" s="19" t="inlineStr">
        <is>
          <t>E</t>
        </is>
      </c>
      <c r="O565" s="20" t="inlineStr">
        <is>
          <t>No linkage found in awarded contract file</t>
        </is>
      </c>
      <c r="P565" s="19" t="inlineStr"/>
      <c r="Q565" s="19" t="inlineStr"/>
      <c r="R565" s="31" t="inlineStr"/>
      <c r="S565" s="19" t="inlineStr"/>
      <c r="T565" s="19" t="inlineStr">
        <is>
          <t>No</t>
        </is>
      </c>
      <c r="U565" s="19" t="inlineStr">
        <is>
          <t>No</t>
        </is>
      </c>
      <c r="V565" s="19" t="inlineStr">
        <is>
          <t>No</t>
        </is>
      </c>
      <c r="W565" s="19" t="inlineStr">
        <is>
          <t>No</t>
        </is>
      </c>
    </row>
    <row r="566">
      <c r="A566" s="19" t="n">
        <v>724832</v>
      </c>
      <c r="B566" s="31" t="n">
        <v>46126</v>
      </c>
      <c r="C566" s="19" t="inlineStr">
        <is>
          <t>DEPARTMENT OF FAMILY AND SUPPORT SERVICES</t>
        </is>
      </c>
      <c r="D566" s="19" t="inlineStr">
        <is>
          <t>Service Sanitation Inc.</t>
        </is>
      </c>
      <c r="E566" s="20" t="inlineStr">
        <is>
          <t>Aps 11189_SANITATION SERVICES</t>
        </is>
      </c>
      <c r="F566" s="21" t="n">
        <v>13920</v>
      </c>
      <c r="G566" s="19" t="inlineStr">
        <is>
          <t>2. Pending Amendment/Modification - Line Item Addition / Vendor Limit Increase / Scope Change</t>
        </is>
      </c>
      <c r="H566" s="19" t="inlineStr">
        <is>
          <t>G. Not Applicable (Office Depot use Only)</t>
        </is>
      </c>
      <c r="I566" s="19" t="inlineStr"/>
      <c r="J566" s="19" t="inlineStr">
        <is>
          <t>No</t>
        </is>
      </c>
      <c r="K566" s="19" t="inlineStr">
        <is>
          <t>No</t>
        </is>
      </c>
      <c r="L566" s="19" t="n">
        <v>104512</v>
      </c>
      <c r="M566" s="19" t="inlineStr">
        <is>
          <t>RX700212</t>
        </is>
      </c>
      <c r="N566" s="19" t="inlineStr">
        <is>
          <t>C</t>
        </is>
      </c>
      <c r="O566" s="20" t="inlineStr">
        <is>
          <t>Vendor name match only (similarity 0.00)</t>
        </is>
      </c>
      <c r="P566" s="19" t="inlineStr">
        <is>
          <t>381051</t>
        </is>
      </c>
      <c r="Q566" s="19" t="inlineStr">
        <is>
          <t>Service Sanitation Inc.</t>
        </is>
      </c>
      <c r="R566" s="31" t="n">
        <v>46203</v>
      </c>
      <c r="S566" s="19" t="inlineStr">
        <is>
          <t>BID</t>
        </is>
      </c>
      <c r="T566" s="19" t="inlineStr">
        <is>
          <t>Yes</t>
        </is>
      </c>
      <c r="U566" s="19" t="inlineStr">
        <is>
          <t>No</t>
        </is>
      </c>
      <c r="V566" s="19" t="inlineStr">
        <is>
          <t>No</t>
        </is>
      </c>
      <c r="W566" s="19" t="inlineStr">
        <is>
          <t>No</t>
        </is>
      </c>
    </row>
    <row r="567">
      <c r="A567" s="19" t="n">
        <v>746280</v>
      </c>
      <c r="B567" s="31" t="n">
        <v>46252</v>
      </c>
      <c r="C567" s="19" t="inlineStr">
        <is>
          <t>DEPARTMENT OF FLEET AND FACILITY MANAGEMENT</t>
        </is>
      </c>
      <c r="D567" s="19" t="inlineStr">
        <is>
          <t>RUNNION EQUIPMENT CO</t>
        </is>
      </c>
      <c r="E567" s="20" t="inlineStr">
        <is>
          <t>We currently do not have a contract in place due to City Utility (PO # 17836) no longer performing this work for us. These aerial bucket trucks are used by CDOT (street light and traffic signal installation and repair), Streets &amp; Sanitation</t>
        </is>
      </c>
      <c r="F567" s="21" t="n">
        <v>10151.28</v>
      </c>
      <c r="G567" s="19" t="inlineStr">
        <is>
          <t>1. Pending New Contract - Original Contract Expired. New Contract in Process</t>
        </is>
      </c>
      <c r="H567" s="19" t="inlineStr">
        <is>
          <t>B. City Law Review</t>
        </is>
      </c>
      <c r="I567" s="19" t="inlineStr">
        <is>
          <t>APPROVED</t>
        </is>
      </c>
      <c r="J567" s="19" t="inlineStr">
        <is>
          <t>Yes</t>
        </is>
      </c>
      <c r="K567" s="19" t="inlineStr">
        <is>
          <t>No</t>
        </is>
      </c>
      <c r="L567" s="19" t="inlineStr"/>
      <c r="M567" s="19" t="inlineStr">
        <is>
          <t>RX590958</t>
        </is>
      </c>
      <c r="N567" s="19" t="inlineStr">
        <is>
          <t>E</t>
        </is>
      </c>
      <c r="O567" s="20" t="inlineStr">
        <is>
          <t>No linkage found in awarded contract file</t>
        </is>
      </c>
      <c r="P567" s="19" t="inlineStr"/>
      <c r="Q567" s="19" t="inlineStr"/>
      <c r="R567" s="31" t="inlineStr"/>
      <c r="S567" s="19" t="inlineStr"/>
      <c r="T567" s="19" t="inlineStr">
        <is>
          <t>No</t>
        </is>
      </c>
      <c r="U567" s="19" t="inlineStr">
        <is>
          <t>No</t>
        </is>
      </c>
      <c r="V567" s="19" t="inlineStr">
        <is>
          <t>No</t>
        </is>
      </c>
      <c r="W567" s="19" t="inlineStr">
        <is>
          <t>Yes</t>
        </is>
      </c>
    </row>
    <row r="568">
      <c r="A568" s="19" t="n">
        <v>733627</v>
      </c>
      <c r="B568" s="31" t="n">
        <v>46174</v>
      </c>
      <c r="C568" s="19" t="inlineStr">
        <is>
          <t>DEPARTMENT OF FLEET AND FACILITY MANAGEMENT</t>
        </is>
      </c>
      <c r="D568" s="19" t="inlineStr">
        <is>
          <t>ROSS BARNEY ARCHITECTS, PC</t>
        </is>
      </c>
      <c r="E568" s="20" t="inlineStr">
        <is>
          <t>2FM developed Spec#1231994 Rx#607835 which will include these services and is currently with DPS . VLI not being honored by DPS due to Cardinal Rule Policy.</t>
        </is>
      </c>
      <c r="F568" s="21" t="n">
        <v>267708.12</v>
      </c>
      <c r="G568" s="19" t="inlineStr">
        <is>
          <t>1. Pending New Contract - Original Contract Expired. New Contract in Process</t>
        </is>
      </c>
      <c r="H568" s="19" t="inlineStr">
        <is>
          <t>A. Specification Development Phase</t>
        </is>
      </c>
      <c r="I568" s="19" t="inlineStr">
        <is>
          <t>APPROVED</t>
        </is>
      </c>
      <c r="J568" s="19" t="inlineStr">
        <is>
          <t>Yes</t>
        </is>
      </c>
      <c r="K568" s="19" t="inlineStr">
        <is>
          <t>No</t>
        </is>
      </c>
      <c r="L568" s="19" t="n">
        <v>32971</v>
      </c>
      <c r="M568" s="19" t="inlineStr">
        <is>
          <t>RX607835</t>
        </is>
      </c>
      <c r="N568" s="19" t="inlineStr">
        <is>
          <t>E</t>
        </is>
      </c>
      <c r="O568" s="20" t="inlineStr">
        <is>
          <t>No linkage found in awarded contract file</t>
        </is>
      </c>
      <c r="P568" s="19" t="inlineStr"/>
      <c r="Q568" s="19" t="inlineStr"/>
      <c r="R568" s="31" t="inlineStr"/>
      <c r="S568" s="19" t="inlineStr"/>
      <c r="T568" s="19" t="inlineStr">
        <is>
          <t>No</t>
        </is>
      </c>
      <c r="U568" s="19" t="inlineStr">
        <is>
          <t>No</t>
        </is>
      </c>
      <c r="V568" s="19" t="inlineStr">
        <is>
          <t>No</t>
        </is>
      </c>
      <c r="W568" s="19" t="inlineStr">
        <is>
          <t>Yes</t>
        </is>
      </c>
    </row>
    <row r="569">
      <c r="A569" s="19" t="n">
        <v>738303</v>
      </c>
      <c r="B569" s="31" t="n">
        <v>46203</v>
      </c>
      <c r="C569" s="19" t="inlineStr">
        <is>
          <t>DEPARTMENT OF FLEET AND FACILITY MANAGEMENT</t>
        </is>
      </c>
      <c r="D569" s="19" t="inlineStr">
        <is>
          <t>AGAE CONTRACTORS, INC.</t>
        </is>
      </c>
      <c r="E569" s="20" t="inlineStr">
        <is>
          <t>CDA Lead Dept. 2FM utlized PO#58539 for Repair, Replacement and Fabrication of Signage Systems for O'Hare and Midway International Airports. The contract expired 6/30/25. CDA submitted a time extension request to DPS, RX 655225 but vendor d</t>
        </is>
      </c>
      <c r="F569" s="21" t="n">
        <v>6102.13</v>
      </c>
      <c r="G569" s="19" t="inlineStr">
        <is>
          <t>1. Pending New Contract - Original Contract Expired. New Contract in Process</t>
        </is>
      </c>
      <c r="H569" s="19" t="inlineStr">
        <is>
          <t>C. Solicitation or Bidding Phase</t>
        </is>
      </c>
      <c r="I569" s="19" t="inlineStr">
        <is>
          <t>APPROVED</t>
        </is>
      </c>
      <c r="J569" s="19" t="inlineStr">
        <is>
          <t>Yes</t>
        </is>
      </c>
      <c r="K569" s="19" t="inlineStr">
        <is>
          <t>No</t>
        </is>
      </c>
      <c r="L569" s="19" t="inlineStr"/>
      <c r="M569" s="19" t="inlineStr">
        <is>
          <t>RX607736</t>
        </is>
      </c>
      <c r="N569" s="19" t="inlineStr">
        <is>
          <t>E</t>
        </is>
      </c>
      <c r="O569" s="20" t="inlineStr">
        <is>
          <t>No linkage found in awarded contract file</t>
        </is>
      </c>
      <c r="P569" s="19" t="inlineStr"/>
      <c r="Q569" s="19" t="inlineStr"/>
      <c r="R569" s="31" t="inlineStr"/>
      <c r="S569" s="19" t="inlineStr"/>
      <c r="T569" s="19" t="inlineStr">
        <is>
          <t>No</t>
        </is>
      </c>
      <c r="U569" s="19" t="inlineStr">
        <is>
          <t>No</t>
        </is>
      </c>
      <c r="V569" s="19" t="inlineStr">
        <is>
          <t>No</t>
        </is>
      </c>
      <c r="W569" s="19" t="inlineStr">
        <is>
          <t>Yes</t>
        </is>
      </c>
    </row>
    <row r="570">
      <c r="A570" s="19" t="n">
        <v>720623</v>
      </c>
      <c r="B570" s="31" t="n">
        <v>46107</v>
      </c>
      <c r="C570" s="19" t="inlineStr">
        <is>
          <t>DEPARTMENT OF FLEET AND FACILITY MANAGEMENT</t>
        </is>
      </c>
      <c r="D570" s="19" t="inlineStr">
        <is>
          <t>AGAE CONTRACTORS, INC.</t>
        </is>
      </c>
      <c r="E570" s="20" t="inlineStr">
        <is>
          <t>CDA Lead Dept. 2FM utlized PO#58539 for Repair, Replacement and Fabrication of Signage Systems for O'Hare and Midway International Airports. The contract expired 6/30/25. CDA submitted a time extension request to DPS, RX 655225 but vendor d</t>
        </is>
      </c>
      <c r="F570" s="21" t="n">
        <v>409.56</v>
      </c>
      <c r="G570" s="19" t="inlineStr">
        <is>
          <t>1. Pending New Contract - Original Contract Expired. New Contract in Process</t>
        </is>
      </c>
      <c r="H570" s="19" t="inlineStr">
        <is>
          <t>A. Specification Development Phase</t>
        </is>
      </c>
      <c r="I570" s="19" t="inlineStr">
        <is>
          <t>APPROVED</t>
        </is>
      </c>
      <c r="J570" s="19" t="inlineStr">
        <is>
          <t>Yes</t>
        </is>
      </c>
      <c r="K570" s="19" t="inlineStr">
        <is>
          <t>No</t>
        </is>
      </c>
      <c r="L570" s="19" t="inlineStr"/>
      <c r="M570" s="19" t="inlineStr">
        <is>
          <t>RX607736</t>
        </is>
      </c>
      <c r="N570" s="19" t="inlineStr">
        <is>
          <t>E</t>
        </is>
      </c>
      <c r="O570" s="20" t="inlineStr">
        <is>
          <t>No linkage found in awarded contract file</t>
        </is>
      </c>
      <c r="P570" s="19" t="inlineStr"/>
      <c r="Q570" s="19" t="inlineStr"/>
      <c r="R570" s="31" t="inlineStr"/>
      <c r="S570" s="19" t="inlineStr"/>
      <c r="T570" s="19" t="inlineStr">
        <is>
          <t>No</t>
        </is>
      </c>
      <c r="U570" s="19" t="inlineStr">
        <is>
          <t>No</t>
        </is>
      </c>
      <c r="V570" s="19" t="inlineStr">
        <is>
          <t>No</t>
        </is>
      </c>
      <c r="W570" s="19" t="inlineStr">
        <is>
          <t>Yes</t>
        </is>
      </c>
    </row>
    <row r="571">
      <c r="A571" s="19" t="n">
        <v>720612</v>
      </c>
      <c r="B571" s="31" t="n">
        <v>46107</v>
      </c>
      <c r="C571" s="19" t="inlineStr">
        <is>
          <t>DEPARTMENT OF FLEET AND FACILITY MANAGEMENT</t>
        </is>
      </c>
      <c r="D571" s="19" t="inlineStr">
        <is>
          <t>A &amp; R JANITORIAL SERVICE, INC.</t>
        </is>
      </c>
      <c r="E571" s="20" t="inlineStr">
        <is>
          <t>2FM previously submitted a modification request for a time extension and vendor limit increase (VLI) under RX 680</t>
        </is>
      </c>
      <c r="F571" s="21" t="n">
        <v>271330.58</v>
      </c>
      <c r="G571" s="19" t="inlineStr">
        <is>
          <t>1. Pending New Contract - Original Contract Expired. New Contract in Process</t>
        </is>
      </c>
      <c r="H571" s="19" t="inlineStr">
        <is>
          <t>A. Specification Development Phase</t>
        </is>
      </c>
      <c r="I571" s="19" t="inlineStr">
        <is>
          <t>APPROVED</t>
        </is>
      </c>
      <c r="J571" s="19" t="inlineStr">
        <is>
          <t>No</t>
        </is>
      </c>
      <c r="K571" s="19" t="inlineStr">
        <is>
          <t>No</t>
        </is>
      </c>
      <c r="L571" s="19" t="inlineStr"/>
      <c r="M571" s="19" t="inlineStr">
        <is>
          <t>RX624331</t>
        </is>
      </c>
      <c r="N571" s="19" t="inlineStr">
        <is>
          <t>E</t>
        </is>
      </c>
      <c r="O571" s="20" t="inlineStr">
        <is>
          <t>No linkage found in awarded contract file</t>
        </is>
      </c>
      <c r="P571" s="19" t="inlineStr"/>
      <c r="Q571" s="19" t="inlineStr"/>
      <c r="R571" s="31" t="inlineStr"/>
      <c r="S571" s="19" t="inlineStr"/>
      <c r="T571" s="19" t="inlineStr">
        <is>
          <t>No</t>
        </is>
      </c>
      <c r="U571" s="19" t="inlineStr">
        <is>
          <t>No</t>
        </is>
      </c>
      <c r="V571" s="19" t="inlineStr">
        <is>
          <t>No</t>
        </is>
      </c>
      <c r="W571" s="19" t="inlineStr">
        <is>
          <t>No</t>
        </is>
      </c>
    </row>
    <row r="572">
      <c r="A572" s="19" t="n">
        <v>744387</v>
      </c>
      <c r="B572" s="31" t="n">
        <v>46241</v>
      </c>
      <c r="C572" s="19" t="inlineStr">
        <is>
          <t>DEPARTMENT OF FLEET AND FACILITY MANAGEMENT</t>
        </is>
      </c>
      <c r="D572" s="19" t="inlineStr">
        <is>
          <t>P. R. STREICH &amp; SONS</t>
        </is>
      </c>
      <c r="E572" s="20" t="inlineStr">
        <is>
          <t>There is curently no active contract with a vendor to repair and certify the shop floor equipment. Our previous vendor, Standard Industrial (PO 24519) did not want to extend their contract. Due to this 2FM found a local vendor PR Streich to</t>
        </is>
      </c>
      <c r="F572" s="21" t="n">
        <v>13537.84</v>
      </c>
      <c r="G572" s="19" t="inlineStr">
        <is>
          <t>1. Pending New Contract - Original Contract Expired. New Contract in Process</t>
        </is>
      </c>
      <c r="H572" s="19" t="inlineStr">
        <is>
          <t>B. City Law Review</t>
        </is>
      </c>
      <c r="I572" s="19" t="inlineStr">
        <is>
          <t>APPROVED</t>
        </is>
      </c>
      <c r="J572" s="19" t="inlineStr">
        <is>
          <t>Yes</t>
        </is>
      </c>
      <c r="K572" s="19" t="inlineStr">
        <is>
          <t>No</t>
        </is>
      </c>
      <c r="L572" s="19" t="inlineStr">
        <is>
          <t>TBD</t>
        </is>
      </c>
      <c r="M572" s="19" t="inlineStr">
        <is>
          <t>RX679901</t>
        </is>
      </c>
      <c r="N572" s="19" t="inlineStr">
        <is>
          <t>E</t>
        </is>
      </c>
      <c r="O572" s="20" t="inlineStr">
        <is>
          <t>No linkage found in awarded contract file</t>
        </is>
      </c>
      <c r="P572" s="19" t="inlineStr"/>
      <c r="Q572" s="19" t="inlineStr"/>
      <c r="R572" s="31" t="inlineStr"/>
      <c r="S572" s="19" t="inlineStr"/>
      <c r="T572" s="19" t="inlineStr">
        <is>
          <t>No</t>
        </is>
      </c>
      <c r="U572" s="19" t="inlineStr">
        <is>
          <t>No</t>
        </is>
      </c>
      <c r="V572" s="19" t="inlineStr">
        <is>
          <t>No</t>
        </is>
      </c>
      <c r="W572" s="19" t="inlineStr">
        <is>
          <t>Yes</t>
        </is>
      </c>
    </row>
    <row r="573">
      <c r="A573" s="19" t="n">
        <v>728183</v>
      </c>
      <c r="B573" s="31" t="n">
        <v>46142</v>
      </c>
      <c r="C573" s="19" t="inlineStr">
        <is>
          <t>DEPARTMENT OF FLEET AND FACILITY MANAGEMENT</t>
        </is>
      </c>
      <c r="D573" s="19" t="inlineStr">
        <is>
          <t>P. R. STREICH &amp; SONS</t>
        </is>
      </c>
      <c r="E573" s="20" t="inlineStr">
        <is>
          <t>There is curently no active contract with a vendor to repair and certify the shop floor equipment. Our previous vendor, Standard Industrial (PO 24519) did not want to extend their contract. Due to this 2FM found a local vendor PR Streich to</t>
        </is>
      </c>
      <c r="F573" s="21" t="n">
        <v>2322.86</v>
      </c>
      <c r="G573" s="19" t="inlineStr">
        <is>
          <t>1. Pending New Contract - Original Contract Expired. New Contract in Process</t>
        </is>
      </c>
      <c r="H573" s="19" t="inlineStr">
        <is>
          <t>B. City Law Review</t>
        </is>
      </c>
      <c r="I573" s="19" t="inlineStr">
        <is>
          <t>APPROVED</t>
        </is>
      </c>
      <c r="J573" s="19" t="inlineStr">
        <is>
          <t>Yes</t>
        </is>
      </c>
      <c r="K573" s="19" t="inlineStr">
        <is>
          <t>No</t>
        </is>
      </c>
      <c r="L573" s="19" t="inlineStr">
        <is>
          <t>TBD</t>
        </is>
      </c>
      <c r="M573" s="19" t="inlineStr">
        <is>
          <t>RX679901</t>
        </is>
      </c>
      <c r="N573" s="19" t="inlineStr">
        <is>
          <t>E</t>
        </is>
      </c>
      <c r="O573" s="20" t="inlineStr">
        <is>
          <t>No linkage found in awarded contract file</t>
        </is>
      </c>
      <c r="P573" s="19" t="inlineStr"/>
      <c r="Q573" s="19" t="inlineStr"/>
      <c r="R573" s="31" t="inlineStr"/>
      <c r="S573" s="19" t="inlineStr"/>
      <c r="T573" s="19" t="inlineStr">
        <is>
          <t>No</t>
        </is>
      </c>
      <c r="U573" s="19" t="inlineStr">
        <is>
          <t>No</t>
        </is>
      </c>
      <c r="V573" s="19" t="inlineStr">
        <is>
          <t>No</t>
        </is>
      </c>
      <c r="W573" s="19" t="inlineStr">
        <is>
          <t>Yes</t>
        </is>
      </c>
    </row>
    <row r="574">
      <c r="A574" s="19" t="n">
        <v>722354</v>
      </c>
      <c r="B574" s="31" t="n">
        <v>46119</v>
      </c>
      <c r="C574" s="19" t="inlineStr">
        <is>
          <t>DEPARTMENT OF FLEET AND FACILITY MANAGEMENT</t>
        </is>
      </c>
      <c r="D574" s="19" t="inlineStr">
        <is>
          <t>ARLINGTON GLASS &amp; MIRROR</t>
        </is>
      </c>
      <c r="E574" s="20" t="inlineStr">
        <is>
          <t>Arlington did not want to proceed with the contract  extension unless they had their price increases. CDA put forth 3 price increases for 5% each. DPS would not approve all 3 price increases at 5%. They would give only 1  but at approx. 3%,</t>
        </is>
      </c>
      <c r="F574" s="21" t="n">
        <v>312</v>
      </c>
      <c r="G574" s="19" t="inlineStr">
        <is>
          <t>1. Pending New Contract - Original Contract Expired. New Contract in Process</t>
        </is>
      </c>
      <c r="H574" s="19" t="inlineStr">
        <is>
          <t>A. Specification Development Phase</t>
        </is>
      </c>
      <c r="I574" s="19" t="inlineStr">
        <is>
          <t>APPROVED</t>
        </is>
      </c>
      <c r="J574" s="19" t="inlineStr">
        <is>
          <t>Yes</t>
        </is>
      </c>
      <c r="K574" s="19" t="inlineStr">
        <is>
          <t>No</t>
        </is>
      </c>
      <c r="L574" s="19" t="inlineStr"/>
      <c r="M574" s="19" t="inlineStr">
        <is>
          <t>RX647383</t>
        </is>
      </c>
      <c r="N574" s="19" t="inlineStr">
        <is>
          <t>E</t>
        </is>
      </c>
      <c r="O574" s="20" t="inlineStr">
        <is>
          <t>No linkage found in awarded contract file</t>
        </is>
      </c>
      <c r="P574" s="19" t="inlineStr"/>
      <c r="Q574" s="19" t="inlineStr"/>
      <c r="R574" s="31" t="inlineStr"/>
      <c r="S574" s="19" t="inlineStr"/>
      <c r="T574" s="19" t="inlineStr">
        <is>
          <t>No</t>
        </is>
      </c>
      <c r="U574" s="19" t="inlineStr">
        <is>
          <t>No</t>
        </is>
      </c>
      <c r="V574" s="19" t="inlineStr">
        <is>
          <t>No</t>
        </is>
      </c>
      <c r="W574" s="19" t="inlineStr">
        <is>
          <t>Yes</t>
        </is>
      </c>
    </row>
    <row r="575">
      <c r="A575" s="19" t="n">
        <v>708179</v>
      </c>
      <c r="B575" s="31" t="n">
        <v>46037</v>
      </c>
      <c r="C575" s="19" t="inlineStr">
        <is>
          <t>DEPARTMENT OF FLEET AND FACILITY MANAGEMENT</t>
        </is>
      </c>
      <c r="D575" s="19" t="inlineStr">
        <is>
          <t>WISS, JANNEY, ELSTNER, &amp; ASSOCIATES, INC.</t>
        </is>
      </c>
      <c r="E575" s="20" t="inlineStr">
        <is>
          <t>Current Spec 127930's Scope of services for this Exhibit B is outside of the current contract. Additional language was added to the new Specification for A/E, Spec#132104 Req.#607835, to address this scope gap in the future. Spec#132104 Req</t>
        </is>
      </c>
      <c r="F575" s="21" t="n">
        <v>12587.5</v>
      </c>
      <c r="G575" s="19" t="inlineStr">
        <is>
          <t>1. Pending New Contract - Original Contract Expired. New Contract in Process</t>
        </is>
      </c>
      <c r="H575" s="19" t="inlineStr">
        <is>
          <t>H. One Time Purchase</t>
        </is>
      </c>
      <c r="I575" s="19" t="inlineStr">
        <is>
          <t>APPROVED</t>
        </is>
      </c>
      <c r="J575" s="19" t="inlineStr">
        <is>
          <t>Yes</t>
        </is>
      </c>
      <c r="K575" s="19" t="inlineStr">
        <is>
          <t>No</t>
        </is>
      </c>
      <c r="L575" s="19" t="n">
        <v>203199</v>
      </c>
      <c r="M575" s="19" t="inlineStr">
        <is>
          <t>RX607835</t>
        </is>
      </c>
      <c r="N575" s="19" t="inlineStr">
        <is>
          <t>E</t>
        </is>
      </c>
      <c r="O575" s="20" t="inlineStr">
        <is>
          <t>No linkage found in awarded contract file</t>
        </is>
      </c>
      <c r="P575" s="19" t="inlineStr"/>
      <c r="Q575" s="19" t="inlineStr"/>
      <c r="R575" s="31" t="inlineStr"/>
      <c r="S575" s="19" t="inlineStr"/>
      <c r="T575" s="19" t="inlineStr">
        <is>
          <t>No</t>
        </is>
      </c>
      <c r="U575" s="19" t="inlineStr">
        <is>
          <t>No</t>
        </is>
      </c>
      <c r="V575" s="19" t="inlineStr">
        <is>
          <t>No</t>
        </is>
      </c>
      <c r="W575" s="19" t="inlineStr">
        <is>
          <t>Yes</t>
        </is>
      </c>
    </row>
    <row r="576">
      <c r="A576" s="19" t="n">
        <v>710747</v>
      </c>
      <c r="B576" s="31" t="n">
        <v>46052</v>
      </c>
      <c r="C576" s="19" t="inlineStr">
        <is>
          <t>DEPARTMENT OF FLEET AND FACILITY MANAGEMENT</t>
        </is>
      </c>
      <c r="D576" s="19" t="inlineStr">
        <is>
          <t>ABC Humane Wildlife Control &amp; Prevention, Inc.</t>
        </is>
      </c>
      <c r="E576" s="20" t="inlineStr">
        <is>
          <t>There is currently no active contract for Integrated Pest Management. The vendor chose not to extend beyond the May 29, 2025 expiration date. 2FM submitted a replacement specification under RX 579113, Spec #1291433, which was advertised on</t>
        </is>
      </c>
      <c r="F576" s="21" t="n">
        <v>102655.92</v>
      </c>
      <c r="G576" s="19" t="inlineStr">
        <is>
          <t>1. Pending New Contract - Original Contract Expired. New Contract in Process</t>
        </is>
      </c>
      <c r="H576" s="19" t="inlineStr">
        <is>
          <t>A. Specification Development Phase</t>
        </is>
      </c>
      <c r="I576" s="19" t="inlineStr">
        <is>
          <t>APPROVED</t>
        </is>
      </c>
      <c r="J576" s="19" t="inlineStr">
        <is>
          <t>No</t>
        </is>
      </c>
      <c r="K576" s="19" t="inlineStr">
        <is>
          <t>No</t>
        </is>
      </c>
      <c r="L576" s="19" t="inlineStr"/>
      <c r="M576" s="19" t="inlineStr">
        <is>
          <t>RX682957</t>
        </is>
      </c>
      <c r="N576" s="19" t="inlineStr">
        <is>
          <t>E</t>
        </is>
      </c>
      <c r="O576" s="20" t="inlineStr">
        <is>
          <t>No linkage found in awarded contract file</t>
        </is>
      </c>
      <c r="P576" s="19" t="inlineStr"/>
      <c r="Q576" s="19" t="inlineStr"/>
      <c r="R576" s="31" t="inlineStr"/>
      <c r="S576" s="19" t="inlineStr"/>
      <c r="T576" s="19" t="inlineStr">
        <is>
          <t>No</t>
        </is>
      </c>
      <c r="U576" s="19" t="inlineStr">
        <is>
          <t>No</t>
        </is>
      </c>
      <c r="V576" s="19" t="inlineStr">
        <is>
          <t>No</t>
        </is>
      </c>
      <c r="W576" s="19" t="inlineStr">
        <is>
          <t>No</t>
        </is>
      </c>
    </row>
    <row r="577">
      <c r="A577" s="19" t="n">
        <v>716855</v>
      </c>
      <c r="B577" s="31" t="n">
        <v>46080</v>
      </c>
      <c r="C577" s="19" t="inlineStr">
        <is>
          <t>DEPARTMENT OF FLEET AND FACILITY MANAGEMENT</t>
        </is>
      </c>
      <c r="D577" s="19" t="inlineStr">
        <is>
          <t>DODD CAMERA HOLDINGS, INC</t>
        </is>
      </c>
      <c r="E577" s="20" t="inlineStr">
        <is>
          <t>The 2FM Graphics Bureau has an immediate need for camera accessories and photographic equipment.  This purchase will allow the Graphics Bureau to provide photographic services to the Mayor's Office and other city departments.   A new contra</t>
        </is>
      </c>
      <c r="F577" s="21" t="n">
        <v>1365.97</v>
      </c>
      <c r="G577" s="19" t="inlineStr">
        <is>
          <t>1. Pending New Contract - Original Contract Expired. New Contract in Process</t>
        </is>
      </c>
      <c r="H577" s="19" t="inlineStr">
        <is>
          <t>A. Specification Development Phase</t>
        </is>
      </c>
      <c r="I577" s="19" t="inlineStr">
        <is>
          <t>APPROVED</t>
        </is>
      </c>
      <c r="J577" s="19" t="inlineStr">
        <is>
          <t>Yes</t>
        </is>
      </c>
      <c r="K577" s="19" t="inlineStr">
        <is>
          <t>No</t>
        </is>
      </c>
      <c r="L577" s="19" t="inlineStr">
        <is>
          <t>NO</t>
        </is>
      </c>
      <c r="M577" s="19" t="inlineStr">
        <is>
          <t>RX674586</t>
        </is>
      </c>
      <c r="N577" s="19" t="inlineStr">
        <is>
          <t>E</t>
        </is>
      </c>
      <c r="O577" s="20" t="inlineStr">
        <is>
          <t>No linkage found in awarded contract file</t>
        </is>
      </c>
      <c r="P577" s="19" t="inlineStr"/>
      <c r="Q577" s="19" t="inlineStr"/>
      <c r="R577" s="31" t="inlineStr"/>
      <c r="S577" s="19" t="inlineStr"/>
      <c r="T577" s="19" t="inlineStr">
        <is>
          <t>No</t>
        </is>
      </c>
      <c r="U577" s="19" t="inlineStr">
        <is>
          <t>No</t>
        </is>
      </c>
      <c r="V577" s="19" t="inlineStr">
        <is>
          <t>No</t>
        </is>
      </c>
      <c r="W577" s="19" t="inlineStr">
        <is>
          <t>Yes</t>
        </is>
      </c>
    </row>
    <row r="578">
      <c r="A578" s="19" t="n">
        <v>718284</v>
      </c>
      <c r="B578" s="31" t="n">
        <v>46097</v>
      </c>
      <c r="C578" s="19" t="inlineStr">
        <is>
          <t>DEPARTMENT OF FLEET AND FACILITY MANAGEMENT</t>
        </is>
      </c>
      <c r="D578" s="19" t="inlineStr">
        <is>
          <t>Helicopters, Inc.</t>
        </is>
      </c>
      <c r="E578" s="20" t="inlineStr">
        <is>
          <t>2FM currently holds two helicopter maintenance contracts, however the Bell 407s and 429 aircraft are not under either contract due to the lack of certified personnel.  2FM submitted an Emergency Contract request for Helicopter Inc. to provi</t>
        </is>
      </c>
      <c r="F578" s="21" t="n">
        <v>18935.29</v>
      </c>
      <c r="G578" s="19" t="inlineStr">
        <is>
          <t>1. Pending New Contract - Original Contract Expired. New Contract in Process</t>
        </is>
      </c>
      <c r="H578" s="19" t="inlineStr">
        <is>
          <t>B. City Law Review</t>
        </is>
      </c>
      <c r="I578" s="19" t="inlineStr">
        <is>
          <t>APPROVED</t>
        </is>
      </c>
      <c r="J578" s="19" t="inlineStr">
        <is>
          <t>No</t>
        </is>
      </c>
      <c r="K578" s="19" t="inlineStr">
        <is>
          <t>Yes</t>
        </is>
      </c>
      <c r="L578" s="19" t="inlineStr">
        <is>
          <t>TBD</t>
        </is>
      </c>
      <c r="M578" s="19" t="inlineStr">
        <is>
          <t>RX690671</t>
        </is>
      </c>
      <c r="N578" s="19" t="inlineStr">
        <is>
          <t>A</t>
        </is>
      </c>
      <c r="O578" s="20" t="inlineStr">
        <is>
          <t>Requisition ID link: Exhibit B new-contract RX = awarded REQ</t>
        </is>
      </c>
      <c r="P578" s="19" t="inlineStr">
        <is>
          <t>386844</t>
        </is>
      </c>
      <c r="Q578" s="19" t="inlineStr">
        <is>
          <t>Helicopters, Inc.</t>
        </is>
      </c>
      <c r="R578" s="31" t="n">
        <v>46203</v>
      </c>
      <c r="S578" s="19" t="inlineStr">
        <is>
          <t>EMERGENCY</t>
        </is>
      </c>
      <c r="T578" s="19" t="inlineStr">
        <is>
          <t>No</t>
        </is>
      </c>
      <c r="U578" s="19" t="inlineStr">
        <is>
          <t>Yes</t>
        </is>
      </c>
      <c r="V578" s="19" t="inlineStr">
        <is>
          <t>No</t>
        </is>
      </c>
      <c r="W578" s="19" t="inlineStr">
        <is>
          <t>No</t>
        </is>
      </c>
    </row>
    <row r="579">
      <c r="A579" s="19" t="n">
        <v>709848</v>
      </c>
      <c r="B579" s="31" t="n">
        <v>46045</v>
      </c>
      <c r="C579" s="19" t="inlineStr">
        <is>
          <t>DEPARTMENT OF FLEET AND FACILITY MANAGEMENT</t>
        </is>
      </c>
      <c r="D579" s="19" t="inlineStr">
        <is>
          <t>Helicopters, Inc.</t>
        </is>
      </c>
      <c r="E579" s="20" t="inlineStr">
        <is>
          <t>2FM currently holds two helicopter maintenance contracts, however the Bell 407s and 429 aircraft are not under either contract due to the lack of certified personnel.  2FM submitted an Emergency Contract request for Helicopter Inc. to provi</t>
        </is>
      </c>
      <c r="F579" s="21" t="n">
        <v>1297.26</v>
      </c>
      <c r="G579" s="19" t="inlineStr">
        <is>
          <t>1. Pending New Contract - Original Contract Expired. New Contract in Process</t>
        </is>
      </c>
      <c r="H579" s="19" t="inlineStr">
        <is>
          <t>B. City Law Review</t>
        </is>
      </c>
      <c r="I579" s="19" t="inlineStr">
        <is>
          <t>APPROVED</t>
        </is>
      </c>
      <c r="J579" s="19" t="inlineStr">
        <is>
          <t>No</t>
        </is>
      </c>
      <c r="K579" s="19" t="inlineStr">
        <is>
          <t>Yes</t>
        </is>
      </c>
      <c r="L579" s="19" t="inlineStr">
        <is>
          <t>TBD</t>
        </is>
      </c>
      <c r="M579" s="19" t="inlineStr">
        <is>
          <t>RX690671</t>
        </is>
      </c>
      <c r="N579" s="19" t="inlineStr">
        <is>
          <t>A</t>
        </is>
      </c>
      <c r="O579" s="20" t="inlineStr">
        <is>
          <t>Requisition ID link: Exhibit B new-contract RX = awarded REQ</t>
        </is>
      </c>
      <c r="P579" s="19" t="inlineStr">
        <is>
          <t>386844</t>
        </is>
      </c>
      <c r="Q579" s="19" t="inlineStr">
        <is>
          <t>Helicopters, Inc.</t>
        </is>
      </c>
      <c r="R579" s="31" t="n">
        <v>46203</v>
      </c>
      <c r="S579" s="19" t="inlineStr">
        <is>
          <t>EMERGENCY</t>
        </is>
      </c>
      <c r="T579" s="19" t="inlineStr">
        <is>
          <t>No</t>
        </is>
      </c>
      <c r="U579" s="19" t="inlineStr">
        <is>
          <t>Yes</t>
        </is>
      </c>
      <c r="V579" s="19" t="inlineStr">
        <is>
          <t>No</t>
        </is>
      </c>
      <c r="W579" s="19" t="inlineStr">
        <is>
          <t>No</t>
        </is>
      </c>
    </row>
    <row r="580">
      <c r="A580" s="19" t="n">
        <v>716872</v>
      </c>
      <c r="B580" s="31" t="n">
        <v>46080</v>
      </c>
      <c r="C580" s="19" t="inlineStr">
        <is>
          <t>DEPARTMENT OF FLEET AND FACILITY MANAGEMENT</t>
        </is>
      </c>
      <c r="D580" s="19" t="inlineStr">
        <is>
          <t>Boschung America, LLC</t>
        </is>
      </c>
      <c r="E580" s="20" t="inlineStr">
        <is>
          <t>There is no active contract for the scope of work provided in this Exhibit B. Steve's Equipment, which previously provided these services, has recently gone out of business. As a result, 2FM had to source a certified vendor to service the e</t>
        </is>
      </c>
      <c r="F580" s="21" t="n">
        <v>91758.38</v>
      </c>
      <c r="G580" s="19" t="inlineStr">
        <is>
          <t>1. Pending New Contract - Original Contract Expired. New Contract in Process</t>
        </is>
      </c>
      <c r="H580" s="19" t="inlineStr">
        <is>
          <t>B. City Law Review</t>
        </is>
      </c>
      <c r="I580" s="19" t="inlineStr">
        <is>
          <t>APPROVED</t>
        </is>
      </c>
      <c r="J580" s="19" t="inlineStr">
        <is>
          <t>Yes</t>
        </is>
      </c>
      <c r="K580" s="19" t="inlineStr">
        <is>
          <t>No</t>
        </is>
      </c>
      <c r="L580" s="19" t="inlineStr"/>
      <c r="M580" s="19" t="inlineStr">
        <is>
          <t>RX663987</t>
        </is>
      </c>
      <c r="N580" s="19" t="inlineStr">
        <is>
          <t>C</t>
        </is>
      </c>
      <c r="O580" s="20" t="inlineStr">
        <is>
          <t>Vendor name match only (similarity 0.03)</t>
        </is>
      </c>
      <c r="P580" s="19" t="inlineStr">
        <is>
          <t>388473</t>
        </is>
      </c>
      <c r="Q580" s="19" t="inlineStr">
        <is>
          <t>Boschung America, LLC</t>
        </is>
      </c>
      <c r="R580" s="31" t="n">
        <v>46118</v>
      </c>
      <c r="S580" s="19" t="inlineStr">
        <is>
          <t>REFERENCE CONTRACT</t>
        </is>
      </c>
      <c r="T580" s="19" t="inlineStr">
        <is>
          <t>No</t>
        </is>
      </c>
      <c r="U580" s="19" t="inlineStr">
        <is>
          <t>No</t>
        </is>
      </c>
      <c r="V580" s="19" t="inlineStr">
        <is>
          <t>No</t>
        </is>
      </c>
      <c r="W580" s="19" t="inlineStr">
        <is>
          <t>Yes</t>
        </is>
      </c>
    </row>
    <row r="581">
      <c r="A581" s="19" t="n">
        <v>724076</v>
      </c>
      <c r="B581" s="31" t="n">
        <v>46133</v>
      </c>
      <c r="C581" s="19" t="inlineStr">
        <is>
          <t>DEPARTMENT OF FLEET AND FACILITY MANAGEMENT</t>
        </is>
      </c>
      <c r="D581" s="19" t="inlineStr">
        <is>
          <t>ARLINGTON GLASS &amp; MIRROR</t>
        </is>
      </c>
      <c r="E581" s="20" t="inlineStr">
        <is>
          <t>Arlington did not want to proceed with the contract  extension unless they had their price increases. CDA put forth 3 price increases for 5% each. DPS would not approve all 3 price increases at 5%. They would give only 1  but at approx. 3%,</t>
        </is>
      </c>
      <c r="F581" s="21" t="n">
        <v>687.5</v>
      </c>
      <c r="G581" s="19" t="inlineStr">
        <is>
          <t>1. Pending New Contract - Original Contract Expired. New Contract in Process</t>
        </is>
      </c>
      <c r="H581" s="19" t="inlineStr">
        <is>
          <t>A. Specification Development Phase</t>
        </is>
      </c>
      <c r="I581" s="19" t="inlineStr">
        <is>
          <t>APPROVED</t>
        </is>
      </c>
      <c r="J581" s="19" t="inlineStr">
        <is>
          <t>Yes</t>
        </is>
      </c>
      <c r="K581" s="19" t="inlineStr">
        <is>
          <t>No</t>
        </is>
      </c>
      <c r="L581" s="19" t="inlineStr"/>
      <c r="M581" s="19" t="inlineStr">
        <is>
          <t>RX647383</t>
        </is>
      </c>
      <c r="N581" s="19" t="inlineStr">
        <is>
          <t>E</t>
        </is>
      </c>
      <c r="O581" s="20" t="inlineStr">
        <is>
          <t>No linkage found in awarded contract file</t>
        </is>
      </c>
      <c r="P581" s="19" t="inlineStr"/>
      <c r="Q581" s="19" t="inlineStr"/>
      <c r="R581" s="31" t="inlineStr"/>
      <c r="S581" s="19" t="inlineStr"/>
      <c r="T581" s="19" t="inlineStr">
        <is>
          <t>No</t>
        </is>
      </c>
      <c r="U581" s="19" t="inlineStr">
        <is>
          <t>No</t>
        </is>
      </c>
      <c r="V581" s="19" t="inlineStr">
        <is>
          <t>No</t>
        </is>
      </c>
      <c r="W581" s="19" t="inlineStr">
        <is>
          <t>Yes</t>
        </is>
      </c>
    </row>
    <row r="582">
      <c r="A582" s="19" t="n">
        <v>724079</v>
      </c>
      <c r="B582" s="31" t="n">
        <v>46133</v>
      </c>
      <c r="C582" s="19" t="inlineStr">
        <is>
          <t>DEPARTMENT OF FLEET AND FACILITY MANAGEMENT</t>
        </is>
      </c>
      <c r="D582" s="19" t="inlineStr">
        <is>
          <t>ARLINGTON GLASS &amp; MIRROR</t>
        </is>
      </c>
      <c r="E582" s="20" t="inlineStr">
        <is>
          <t>Arlington did not want to proceed with the contract  extension unless they had their price increases. CDA put forth 3 price increases for 5% each. DPS would not approve all 3 price increases at 5%. They would give only 1  but at approx. 3%,</t>
        </is>
      </c>
      <c r="F582" s="21" t="n">
        <v>7317.5</v>
      </c>
      <c r="G582" s="19" t="inlineStr">
        <is>
          <t>1. Pending New Contract - Original Contract Expired. New Contract in Process</t>
        </is>
      </c>
      <c r="H582" s="19" t="inlineStr">
        <is>
          <t>A. Specification Development Phase</t>
        </is>
      </c>
      <c r="I582" s="19" t="inlineStr">
        <is>
          <t>APPROVED</t>
        </is>
      </c>
      <c r="J582" s="19" t="inlineStr">
        <is>
          <t>Yes</t>
        </is>
      </c>
      <c r="K582" s="19" t="inlineStr">
        <is>
          <t>No</t>
        </is>
      </c>
      <c r="L582" s="19" t="inlineStr"/>
      <c r="M582" s="19" t="inlineStr">
        <is>
          <t>RX647383</t>
        </is>
      </c>
      <c r="N582" s="19" t="inlineStr">
        <is>
          <t>E</t>
        </is>
      </c>
      <c r="O582" s="20" t="inlineStr">
        <is>
          <t>No linkage found in awarded contract file</t>
        </is>
      </c>
      <c r="P582" s="19" t="inlineStr"/>
      <c r="Q582" s="19" t="inlineStr"/>
      <c r="R582" s="31" t="inlineStr"/>
      <c r="S582" s="19" t="inlineStr"/>
      <c r="T582" s="19" t="inlineStr">
        <is>
          <t>No</t>
        </is>
      </c>
      <c r="U582" s="19" t="inlineStr">
        <is>
          <t>No</t>
        </is>
      </c>
      <c r="V582" s="19" t="inlineStr">
        <is>
          <t>No</t>
        </is>
      </c>
      <c r="W582" s="19" t="inlineStr">
        <is>
          <t>Yes</t>
        </is>
      </c>
    </row>
    <row r="583">
      <c r="A583" s="19" t="n">
        <v>730313</v>
      </c>
      <c r="B583" s="31" t="n">
        <v>46163</v>
      </c>
      <c r="C583" s="19" t="inlineStr">
        <is>
          <t>DEPARTMENT OF FLEET AND FACILITY MANAGEMENT</t>
        </is>
      </c>
      <c r="D583" s="19" t="inlineStr">
        <is>
          <t>PRESSURE WASHING SYSTEMS</t>
        </is>
      </c>
      <c r="E583" s="20" t="inlineStr">
        <is>
          <t>PO T26072 expired 5/31/2003. The vendor chose not to extend their contract. We still require these services and will need to pay through Exhibit B until a new contract is awarded. Req 717990 has been submitted to DPS for advertisement.</t>
        </is>
      </c>
      <c r="F583" s="21" t="n">
        <v>6304</v>
      </c>
      <c r="G583" s="19" t="inlineStr">
        <is>
          <t>1. Pending New Contract - Original Contract Expired. New Contract in Process</t>
        </is>
      </c>
      <c r="H583" s="19" t="inlineStr">
        <is>
          <t>B. City Law Review</t>
        </is>
      </c>
      <c r="I583" s="19" t="inlineStr">
        <is>
          <t>APPROVED</t>
        </is>
      </c>
      <c r="J583" s="19" t="inlineStr">
        <is>
          <t>Yes</t>
        </is>
      </c>
      <c r="K583" s="19" t="inlineStr">
        <is>
          <t>No</t>
        </is>
      </c>
      <c r="L583" s="19" t="inlineStr"/>
      <c r="M583" s="19" t="inlineStr">
        <is>
          <t>RX717990</t>
        </is>
      </c>
      <c r="N583" s="19" t="inlineStr">
        <is>
          <t>E</t>
        </is>
      </c>
      <c r="O583" s="20" t="inlineStr">
        <is>
          <t>No linkage found in awarded contract file</t>
        </is>
      </c>
      <c r="P583" s="19" t="inlineStr"/>
      <c r="Q583" s="19" t="inlineStr"/>
      <c r="R583" s="31" t="inlineStr"/>
      <c r="S583" s="19" t="inlineStr"/>
      <c r="T583" s="19" t="inlineStr">
        <is>
          <t>No</t>
        </is>
      </c>
      <c r="U583" s="19" t="inlineStr">
        <is>
          <t>No</t>
        </is>
      </c>
      <c r="V583" s="19" t="inlineStr">
        <is>
          <t>No</t>
        </is>
      </c>
      <c r="W583" s="19" t="inlineStr">
        <is>
          <t>Yes</t>
        </is>
      </c>
    </row>
    <row r="584">
      <c r="A584" s="19" t="n">
        <v>746125</v>
      </c>
      <c r="B584" s="31" t="n">
        <v>46251</v>
      </c>
      <c r="C584" s="19" t="inlineStr">
        <is>
          <t>DEPARTMENT OF WATER MANAGEMENT</t>
        </is>
      </c>
      <c r="D584" s="19" t="inlineStr">
        <is>
          <t>USALCO</t>
        </is>
      </c>
      <c r="E584" s="20" t="inlineStr">
        <is>
          <t>Liquid Aluminum Sulfate (Iron Free)</t>
        </is>
      </c>
      <c r="F584" s="21" t="n">
        <v>571395.25</v>
      </c>
      <c r="G584" s="19" t="inlineStr">
        <is>
          <t>1. Pending New Contract - Original Contract Expired. New Contract in Process</t>
        </is>
      </c>
      <c r="H584" s="19" t="inlineStr">
        <is>
          <t>A. Specification Development Phase</t>
        </is>
      </c>
      <c r="I584" s="19" t="inlineStr">
        <is>
          <t>APPROVED</t>
        </is>
      </c>
      <c r="J584" s="19" t="inlineStr">
        <is>
          <t>Yes</t>
        </is>
      </c>
      <c r="K584" s="19" t="inlineStr">
        <is>
          <t>No</t>
        </is>
      </c>
      <c r="L584" s="19" t="inlineStr"/>
      <c r="M584" s="19" t="inlineStr">
        <is>
          <t>RX661351</t>
        </is>
      </c>
      <c r="N584" s="19" t="inlineStr">
        <is>
          <t>E</t>
        </is>
      </c>
      <c r="O584" s="20" t="inlineStr">
        <is>
          <t>No linkage found in awarded contract file</t>
        </is>
      </c>
      <c r="P584" s="19" t="inlineStr"/>
      <c r="Q584" s="19" t="inlineStr"/>
      <c r="R584" s="31" t="inlineStr"/>
      <c r="S584" s="19" t="inlineStr"/>
      <c r="T584" s="19" t="inlineStr">
        <is>
          <t>No</t>
        </is>
      </c>
      <c r="U584" s="19" t="inlineStr">
        <is>
          <t>No</t>
        </is>
      </c>
      <c r="V584" s="19" t="inlineStr">
        <is>
          <t>No</t>
        </is>
      </c>
      <c r="W584" s="19" t="inlineStr">
        <is>
          <t>Yes</t>
        </is>
      </c>
    </row>
    <row r="585">
      <c r="A585" s="19" t="n">
        <v>744120</v>
      </c>
      <c r="B585" s="31" t="n">
        <v>46238</v>
      </c>
      <c r="C585" s="19" t="inlineStr">
        <is>
          <t>CHICAGO ANIMAL CARE AND CONTROL</t>
        </is>
      </c>
      <c r="D585" s="19" t="inlineStr">
        <is>
          <t>LEGEND &amp; WHITE ANIMAL HEALTH</t>
        </is>
      </c>
      <c r="E585" s="20" t="inlineStr">
        <is>
          <t>food for animals at CACC</t>
        </is>
      </c>
      <c r="F585" s="21" t="n">
        <v>43320.4</v>
      </c>
      <c r="G585" s="19" t="inlineStr">
        <is>
          <t>1. Pending New Contract - Original Contract Expired. New Contract in Process</t>
        </is>
      </c>
      <c r="H585" s="19" t="inlineStr">
        <is>
          <t>D. Solicitation Response Under Evaluation</t>
        </is>
      </c>
      <c r="I585" s="19" t="inlineStr">
        <is>
          <t>APPROVED</t>
        </is>
      </c>
      <c r="J585" s="19" t="inlineStr">
        <is>
          <t>Yes</t>
        </is>
      </c>
      <c r="K585" s="19" t="inlineStr">
        <is>
          <t>No</t>
        </is>
      </c>
      <c r="L585" s="19" t="inlineStr"/>
      <c r="M585" s="19" t="inlineStr">
        <is>
          <t>VDLEGEND WHITE ANIMAL HEALTH</t>
        </is>
      </c>
      <c r="N585" s="19" t="inlineStr">
        <is>
          <t>E</t>
        </is>
      </c>
      <c r="O585" s="20" t="inlineStr">
        <is>
          <t>No linkage found in awarded contract file</t>
        </is>
      </c>
      <c r="P585" s="19" t="inlineStr"/>
      <c r="Q585" s="19" t="inlineStr"/>
      <c r="R585" s="31" t="inlineStr"/>
      <c r="S585" s="19" t="inlineStr"/>
      <c r="T585" s="19" t="inlineStr">
        <is>
          <t>No</t>
        </is>
      </c>
      <c r="U585" s="19" t="inlineStr">
        <is>
          <t>No</t>
        </is>
      </c>
      <c r="V585" s="19" t="inlineStr">
        <is>
          <t>No</t>
        </is>
      </c>
      <c r="W585" s="19" t="inlineStr">
        <is>
          <t>Yes</t>
        </is>
      </c>
    </row>
    <row r="586">
      <c r="A586" s="19" t="n">
        <v>737175</v>
      </c>
      <c r="B586" s="31" t="n">
        <v>46197</v>
      </c>
      <c r="C586" s="19" t="inlineStr">
        <is>
          <t>CHICAGO ANIMAL CARE AND CONTROL</t>
        </is>
      </c>
      <c r="D586" s="19" t="inlineStr">
        <is>
          <t>THE SAINT FRANCIS GROUP</t>
        </is>
      </c>
      <c r="E586" s="20" t="inlineStr">
        <is>
          <t>VLI NEEDED FOR DEAD ANIMAL CREMATION SERVICES</t>
        </is>
      </c>
      <c r="F586" s="21" t="n">
        <v>80585.39999999999</v>
      </c>
      <c r="G586" s="19" t="inlineStr">
        <is>
          <t>2. Pending Amendment/Modification - Line Item Addition / Vendor Limit Increase / Scope Change</t>
        </is>
      </c>
      <c r="H586" s="19" t="inlineStr">
        <is>
          <t>A. Specification Development Phase</t>
        </is>
      </c>
      <c r="I586" s="19" t="inlineStr">
        <is>
          <t>APPROVED</t>
        </is>
      </c>
      <c r="J586" s="19" t="inlineStr">
        <is>
          <t>Yes</t>
        </is>
      </c>
      <c r="K586" s="19" t="inlineStr">
        <is>
          <t>Yes</t>
        </is>
      </c>
      <c r="L586" s="19" t="inlineStr">
        <is>
          <t>yes</t>
        </is>
      </c>
      <c r="M586" s="19" t="inlineStr">
        <is>
          <t>RX729894</t>
        </is>
      </c>
      <c r="N586" s="19" t="inlineStr">
        <is>
          <t>E</t>
        </is>
      </c>
      <c r="O586" s="20" t="inlineStr">
        <is>
          <t>No linkage found in awarded contract file</t>
        </is>
      </c>
      <c r="P586" s="19" t="inlineStr"/>
      <c r="Q586" s="19" t="inlineStr"/>
      <c r="R586" s="31" t="inlineStr"/>
      <c r="S586" s="19" t="inlineStr"/>
      <c r="T586" s="19" t="inlineStr">
        <is>
          <t>No</t>
        </is>
      </c>
      <c r="U586" s="19" t="inlineStr">
        <is>
          <t>No</t>
        </is>
      </c>
      <c r="V586" s="19" t="inlineStr">
        <is>
          <t>No</t>
        </is>
      </c>
      <c r="W586" s="19" t="inlineStr">
        <is>
          <t>Yes</t>
        </is>
      </c>
    </row>
    <row r="587">
      <c r="A587" s="19" t="n">
        <v>728706</v>
      </c>
      <c r="B587" s="31" t="n">
        <v>46161</v>
      </c>
      <c r="C587" s="19" t="inlineStr">
        <is>
          <t>CHICAGO ANIMAL CARE AND CONTROL</t>
        </is>
      </c>
      <c r="D587" s="19" t="inlineStr">
        <is>
          <t>RADIATION DETECTION COMPANY</t>
        </is>
      </c>
      <c r="E587" s="20" t="inlineStr">
        <is>
          <t>CONTRACT CURRENTLY WITH DPS FOR APPROVAL</t>
        </is>
      </c>
      <c r="F587" s="21" t="n">
        <v>526.78</v>
      </c>
      <c r="G587" s="19" t="inlineStr">
        <is>
          <t>1. Pending New Contract - Original Contract Expired. New Contract in Process</t>
        </is>
      </c>
      <c r="H587" s="19" t="inlineStr">
        <is>
          <t>B. City Law Review</t>
        </is>
      </c>
      <c r="I587" s="19" t="inlineStr">
        <is>
          <t>APPROVED</t>
        </is>
      </c>
      <c r="J587" s="19" t="inlineStr">
        <is>
          <t>Yes</t>
        </is>
      </c>
      <c r="K587" s="19" t="inlineStr">
        <is>
          <t>No</t>
        </is>
      </c>
      <c r="L587" s="19" t="inlineStr">
        <is>
          <t>UNKNOWN</t>
        </is>
      </c>
      <c r="M587" s="19" t="inlineStr">
        <is>
          <t>RX721173</t>
        </is>
      </c>
      <c r="N587" s="19" t="inlineStr">
        <is>
          <t>E</t>
        </is>
      </c>
      <c r="O587" s="20" t="inlineStr">
        <is>
          <t>No linkage found in awarded contract file</t>
        </is>
      </c>
      <c r="P587" s="19" t="inlineStr"/>
      <c r="Q587" s="19" t="inlineStr"/>
      <c r="R587" s="31" t="inlineStr"/>
      <c r="S587" s="19" t="inlineStr"/>
      <c r="T587" s="19" t="inlineStr">
        <is>
          <t>No</t>
        </is>
      </c>
      <c r="U587" s="19" t="inlineStr">
        <is>
          <t>No</t>
        </is>
      </c>
      <c r="V587" s="19" t="inlineStr">
        <is>
          <t>No</t>
        </is>
      </c>
      <c r="W587" s="19" t="inlineStr">
        <is>
          <t>Yes</t>
        </is>
      </c>
    </row>
    <row r="588">
      <c r="A588" s="19" t="n">
        <v>737973</v>
      </c>
      <c r="B588" s="31" t="n">
        <v>46203</v>
      </c>
      <c r="C588" s="19" t="inlineStr">
        <is>
          <t>CHICAGO ANIMAL CARE AND CONTROL</t>
        </is>
      </c>
      <c r="D588" s="19" t="inlineStr">
        <is>
          <t>RADIATION DETECTION COMPANY</t>
        </is>
      </c>
      <c r="E588" s="20" t="inlineStr">
        <is>
          <t>radiation dosimeter usage invoice</t>
        </is>
      </c>
      <c r="F588" s="21" t="n">
        <v>486.64</v>
      </c>
      <c r="G588" s="19" t="inlineStr">
        <is>
          <t>1. Pending New Contract - Original Contract Expired. New Contract in Process</t>
        </is>
      </c>
      <c r="H588" s="19" t="inlineStr">
        <is>
          <t>A. Specification Development Phase</t>
        </is>
      </c>
      <c r="I588" s="19" t="inlineStr">
        <is>
          <t>APPROVED</t>
        </is>
      </c>
      <c r="J588" s="19" t="inlineStr">
        <is>
          <t>Yes</t>
        </is>
      </c>
      <c r="K588" s="19" t="inlineStr">
        <is>
          <t>No</t>
        </is>
      </c>
      <c r="L588" s="19" t="inlineStr"/>
      <c r="M588" s="19" t="inlineStr">
        <is>
          <t>RX721173</t>
        </is>
      </c>
      <c r="N588" s="19" t="inlineStr">
        <is>
          <t>E</t>
        </is>
      </c>
      <c r="O588" s="20" t="inlineStr">
        <is>
          <t>No linkage found in awarded contract file</t>
        </is>
      </c>
      <c r="P588" s="19" t="inlineStr"/>
      <c r="Q588" s="19" t="inlineStr"/>
      <c r="R588" s="31" t="inlineStr"/>
      <c r="S588" s="19" t="inlineStr"/>
      <c r="T588" s="19" t="inlineStr">
        <is>
          <t>No</t>
        </is>
      </c>
      <c r="U588" s="19" t="inlineStr">
        <is>
          <t>No</t>
        </is>
      </c>
      <c r="V588" s="19" t="inlineStr">
        <is>
          <t>No</t>
        </is>
      </c>
      <c r="W588" s="19" t="inlineStr">
        <is>
          <t>Yes</t>
        </is>
      </c>
    </row>
    <row r="589">
      <c r="A589" s="19" t="n">
        <v>721797</v>
      </c>
      <c r="B589" s="31" t="n">
        <v>46118</v>
      </c>
      <c r="C589" s="19" t="inlineStr">
        <is>
          <t>CHICAGO ANIMAL CARE AND CONTROL</t>
        </is>
      </c>
      <c r="D589" s="19" t="inlineStr">
        <is>
          <t>MIDWEST VETERINARY SUPPLY, INC.</t>
        </is>
      </c>
      <c r="E589" s="20" t="inlineStr">
        <is>
          <t>Veterinary Medical Supplies for animals at CACC.</t>
        </is>
      </c>
      <c r="F589" s="21" t="n">
        <v>62875.03</v>
      </c>
      <c r="G589" s="19" t="inlineStr">
        <is>
          <t>1. Pending New Contract - Original Contract Expired. New Contract in Process</t>
        </is>
      </c>
      <c r="H589" s="19" t="inlineStr">
        <is>
          <t>A. Specification Development Phase</t>
        </is>
      </c>
      <c r="I589" s="19" t="inlineStr">
        <is>
          <t>APPROVED</t>
        </is>
      </c>
      <c r="J589" s="19" t="inlineStr">
        <is>
          <t>Yes</t>
        </is>
      </c>
      <c r="K589" s="19" t="inlineStr">
        <is>
          <t>No</t>
        </is>
      </c>
      <c r="L589" s="19" t="inlineStr">
        <is>
          <t>No</t>
        </is>
      </c>
      <c r="M589" s="19" t="inlineStr">
        <is>
          <t>RX702002</t>
        </is>
      </c>
      <c r="N589" s="19" t="inlineStr">
        <is>
          <t>E</t>
        </is>
      </c>
      <c r="O589" s="20" t="inlineStr">
        <is>
          <t>No linkage found in awarded contract file</t>
        </is>
      </c>
      <c r="P589" s="19" t="inlineStr"/>
      <c r="Q589" s="19" t="inlineStr"/>
      <c r="R589" s="31" t="inlineStr"/>
      <c r="S589" s="19" t="inlineStr"/>
      <c r="T589" s="19" t="inlineStr">
        <is>
          <t>No</t>
        </is>
      </c>
      <c r="U589" s="19" t="inlineStr">
        <is>
          <t>No</t>
        </is>
      </c>
      <c r="V589" s="19" t="inlineStr">
        <is>
          <t>No</t>
        </is>
      </c>
      <c r="W589" s="19" t="inlineStr">
        <is>
          <t>Yes</t>
        </is>
      </c>
    </row>
    <row r="590">
      <c r="A590" s="19" t="n">
        <v>728757</v>
      </c>
      <c r="B590" s="31" t="n">
        <v>46161</v>
      </c>
      <c r="C590" s="19" t="inlineStr">
        <is>
          <t>CHICAGO ANIMAL CARE AND CONTROL</t>
        </is>
      </c>
      <c r="D590" s="19" t="inlineStr">
        <is>
          <t>MIDWEST VETERINARY SUPPLY, INC.</t>
        </is>
      </c>
      <c r="E590" s="20" t="inlineStr">
        <is>
          <t>Veterinary Medical Supplies Mar Apr 2026</t>
        </is>
      </c>
      <c r="F590" s="21" t="n">
        <v>35433.8</v>
      </c>
      <c r="G590" s="19" t="inlineStr">
        <is>
          <t>1. Pending New Contract - Original Contract Expired. New Contract in Process</t>
        </is>
      </c>
      <c r="H590" s="19" t="inlineStr">
        <is>
          <t>B. City Law Review</t>
        </is>
      </c>
      <c r="I590" s="19" t="inlineStr">
        <is>
          <t>DENIED</t>
        </is>
      </c>
      <c r="J590" s="19" t="inlineStr">
        <is>
          <t>Yes</t>
        </is>
      </c>
      <c r="K590" s="19" t="inlineStr">
        <is>
          <t>No</t>
        </is>
      </c>
      <c r="L590" s="19" t="inlineStr">
        <is>
          <t>NO</t>
        </is>
      </c>
      <c r="M590" s="19" t="inlineStr">
        <is>
          <t>RX428355</t>
        </is>
      </c>
      <c r="N590" s="19" t="inlineStr">
        <is>
          <t>E</t>
        </is>
      </c>
      <c r="O590" s="20" t="inlineStr">
        <is>
          <t>No linkage found in awarded contract file</t>
        </is>
      </c>
      <c r="P590" s="19" t="inlineStr"/>
      <c r="Q590" s="19" t="inlineStr"/>
      <c r="R590" s="31" t="inlineStr"/>
      <c r="S590" s="19" t="inlineStr"/>
      <c r="T590" s="19" t="inlineStr">
        <is>
          <t>No</t>
        </is>
      </c>
      <c r="U590" s="19" t="inlineStr">
        <is>
          <t>No</t>
        </is>
      </c>
      <c r="V590" s="19" t="inlineStr">
        <is>
          <t>No</t>
        </is>
      </c>
      <c r="W590" s="19" t="inlineStr">
        <is>
          <t>Yes</t>
        </is>
      </c>
    </row>
    <row r="591">
      <c r="A591" s="19" t="n">
        <v>716905</v>
      </c>
      <c r="B591" s="31" t="n">
        <v>46080</v>
      </c>
      <c r="C591" s="19" t="inlineStr">
        <is>
          <t>CHICAGO DEPARTMENT OF PUBLIC HEALTH</t>
        </is>
      </c>
      <c r="D591" s="19" t="inlineStr">
        <is>
          <t>Electronic Knowledge Interchange</t>
        </is>
      </c>
      <c r="E591" s="20" t="inlineStr">
        <is>
          <t>TIER 2 SUPPORT - QUANT 16 SERVICES</t>
        </is>
      </c>
      <c r="F591" s="21" t="n">
        <v>0</v>
      </c>
      <c r="G591" s="19" t="inlineStr">
        <is>
          <t>3. One Time Purchase</t>
        </is>
      </c>
      <c r="H591" s="19" t="inlineStr">
        <is>
          <t>H. One Time Purchase</t>
        </is>
      </c>
      <c r="I591" s="19" t="inlineStr">
        <is>
          <t>APPROVED</t>
        </is>
      </c>
      <c r="J591" s="19" t="inlineStr">
        <is>
          <t>No</t>
        </is>
      </c>
      <c r="K591" s="19" t="inlineStr">
        <is>
          <t>No</t>
        </is>
      </c>
      <c r="L591" s="19" t="inlineStr"/>
      <c r="M591" s="19" t="inlineStr">
        <is>
          <t>VDELECTRONIC KNOWLEDGE INTERCH</t>
        </is>
      </c>
      <c r="N591" s="19" t="inlineStr">
        <is>
          <t>E</t>
        </is>
      </c>
      <c r="O591" s="20" t="inlineStr">
        <is>
          <t>No linkage found in awarded contract file</t>
        </is>
      </c>
      <c r="P591" s="19" t="inlineStr"/>
      <c r="Q591" s="19" t="inlineStr"/>
      <c r="R591" s="31" t="inlineStr"/>
      <c r="S591" s="19" t="inlineStr"/>
      <c r="T591" s="19" t="inlineStr">
        <is>
          <t>No</t>
        </is>
      </c>
      <c r="U591" s="19" t="inlineStr">
        <is>
          <t>No</t>
        </is>
      </c>
      <c r="V591" s="19" t="inlineStr">
        <is>
          <t>No</t>
        </is>
      </c>
      <c r="W591" s="19" t="inlineStr">
        <is>
          <t>No</t>
        </is>
      </c>
    </row>
    <row r="592">
      <c r="A592" s="19" t="n">
        <v>707040</v>
      </c>
      <c r="B592" s="31" t="n">
        <v>46027</v>
      </c>
      <c r="C592" s="19" t="inlineStr">
        <is>
          <t>CHICAGO DEPARTMENT OF TRANSPORTATION</t>
        </is>
      </c>
      <c r="D592" s="19" t="inlineStr">
        <is>
          <t>LIZZETTE MEDINA &amp; COMPANY</t>
        </is>
      </c>
      <c r="E592" s="20" t="inlineStr">
        <is>
          <t>LANDSCAPE SERVICES, REGIONS III &amp; V</t>
        </is>
      </c>
      <c r="F592" s="21" t="n">
        <v>45477.13</v>
      </c>
      <c r="G592" s="19" t="inlineStr">
        <is>
          <t>1. Pending New Contract - Original Contract Expired. New Contract in Process</t>
        </is>
      </c>
      <c r="H592" s="19" t="inlineStr">
        <is>
          <t>B. City Law Review</t>
        </is>
      </c>
      <c r="I592" s="19" t="inlineStr">
        <is>
          <t>APPROVED</t>
        </is>
      </c>
      <c r="J592" s="19" t="inlineStr">
        <is>
          <t>Yes</t>
        </is>
      </c>
      <c r="K592" s="19" t="inlineStr">
        <is>
          <t>No</t>
        </is>
      </c>
      <c r="L592" s="19" t="inlineStr">
        <is>
          <t>na</t>
        </is>
      </c>
      <c r="M592" s="19" t="inlineStr">
        <is>
          <t>RX652655</t>
        </is>
      </c>
      <c r="N592" s="19" t="inlineStr">
        <is>
          <t>E</t>
        </is>
      </c>
      <c r="O592" s="20" t="inlineStr">
        <is>
          <t>No linkage found in awarded contract file</t>
        </is>
      </c>
      <c r="P592" s="19" t="inlineStr"/>
      <c r="Q592" s="19" t="inlineStr"/>
      <c r="R592" s="31" t="inlineStr"/>
      <c r="S592" s="19" t="inlineStr"/>
      <c r="T592" s="19" t="inlineStr">
        <is>
          <t>No</t>
        </is>
      </c>
      <c r="U592" s="19" t="inlineStr">
        <is>
          <t>No</t>
        </is>
      </c>
      <c r="V592" s="19" t="inlineStr">
        <is>
          <t>No</t>
        </is>
      </c>
      <c r="W592" s="19" t="inlineStr">
        <is>
          <t>Yes</t>
        </is>
      </c>
    </row>
    <row r="593">
      <c r="A593" s="19" t="n">
        <v>728850</v>
      </c>
      <c r="B593" s="31" t="n">
        <v>46147</v>
      </c>
      <c r="C593" s="19" t="inlineStr">
        <is>
          <t>CHICAGO DEPARTMENT OF TRANSPORTATION</t>
        </is>
      </c>
      <c r="D593" s="19" t="inlineStr">
        <is>
          <t>Yellowstone Landscape, Inc</t>
        </is>
      </c>
      <c r="E593" s="20" t="inlineStr">
        <is>
          <t>Landscape Services North &amp; South LSD</t>
        </is>
      </c>
      <c r="F593" s="21" t="n">
        <v>11272.8</v>
      </c>
      <c r="G593" s="19" t="inlineStr">
        <is>
          <t>1. Pending New Contract - Original Contract Expired. New Contract in Process</t>
        </is>
      </c>
      <c r="H593" s="19" t="inlineStr">
        <is>
          <t>B. City Law Review</t>
        </is>
      </c>
      <c r="I593" s="19" t="inlineStr">
        <is>
          <t>APPROVED</t>
        </is>
      </c>
      <c r="J593" s="19" t="inlineStr">
        <is>
          <t>Yes</t>
        </is>
      </c>
      <c r="K593" s="19" t="inlineStr">
        <is>
          <t>No</t>
        </is>
      </c>
      <c r="L593" s="19" t="inlineStr">
        <is>
          <t>na</t>
        </is>
      </c>
      <c r="M593" s="19" t="inlineStr">
        <is>
          <t>RX635010</t>
        </is>
      </c>
      <c r="N593" s="19" t="inlineStr">
        <is>
          <t>E</t>
        </is>
      </c>
      <c r="O593" s="20" t="inlineStr">
        <is>
          <t>No linkage found in awarded contract file</t>
        </is>
      </c>
      <c r="P593" s="19" t="inlineStr"/>
      <c r="Q593" s="19" t="inlineStr"/>
      <c r="R593" s="31" t="inlineStr"/>
      <c r="S593" s="19" t="inlineStr"/>
      <c r="T593" s="19" t="inlineStr">
        <is>
          <t>No</t>
        </is>
      </c>
      <c r="U593" s="19" t="inlineStr">
        <is>
          <t>No</t>
        </is>
      </c>
      <c r="V593" s="19" t="inlineStr">
        <is>
          <t>No</t>
        </is>
      </c>
      <c r="W593" s="19" t="inlineStr">
        <is>
          <t>Yes</t>
        </is>
      </c>
    </row>
    <row r="594">
      <c r="A594" s="19" t="n">
        <v>715579</v>
      </c>
      <c r="B594" s="31" t="n">
        <v>46077</v>
      </c>
      <c r="C594" s="19" t="inlineStr">
        <is>
          <t>CHICAGO POLICE DEPARTMENT</t>
        </is>
      </c>
      <c r="D594" s="19" t="inlineStr">
        <is>
          <t>Primo Brands</t>
        </is>
      </c>
      <c r="E594" s="20" t="inlineStr">
        <is>
          <t>Water Services</t>
        </is>
      </c>
      <c r="F594" s="21" t="n">
        <v>118.89</v>
      </c>
      <c r="G594" s="19" t="inlineStr">
        <is>
          <t>1. Pending New Contract - Original Contract Expired. New Contract in Process</t>
        </is>
      </c>
      <c r="H594" s="19" t="inlineStr">
        <is>
          <t>A. Specification Development Phase</t>
        </is>
      </c>
      <c r="I594" s="19" t="inlineStr">
        <is>
          <t>APPROVED</t>
        </is>
      </c>
      <c r="J594" s="19" t="inlineStr">
        <is>
          <t>Yes</t>
        </is>
      </c>
      <c r="K594" s="19" t="inlineStr">
        <is>
          <t>No</t>
        </is>
      </c>
      <c r="L594" s="19" t="inlineStr"/>
      <c r="M594" s="19" t="inlineStr">
        <is>
          <t>RX676831</t>
        </is>
      </c>
      <c r="N594" s="19" t="inlineStr">
        <is>
          <t>E</t>
        </is>
      </c>
      <c r="O594" s="20" t="inlineStr">
        <is>
          <t>No linkage found in awarded contract file</t>
        </is>
      </c>
      <c r="P594" s="19" t="inlineStr"/>
      <c r="Q594" s="19" t="inlineStr"/>
      <c r="R594" s="31" t="inlineStr"/>
      <c r="S594" s="19" t="inlineStr"/>
      <c r="T594" s="19" t="inlineStr">
        <is>
          <t>No</t>
        </is>
      </c>
      <c r="U594" s="19" t="inlineStr">
        <is>
          <t>No</t>
        </is>
      </c>
      <c r="V594" s="19" t="inlineStr">
        <is>
          <t>No</t>
        </is>
      </c>
      <c r="W594" s="19" t="inlineStr">
        <is>
          <t>Yes</t>
        </is>
      </c>
    </row>
    <row r="595">
      <c r="A595" s="19" t="n">
        <v>715914</v>
      </c>
      <c r="B595" s="31" t="n">
        <v>46085</v>
      </c>
      <c r="C595" s="19" t="inlineStr">
        <is>
          <t>OFFICE OF CITY CLERK</t>
        </is>
      </c>
      <c r="D595" s="19" t="inlineStr">
        <is>
          <t>VERITIV OPERATING COMPANY</t>
        </is>
      </c>
      <c r="E595" s="20" t="inlineStr">
        <is>
          <t>Parchment Paper for Resolutions</t>
        </is>
      </c>
      <c r="F595" s="21" t="n">
        <v>0</v>
      </c>
      <c r="G595" s="19" t="inlineStr"/>
      <c r="H595" s="19" t="inlineStr"/>
      <c r="I595" s="19" t="inlineStr"/>
      <c r="J595" s="19" t="inlineStr"/>
      <c r="K595" s="19" t="inlineStr">
        <is>
          <t>No</t>
        </is>
      </c>
      <c r="L595" s="19" t="inlineStr"/>
      <c r="M595" s="19" t="inlineStr">
        <is>
          <t>VDVERITIV OPERATING</t>
        </is>
      </c>
      <c r="N595" s="19" t="inlineStr">
        <is>
          <t>E</t>
        </is>
      </c>
      <c r="O595" s="20" t="inlineStr">
        <is>
          <t>No linkage found in awarded contract file</t>
        </is>
      </c>
      <c r="P595" s="19" t="inlineStr"/>
      <c r="Q595" s="19" t="inlineStr"/>
      <c r="R595" s="31" t="inlineStr"/>
      <c r="S595" s="19" t="inlineStr"/>
      <c r="T595" s="19" t="inlineStr">
        <is>
          <t>No</t>
        </is>
      </c>
      <c r="U595" s="19" t="inlineStr">
        <is>
          <t>No</t>
        </is>
      </c>
      <c r="V595" s="19" t="inlineStr">
        <is>
          <t>No</t>
        </is>
      </c>
      <c r="W595" s="19" t="inlineStr">
        <is>
          <t>No</t>
        </is>
      </c>
    </row>
    <row r="596">
      <c r="A596" s="19" t="n">
        <v>742687</v>
      </c>
      <c r="B596" s="31" t="n">
        <v>46231</v>
      </c>
      <c r="C596" s="19" t="inlineStr">
        <is>
          <t>CHICAGO DEPARTMENT OF AVIATION</t>
        </is>
      </c>
      <c r="D596" s="19" t="inlineStr">
        <is>
          <t>PALM ELECTRIC COMPANY</t>
        </is>
      </c>
      <c r="E596" s="20" t="inlineStr">
        <is>
          <t>Invoice# I1257961</t>
        </is>
      </c>
      <c r="F596" s="21" t="n">
        <v>684760.97</v>
      </c>
      <c r="G596" s="19" t="inlineStr">
        <is>
          <t>1. Pending New Contract - Original Contract Expired. New Contract in Process</t>
        </is>
      </c>
      <c r="H596" s="19" t="inlineStr">
        <is>
          <t>C. Solicitation or Bidding Phase</t>
        </is>
      </c>
      <c r="I596" s="19" t="inlineStr">
        <is>
          <t>APPROVED</t>
        </is>
      </c>
      <c r="J596" s="19" t="inlineStr">
        <is>
          <t>Yes</t>
        </is>
      </c>
      <c r="K596" s="19" t="inlineStr">
        <is>
          <t>No</t>
        </is>
      </c>
      <c r="L596" s="19" t="inlineStr">
        <is>
          <t>Pending</t>
        </is>
      </c>
      <c r="M596" s="19" t="inlineStr">
        <is>
          <t>VDPALM ELECTRIC</t>
        </is>
      </c>
      <c r="N596" s="19" t="inlineStr">
        <is>
          <t>E</t>
        </is>
      </c>
      <c r="O596" s="20" t="inlineStr">
        <is>
          <t>No linkage found in awarded contract file</t>
        </is>
      </c>
      <c r="P596" s="19" t="inlineStr"/>
      <c r="Q596" s="19" t="inlineStr"/>
      <c r="R596" s="31" t="inlineStr"/>
      <c r="S596" s="19" t="inlineStr"/>
      <c r="T596" s="19" t="inlineStr">
        <is>
          <t>No</t>
        </is>
      </c>
      <c r="U596" s="19" t="inlineStr">
        <is>
          <t>No</t>
        </is>
      </c>
      <c r="V596" s="19" t="inlineStr">
        <is>
          <t>No</t>
        </is>
      </c>
      <c r="W596" s="19" t="inlineStr">
        <is>
          <t>Yes</t>
        </is>
      </c>
    </row>
    <row r="597">
      <c r="A597" s="19" t="n">
        <v>708713</v>
      </c>
      <c r="B597" s="31" t="n">
        <v>46052</v>
      </c>
      <c r="C597" s="19" t="inlineStr">
        <is>
          <t>CHICAGO DEPARTMENT OF AVIATION</t>
        </is>
      </c>
      <c r="D597" s="19" t="inlineStr">
        <is>
          <t>SIEMENS INDUSTRY INC. 01</t>
        </is>
      </c>
      <c r="E597" s="20" t="inlineStr">
        <is>
          <t>CDA requesting authorization to pay Siemens Industry Inc PO #84871, per service's procured in 2025 under active contract. Contract reached their vendor limit threshold, preventing processing of future and outstanding invoices. M&amp;V Niagara M</t>
        </is>
      </c>
      <c r="F597" s="21" t="n">
        <v>156240</v>
      </c>
      <c r="G597" s="19" t="inlineStr">
        <is>
          <t>2. Pending Amendment/Modification - Line Item Addition / Vendor Limit Increase / Scope Change</t>
        </is>
      </c>
      <c r="H597" s="19" t="inlineStr">
        <is>
          <t>E. ROA - (Recommendation of Award)</t>
        </is>
      </c>
      <c r="I597" s="19" t="inlineStr">
        <is>
          <t>APPROVED</t>
        </is>
      </c>
      <c r="J597" s="19" t="inlineStr">
        <is>
          <t>Yes</t>
        </is>
      </c>
      <c r="K597" s="19" t="inlineStr">
        <is>
          <t>Yes</t>
        </is>
      </c>
      <c r="L597" s="19" t="n">
        <v>84871</v>
      </c>
      <c r="M597" s="19" t="inlineStr">
        <is>
          <t>RX669621</t>
        </is>
      </c>
      <c r="N597" s="19" t="inlineStr">
        <is>
          <t>E</t>
        </is>
      </c>
      <c r="O597" s="20" t="inlineStr">
        <is>
          <t>No linkage found in awarded contract file</t>
        </is>
      </c>
      <c r="P597" s="19" t="inlineStr"/>
      <c r="Q597" s="19" t="inlineStr"/>
      <c r="R597" s="31" t="inlineStr"/>
      <c r="S597" s="19" t="inlineStr"/>
      <c r="T597" s="19" t="inlineStr">
        <is>
          <t>No</t>
        </is>
      </c>
      <c r="U597" s="19" t="inlineStr">
        <is>
          <t>No</t>
        </is>
      </c>
      <c r="V597" s="19" t="inlineStr">
        <is>
          <t>No</t>
        </is>
      </c>
      <c r="W597" s="19" t="inlineStr">
        <is>
          <t>Yes</t>
        </is>
      </c>
    </row>
    <row r="598">
      <c r="A598" s="19" t="n">
        <v>714150</v>
      </c>
      <c r="B598" s="31" t="n">
        <v>46070</v>
      </c>
      <c r="C598" s="19" t="inlineStr">
        <is>
          <t>CHICAGO DEPARTMENT OF AVIATION</t>
        </is>
      </c>
      <c r="D598" s="19" t="inlineStr">
        <is>
          <t>ARLINGTON GLASS &amp; MIRROR</t>
        </is>
      </c>
      <c r="E598" s="20" t="inlineStr">
        <is>
          <t>Glass/Mirror replacement and caulking services in Terminals and Concourses.</t>
        </is>
      </c>
      <c r="F598" s="21" t="n">
        <v>69745.7</v>
      </c>
      <c r="G598" s="19" t="inlineStr">
        <is>
          <t>1. Pending New Contract - Original Contract Expired. New Contract in Process</t>
        </is>
      </c>
      <c r="H598" s="19" t="inlineStr">
        <is>
          <t>C. Solicitation or Bidding Phase</t>
        </is>
      </c>
      <c r="I598" s="19" t="inlineStr">
        <is>
          <t>APPROVED</t>
        </is>
      </c>
      <c r="J598" s="19" t="inlineStr">
        <is>
          <t>Yes</t>
        </is>
      </c>
      <c r="K598" s="19" t="inlineStr">
        <is>
          <t>No</t>
        </is>
      </c>
      <c r="L598" s="19" t="inlineStr">
        <is>
          <t>None yet</t>
        </is>
      </c>
      <c r="M598" s="19" t="inlineStr">
        <is>
          <t>VDARLINGTON GLASS MIRROR</t>
        </is>
      </c>
      <c r="N598" s="19" t="inlineStr">
        <is>
          <t>E</t>
        </is>
      </c>
      <c r="O598" s="20" t="inlineStr">
        <is>
          <t>No linkage found in awarded contract file</t>
        </is>
      </c>
      <c r="P598" s="19" t="inlineStr"/>
      <c r="Q598" s="19" t="inlineStr"/>
      <c r="R598" s="31" t="inlineStr"/>
      <c r="S598" s="19" t="inlineStr"/>
      <c r="T598" s="19" t="inlineStr">
        <is>
          <t>No</t>
        </is>
      </c>
      <c r="U598" s="19" t="inlineStr">
        <is>
          <t>No</t>
        </is>
      </c>
      <c r="V598" s="19" t="inlineStr">
        <is>
          <t>No</t>
        </is>
      </c>
      <c r="W598" s="19" t="inlineStr">
        <is>
          <t>Yes</t>
        </is>
      </c>
    </row>
    <row r="599">
      <c r="A599" s="19" t="n">
        <v>734429</v>
      </c>
      <c r="B599" s="31" t="n">
        <v>46181</v>
      </c>
      <c r="C599" s="19" t="inlineStr">
        <is>
          <t>DEPARTMENT OF FLEET AND FACILITY MANAGEMENT</t>
        </is>
      </c>
      <c r="D599" s="19" t="inlineStr">
        <is>
          <t>CHRISTY WEBBER LANDSCAPES</t>
        </is>
      </c>
      <c r="E599" s="20" t="inlineStr">
        <is>
          <t>TB/VJ/16 INVOICES/$167,914.49</t>
        </is>
      </c>
      <c r="F599" s="21" t="n">
        <v>0</v>
      </c>
      <c r="G599" s="19" t="inlineStr">
        <is>
          <t>1. Pending New Contract - Original Contract Expired. New Contract in Process</t>
        </is>
      </c>
      <c r="H599" s="19" t="inlineStr">
        <is>
          <t>B. City Law Review</t>
        </is>
      </c>
      <c r="I599" s="19" t="inlineStr">
        <is>
          <t>APPROVED</t>
        </is>
      </c>
      <c r="J599" s="19" t="inlineStr">
        <is>
          <t>Yes</t>
        </is>
      </c>
      <c r="K599" s="19" t="inlineStr">
        <is>
          <t>No</t>
        </is>
      </c>
      <c r="L599" s="19" t="inlineStr"/>
      <c r="M599" s="19" t="inlineStr">
        <is>
          <t>RX652655</t>
        </is>
      </c>
      <c r="N599" s="19" t="inlineStr">
        <is>
          <t>E</t>
        </is>
      </c>
      <c r="O599" s="20" t="inlineStr">
        <is>
          <t>No linkage found in awarded contract file</t>
        </is>
      </c>
      <c r="P599" s="19" t="inlineStr"/>
      <c r="Q599" s="19" t="inlineStr"/>
      <c r="R599" s="31" t="inlineStr"/>
      <c r="S599" s="19" t="inlineStr"/>
      <c r="T599" s="19" t="inlineStr">
        <is>
          <t>No</t>
        </is>
      </c>
      <c r="U599" s="19" t="inlineStr">
        <is>
          <t>No</t>
        </is>
      </c>
      <c r="V599" s="19" t="inlineStr">
        <is>
          <t>No</t>
        </is>
      </c>
      <c r="W599" s="19" t="inlineStr">
        <is>
          <t>Yes</t>
        </is>
      </c>
    </row>
    <row r="600">
      <c r="A600" s="19" t="n">
        <v>745129</v>
      </c>
      <c r="B600" s="31" t="n">
        <v>46246</v>
      </c>
      <c r="C600" s="19" t="inlineStr">
        <is>
          <t>DEPARTMENT OF FLEET AND FACILITY MANAGEMENT</t>
        </is>
      </c>
      <c r="D600" s="19" t="inlineStr">
        <is>
          <t>ROOT BROS MFG &amp; SUPPLY CO</t>
        </is>
      </c>
      <c r="E600" s="20" t="inlineStr">
        <is>
          <t>TB/AO/2 INVOICES/$29,195.38</t>
        </is>
      </c>
      <c r="F600" s="21" t="n">
        <v>29195.38</v>
      </c>
      <c r="G600" s="19" t="inlineStr">
        <is>
          <t>2. Pending Amendment/Modification - Line Item Addition / Vendor Limit Increase / Scope Change</t>
        </is>
      </c>
      <c r="H600" s="19" t="inlineStr">
        <is>
          <t>A. Specification Development Phase</t>
        </is>
      </c>
      <c r="I600" s="19" t="inlineStr">
        <is>
          <t>APPROVED</t>
        </is>
      </c>
      <c r="J600" s="19" t="inlineStr">
        <is>
          <t>Yes</t>
        </is>
      </c>
      <c r="K600" s="19" t="inlineStr">
        <is>
          <t>No</t>
        </is>
      </c>
      <c r="L600" s="19" t="inlineStr"/>
      <c r="M600" s="19" t="inlineStr">
        <is>
          <t>RX717298</t>
        </is>
      </c>
      <c r="N600" s="19" t="inlineStr">
        <is>
          <t>C</t>
        </is>
      </c>
      <c r="O600" s="20" t="inlineStr">
        <is>
          <t>Vendor name match only (similarity 0.00)</t>
        </is>
      </c>
      <c r="P600" s="19" t="inlineStr">
        <is>
          <t>376209</t>
        </is>
      </c>
      <c r="Q600" s="19" t="inlineStr">
        <is>
          <t>ROOT BROS MFG &amp; SUPPLY CO</t>
        </is>
      </c>
      <c r="R600" s="31" t="n">
        <v>46220</v>
      </c>
      <c r="S600" s="19" t="inlineStr">
        <is>
          <t>BID</t>
        </is>
      </c>
      <c r="T600" s="19" t="inlineStr">
        <is>
          <t>Yes</t>
        </is>
      </c>
      <c r="U600" s="19" t="inlineStr">
        <is>
          <t>No</t>
        </is>
      </c>
      <c r="V600" s="19" t="inlineStr">
        <is>
          <t>No</t>
        </is>
      </c>
      <c r="W600" s="19" t="inlineStr">
        <is>
          <t>Yes</t>
        </is>
      </c>
    </row>
    <row r="601">
      <c r="A601" s="19" t="n">
        <v>727801</v>
      </c>
      <c r="B601" s="31" t="n">
        <v>46141</v>
      </c>
      <c r="C601" s="19" t="inlineStr">
        <is>
          <t>DEPARTMENT OF FLEET AND FACILITY MANAGEMENT</t>
        </is>
      </c>
      <c r="D601" s="19" t="inlineStr">
        <is>
          <t>C &amp; C COMMUNICATIONS IL</t>
        </is>
      </c>
      <c r="E601" s="20" t="inlineStr">
        <is>
          <t>TB/CC/INVOICE #3372/$5530.00</t>
        </is>
      </c>
      <c r="F601" s="21" t="n">
        <v>5530</v>
      </c>
      <c r="G601" s="19" t="inlineStr">
        <is>
          <t>2. Pending Amendment/Modification - Line Item Addition / Vendor Limit Increase / Scope Change</t>
        </is>
      </c>
      <c r="H601" s="19" t="inlineStr">
        <is>
          <t>A. Specification Development Phase</t>
        </is>
      </c>
      <c r="I601" s="19" t="inlineStr">
        <is>
          <t>APPROVED</t>
        </is>
      </c>
      <c r="J601" s="19" t="inlineStr">
        <is>
          <t>No</t>
        </is>
      </c>
      <c r="K601" s="19" t="inlineStr">
        <is>
          <t>No</t>
        </is>
      </c>
      <c r="L601" s="19" t="inlineStr"/>
      <c r="M601" s="19" t="inlineStr">
        <is>
          <t>RX710994</t>
        </is>
      </c>
      <c r="N601" s="19" t="inlineStr">
        <is>
          <t>E</t>
        </is>
      </c>
      <c r="O601" s="20" t="inlineStr">
        <is>
          <t>No linkage found in awarded contract file</t>
        </is>
      </c>
      <c r="P601" s="19" t="inlineStr"/>
      <c r="Q601" s="19" t="inlineStr"/>
      <c r="R601" s="31" t="inlineStr"/>
      <c r="S601" s="19" t="inlineStr"/>
      <c r="T601" s="19" t="inlineStr">
        <is>
          <t>No</t>
        </is>
      </c>
      <c r="U601" s="19" t="inlineStr">
        <is>
          <t>No</t>
        </is>
      </c>
      <c r="V601" s="19" t="inlineStr">
        <is>
          <t>No</t>
        </is>
      </c>
      <c r="W601" s="19" t="inlineStr">
        <is>
          <t>No</t>
        </is>
      </c>
    </row>
    <row r="602">
      <c r="A602" s="19" t="n">
        <v>727931</v>
      </c>
      <c r="B602" s="31" t="n">
        <v>46141</v>
      </c>
      <c r="C602" s="19" t="inlineStr">
        <is>
          <t>DEPARTMENT OF FLEET AND FACILITY MANAGEMENT</t>
        </is>
      </c>
      <c r="D602" s="19" t="inlineStr">
        <is>
          <t>C &amp; C COMMUNICATIONS IL</t>
        </is>
      </c>
      <c r="E602" s="20" t="inlineStr">
        <is>
          <t>TB/RS/INVOICE #3369/$7091.31</t>
        </is>
      </c>
      <c r="F602" s="21" t="n">
        <v>7091.31</v>
      </c>
      <c r="G602" s="19" t="inlineStr">
        <is>
          <t>2. Pending Amendment/Modification - Line Item Addition / Vendor Limit Increase / Scope Change</t>
        </is>
      </c>
      <c r="H602" s="19" t="inlineStr">
        <is>
          <t>A. Specification Development Phase</t>
        </is>
      </c>
      <c r="I602" s="19" t="inlineStr">
        <is>
          <t>APPROVED</t>
        </is>
      </c>
      <c r="J602" s="19" t="inlineStr">
        <is>
          <t>No</t>
        </is>
      </c>
      <c r="K602" s="19" t="inlineStr">
        <is>
          <t>No</t>
        </is>
      </c>
      <c r="L602" s="19" t="inlineStr"/>
      <c r="M602" s="19" t="inlineStr">
        <is>
          <t>RX710994</t>
        </is>
      </c>
      <c r="N602" s="19" t="inlineStr">
        <is>
          <t>E</t>
        </is>
      </c>
      <c r="O602" s="20" t="inlineStr">
        <is>
          <t>No linkage found in awarded contract file</t>
        </is>
      </c>
      <c r="P602" s="19" t="inlineStr"/>
      <c r="Q602" s="19" t="inlineStr"/>
      <c r="R602" s="31" t="inlineStr"/>
      <c r="S602" s="19" t="inlineStr"/>
      <c r="T602" s="19" t="inlineStr">
        <is>
          <t>No</t>
        </is>
      </c>
      <c r="U602" s="19" t="inlineStr">
        <is>
          <t>No</t>
        </is>
      </c>
      <c r="V602" s="19" t="inlineStr">
        <is>
          <t>No</t>
        </is>
      </c>
      <c r="W602" s="19" t="inlineStr">
        <is>
          <t>No</t>
        </is>
      </c>
    </row>
    <row r="603">
      <c r="A603" s="19" t="n">
        <v>727825</v>
      </c>
      <c r="B603" s="31" t="n">
        <v>46141</v>
      </c>
      <c r="C603" s="19" t="inlineStr">
        <is>
          <t>DEPARTMENT OF FLEET AND FACILITY MANAGEMENT</t>
        </is>
      </c>
      <c r="D603" s="19" t="inlineStr">
        <is>
          <t>C &amp; C COMMUNICATIONS IL</t>
        </is>
      </c>
      <c r="E603" s="20" t="inlineStr">
        <is>
          <t>TB/CC/INVOICE #3368/$6216.60</t>
        </is>
      </c>
      <c r="F603" s="21" t="n">
        <v>6216.6</v>
      </c>
      <c r="G603" s="19" t="inlineStr">
        <is>
          <t>2. Pending Amendment/Modification - Line Item Addition / Vendor Limit Increase / Scope Change</t>
        </is>
      </c>
      <c r="H603" s="19" t="inlineStr">
        <is>
          <t>A. Specification Development Phase</t>
        </is>
      </c>
      <c r="I603" s="19" t="inlineStr">
        <is>
          <t>APPROVED</t>
        </is>
      </c>
      <c r="J603" s="19" t="inlineStr">
        <is>
          <t>No</t>
        </is>
      </c>
      <c r="K603" s="19" t="inlineStr">
        <is>
          <t>No</t>
        </is>
      </c>
      <c r="L603" s="19" t="inlineStr"/>
      <c r="M603" s="19" t="inlineStr">
        <is>
          <t>RX710994</t>
        </is>
      </c>
      <c r="N603" s="19" t="inlineStr">
        <is>
          <t>E</t>
        </is>
      </c>
      <c r="O603" s="20" t="inlineStr">
        <is>
          <t>No linkage found in awarded contract file</t>
        </is>
      </c>
      <c r="P603" s="19" t="inlineStr"/>
      <c r="Q603" s="19" t="inlineStr"/>
      <c r="R603" s="31" t="inlineStr"/>
      <c r="S603" s="19" t="inlineStr"/>
      <c r="T603" s="19" t="inlineStr">
        <is>
          <t>No</t>
        </is>
      </c>
      <c r="U603" s="19" t="inlineStr">
        <is>
          <t>No</t>
        </is>
      </c>
      <c r="V603" s="19" t="inlineStr">
        <is>
          <t>No</t>
        </is>
      </c>
      <c r="W603" s="19" t="inlineStr">
        <is>
          <t>No</t>
        </is>
      </c>
    </row>
    <row r="604">
      <c r="A604" s="19" t="n">
        <v>734288</v>
      </c>
      <c r="B604" s="31" t="n">
        <v>46177</v>
      </c>
      <c r="C604" s="19" t="inlineStr">
        <is>
          <t>DEPARTMENT OF FLEET AND FACILITY MANAGEMENT</t>
        </is>
      </c>
      <c r="D604" s="19" t="inlineStr">
        <is>
          <t>C &amp; C COMMUNICATIONS IL</t>
        </is>
      </c>
      <c r="E604" s="20" t="inlineStr">
        <is>
          <t>TB/CC/INVOICE #3359/$2400.00</t>
        </is>
      </c>
      <c r="F604" s="21" t="n">
        <v>2400</v>
      </c>
      <c r="G604" s="19" t="inlineStr">
        <is>
          <t>2. Pending Amendment/Modification - Line Item Addition / Vendor Limit Increase / Scope Change</t>
        </is>
      </c>
      <c r="H604" s="19" t="inlineStr">
        <is>
          <t>A. Specification Development Phase</t>
        </is>
      </c>
      <c r="I604" s="19" t="inlineStr">
        <is>
          <t>APPROVED</t>
        </is>
      </c>
      <c r="J604" s="19" t="inlineStr">
        <is>
          <t>No</t>
        </is>
      </c>
      <c r="K604" s="19" t="inlineStr">
        <is>
          <t>No</t>
        </is>
      </c>
      <c r="L604" s="19" t="inlineStr"/>
      <c r="M604" s="19" t="inlineStr">
        <is>
          <t>RX710994</t>
        </is>
      </c>
      <c r="N604" s="19" t="inlineStr">
        <is>
          <t>E</t>
        </is>
      </c>
      <c r="O604" s="20" t="inlineStr">
        <is>
          <t>No linkage found in awarded contract file</t>
        </is>
      </c>
      <c r="P604" s="19" t="inlineStr"/>
      <c r="Q604" s="19" t="inlineStr"/>
      <c r="R604" s="31" t="inlineStr"/>
      <c r="S604" s="19" t="inlineStr"/>
      <c r="T604" s="19" t="inlineStr">
        <is>
          <t>No</t>
        </is>
      </c>
      <c r="U604" s="19" t="inlineStr">
        <is>
          <t>No</t>
        </is>
      </c>
      <c r="V604" s="19" t="inlineStr">
        <is>
          <t>No</t>
        </is>
      </c>
      <c r="W604" s="19" t="inlineStr">
        <is>
          <t>No</t>
        </is>
      </c>
    </row>
    <row r="605">
      <c r="A605" s="19" t="n">
        <v>721906</v>
      </c>
      <c r="B605" s="31" t="n">
        <v>46107</v>
      </c>
      <c r="C605" s="19" t="inlineStr">
        <is>
          <t>DEPARTMENT OF FLEET AND FACILITY MANAGEMENT</t>
        </is>
      </c>
      <c r="D605" s="19" t="inlineStr">
        <is>
          <t>C &amp; C COMMUNICATIONS IL</t>
        </is>
      </c>
      <c r="E605" s="20" t="inlineStr">
        <is>
          <t>TB/PV/INV#3352/$1950.00</t>
        </is>
      </c>
      <c r="F605" s="21" t="n">
        <v>1950</v>
      </c>
      <c r="G605" s="19" t="inlineStr">
        <is>
          <t>2. Pending Amendment/Modification - Line Item Addition / Vendor Limit Increase / Scope Change</t>
        </is>
      </c>
      <c r="H605" s="19" t="inlineStr">
        <is>
          <t>A. Specification Development Phase</t>
        </is>
      </c>
      <c r="I605" s="19" t="inlineStr">
        <is>
          <t>APPROVED</t>
        </is>
      </c>
      <c r="J605" s="19" t="inlineStr">
        <is>
          <t>No</t>
        </is>
      </c>
      <c r="K605" s="19" t="inlineStr">
        <is>
          <t>No</t>
        </is>
      </c>
      <c r="L605" s="19" t="inlineStr"/>
      <c r="M605" s="19" t="inlineStr">
        <is>
          <t>RX710994</t>
        </is>
      </c>
      <c r="N605" s="19" t="inlineStr">
        <is>
          <t>E</t>
        </is>
      </c>
      <c r="O605" s="20" t="inlineStr">
        <is>
          <t>No linkage found in awarded contract file</t>
        </is>
      </c>
      <c r="P605" s="19" t="inlineStr"/>
      <c r="Q605" s="19" t="inlineStr"/>
      <c r="R605" s="31" t="inlineStr"/>
      <c r="S605" s="19" t="inlineStr"/>
      <c r="T605" s="19" t="inlineStr">
        <is>
          <t>No</t>
        </is>
      </c>
      <c r="U605" s="19" t="inlineStr">
        <is>
          <t>No</t>
        </is>
      </c>
      <c r="V605" s="19" t="inlineStr">
        <is>
          <t>No</t>
        </is>
      </c>
      <c r="W605" s="19" t="inlineStr">
        <is>
          <t>No</t>
        </is>
      </c>
    </row>
    <row r="606">
      <c r="A606" s="19" t="n">
        <v>734245</v>
      </c>
      <c r="B606" s="31" t="n">
        <v>46181</v>
      </c>
      <c r="C606" s="19" t="inlineStr">
        <is>
          <t>DEPARTMENT OF FLEET AND FACILITY MANAGEMENT</t>
        </is>
      </c>
      <c r="D606" s="19" t="inlineStr">
        <is>
          <t>C &amp; C COMMUNICATIONS IL</t>
        </is>
      </c>
      <c r="E606" s="20" t="inlineStr">
        <is>
          <t>TB/CC/INVOICE #O38604D105/$36051.84</t>
        </is>
      </c>
      <c r="F606" s="21" t="n">
        <v>36051.84</v>
      </c>
      <c r="G606" s="19" t="inlineStr">
        <is>
          <t>2. Pending Amendment/Modification - Line Item Addition / Vendor Limit Increase / Scope Change</t>
        </is>
      </c>
      <c r="H606" s="19" t="inlineStr">
        <is>
          <t>A. Specification Development Phase</t>
        </is>
      </c>
      <c r="I606" s="19" t="inlineStr">
        <is>
          <t>APPROVED</t>
        </is>
      </c>
      <c r="J606" s="19" t="inlineStr">
        <is>
          <t>No</t>
        </is>
      </c>
      <c r="K606" s="19" t="inlineStr">
        <is>
          <t>No</t>
        </is>
      </c>
      <c r="L606" s="19" t="inlineStr"/>
      <c r="M606" s="19" t="inlineStr">
        <is>
          <t>RX710994</t>
        </is>
      </c>
      <c r="N606" s="19" t="inlineStr">
        <is>
          <t>E</t>
        </is>
      </c>
      <c r="O606" s="20" t="inlineStr">
        <is>
          <t>No linkage found in awarded contract file</t>
        </is>
      </c>
      <c r="P606" s="19" t="inlineStr"/>
      <c r="Q606" s="19" t="inlineStr"/>
      <c r="R606" s="31" t="inlineStr"/>
      <c r="S606" s="19" t="inlineStr"/>
      <c r="T606" s="19" t="inlineStr">
        <is>
          <t>No</t>
        </is>
      </c>
      <c r="U606" s="19" t="inlineStr">
        <is>
          <t>No</t>
        </is>
      </c>
      <c r="V606" s="19" t="inlineStr">
        <is>
          <t>No</t>
        </is>
      </c>
      <c r="W606" s="19" t="inlineStr">
        <is>
          <t>No</t>
        </is>
      </c>
    </row>
    <row r="607">
      <c r="A607" s="19" t="n">
        <v>721913</v>
      </c>
      <c r="B607" s="31" t="n">
        <v>46107</v>
      </c>
      <c r="C607" s="19" t="inlineStr">
        <is>
          <t>DEPARTMENT OF FLEET AND FACILITY MANAGEMENT</t>
        </is>
      </c>
      <c r="D607" s="19" t="inlineStr">
        <is>
          <t>AGAE CONTRACTORS, INC.</t>
        </is>
      </c>
      <c r="E607" s="20" t="inlineStr">
        <is>
          <t>TB/AO/INV#S3378-1/$457.94</t>
        </is>
      </c>
      <c r="F607" s="21" t="n">
        <v>457.94</v>
      </c>
      <c r="G607" s="19" t="inlineStr">
        <is>
          <t>1. Pending New Contract - Original Contract Expired. New Contract in Process</t>
        </is>
      </c>
      <c r="H607" s="19" t="inlineStr">
        <is>
          <t>C. Solicitation or Bidding Phase</t>
        </is>
      </c>
      <c r="I607" s="19" t="inlineStr">
        <is>
          <t>APPROVED</t>
        </is>
      </c>
      <c r="J607" s="19" t="inlineStr">
        <is>
          <t>Yes</t>
        </is>
      </c>
      <c r="K607" s="19" t="inlineStr">
        <is>
          <t>No</t>
        </is>
      </c>
      <c r="L607" s="19" t="inlineStr"/>
      <c r="M607" s="19" t="inlineStr">
        <is>
          <t>RX607736</t>
        </is>
      </c>
      <c r="N607" s="19" t="inlineStr">
        <is>
          <t>E</t>
        </is>
      </c>
      <c r="O607" s="20" t="inlineStr">
        <is>
          <t>No linkage found in awarded contract file</t>
        </is>
      </c>
      <c r="P607" s="19" t="inlineStr"/>
      <c r="Q607" s="19" t="inlineStr"/>
      <c r="R607" s="31" t="inlineStr"/>
      <c r="S607" s="19" t="inlineStr"/>
      <c r="T607" s="19" t="inlineStr">
        <is>
          <t>No</t>
        </is>
      </c>
      <c r="U607" s="19" t="inlineStr">
        <is>
          <t>No</t>
        </is>
      </c>
      <c r="V607" s="19" t="inlineStr">
        <is>
          <t>No</t>
        </is>
      </c>
      <c r="W607" s="19" t="inlineStr">
        <is>
          <t>Yes</t>
        </is>
      </c>
    </row>
    <row r="608">
      <c r="A608" s="19" t="n">
        <v>745423</v>
      </c>
      <c r="B608" s="31" t="n">
        <v>46246</v>
      </c>
      <c r="C608" s="19" t="inlineStr">
        <is>
          <t>DEPARTMENT OF FLEET AND FACILITY MANAGEMENT</t>
        </is>
      </c>
      <c r="D608" s="19" t="inlineStr">
        <is>
          <t>ZIPCAR  INC</t>
        </is>
      </c>
      <c r="E608" s="20" t="inlineStr">
        <is>
          <t>TB/NH/10 INVOICES/$3128.16</t>
        </is>
      </c>
      <c r="F608" s="21" t="n">
        <v>3128.16</v>
      </c>
      <c r="G608" s="19" t="inlineStr">
        <is>
          <t>1. Pending New Contract - Original Contract Expired. New Contract in Process</t>
        </is>
      </c>
      <c r="H608" s="19" t="inlineStr">
        <is>
          <t>B. City Law Review</t>
        </is>
      </c>
      <c r="I608" s="19" t="inlineStr">
        <is>
          <t>APPROVED</t>
        </is>
      </c>
      <c r="J608" s="19" t="inlineStr">
        <is>
          <t>No</t>
        </is>
      </c>
      <c r="K608" s="19" t="inlineStr">
        <is>
          <t>No</t>
        </is>
      </c>
      <c r="L608" s="19" t="inlineStr"/>
      <c r="M608" s="19" t="inlineStr">
        <is>
          <t>RX529316</t>
        </is>
      </c>
      <c r="N608" s="19" t="inlineStr">
        <is>
          <t>E</t>
        </is>
      </c>
      <c r="O608" s="20" t="inlineStr">
        <is>
          <t>No linkage found in awarded contract file</t>
        </is>
      </c>
      <c r="P608" s="19" t="inlineStr"/>
      <c r="Q608" s="19" t="inlineStr"/>
      <c r="R608" s="31" t="inlineStr"/>
      <c r="S608" s="19" t="inlineStr"/>
      <c r="T608" s="19" t="inlineStr">
        <is>
          <t>No</t>
        </is>
      </c>
      <c r="U608" s="19" t="inlineStr">
        <is>
          <t>No</t>
        </is>
      </c>
      <c r="V608" s="19" t="inlineStr">
        <is>
          <t>No</t>
        </is>
      </c>
      <c r="W608" s="19" t="inlineStr">
        <is>
          <t>No</t>
        </is>
      </c>
    </row>
    <row r="609">
      <c r="A609" s="19" t="n">
        <v>711544</v>
      </c>
      <c r="B609" s="31" t="n">
        <v>46052</v>
      </c>
      <c r="C609" s="19" t="inlineStr">
        <is>
          <t>DEPARTMENT OF FLEET AND FACILITY MANAGEMENT</t>
        </is>
      </c>
      <c r="D609" s="19" t="inlineStr">
        <is>
          <t>ZIPCAR  INC</t>
        </is>
      </c>
      <c r="E609" s="20" t="inlineStr">
        <is>
          <t>TB/NH/9 INVOICES/$3675.40</t>
        </is>
      </c>
      <c r="F609" s="21" t="n">
        <v>3675.4</v>
      </c>
      <c r="G609" s="19" t="inlineStr">
        <is>
          <t>1. Pending New Contract - Original Contract Expired. New Contract in Process</t>
        </is>
      </c>
      <c r="H609" s="19" t="inlineStr">
        <is>
          <t>B. City Law Review</t>
        </is>
      </c>
      <c r="I609" s="19" t="inlineStr">
        <is>
          <t>APPROVED</t>
        </is>
      </c>
      <c r="J609" s="19" t="inlineStr">
        <is>
          <t>No</t>
        </is>
      </c>
      <c r="K609" s="19" t="inlineStr">
        <is>
          <t>No</t>
        </is>
      </c>
      <c r="L609" s="19" t="inlineStr"/>
      <c r="M609" s="19" t="inlineStr">
        <is>
          <t>RX529316</t>
        </is>
      </c>
      <c r="N609" s="19" t="inlineStr">
        <is>
          <t>E</t>
        </is>
      </c>
      <c r="O609" s="20" t="inlineStr">
        <is>
          <t>No linkage found in awarded contract file</t>
        </is>
      </c>
      <c r="P609" s="19" t="inlineStr"/>
      <c r="Q609" s="19" t="inlineStr"/>
      <c r="R609" s="31" t="inlineStr"/>
      <c r="S609" s="19" t="inlineStr"/>
      <c r="T609" s="19" t="inlineStr">
        <is>
          <t>No</t>
        </is>
      </c>
      <c r="U609" s="19" t="inlineStr">
        <is>
          <t>No</t>
        </is>
      </c>
      <c r="V609" s="19" t="inlineStr">
        <is>
          <t>No</t>
        </is>
      </c>
      <c r="W609" s="19" t="inlineStr">
        <is>
          <t>No</t>
        </is>
      </c>
    </row>
    <row r="610">
      <c r="A610" s="19" t="n">
        <v>710995</v>
      </c>
      <c r="B610" s="31" t="n">
        <v>46051</v>
      </c>
      <c r="C610" s="19" t="inlineStr">
        <is>
          <t>DEPARTMENT OF FLEET AND FACILITY MANAGEMENT</t>
        </is>
      </c>
      <c r="D610" s="19" t="inlineStr">
        <is>
          <t>INDUSTRIAL FENCE INC.</t>
        </is>
      </c>
      <c r="E610" s="20" t="inlineStr">
        <is>
          <t>TB/AH/INV#25461/$2602.20</t>
        </is>
      </c>
      <c r="F610" s="21" t="n">
        <v>2602.2</v>
      </c>
      <c r="G610" s="19" t="inlineStr">
        <is>
          <t>1. Pending New Contract - Original Contract Expired. New Contract in Process</t>
        </is>
      </c>
      <c r="H610" s="19" t="inlineStr">
        <is>
          <t>A. Specification Development Phase</t>
        </is>
      </c>
      <c r="I610" s="19" t="inlineStr">
        <is>
          <t>APPROVED</t>
        </is>
      </c>
      <c r="J610" s="19" t="inlineStr">
        <is>
          <t>No</t>
        </is>
      </c>
      <c r="K610" s="19" t="inlineStr">
        <is>
          <t>No</t>
        </is>
      </c>
      <c r="L610" s="19" t="inlineStr">
        <is>
          <t>TBD</t>
        </is>
      </c>
      <c r="M610" s="19" t="inlineStr">
        <is>
          <t>RX596048</t>
        </is>
      </c>
      <c r="N610" s="19" t="inlineStr">
        <is>
          <t>E</t>
        </is>
      </c>
      <c r="O610" s="20" t="inlineStr">
        <is>
          <t>No linkage found in awarded contract file</t>
        </is>
      </c>
      <c r="P610" s="19" t="inlineStr"/>
      <c r="Q610" s="19" t="inlineStr"/>
      <c r="R610" s="31" t="inlineStr"/>
      <c r="S610" s="19" t="inlineStr"/>
      <c r="T610" s="19" t="inlineStr">
        <is>
          <t>No</t>
        </is>
      </c>
      <c r="U610" s="19" t="inlineStr">
        <is>
          <t>No</t>
        </is>
      </c>
      <c r="V610" s="19" t="inlineStr">
        <is>
          <t>No</t>
        </is>
      </c>
      <c r="W610" s="19" t="inlineStr">
        <is>
          <t>No</t>
        </is>
      </c>
    </row>
    <row r="611">
      <c r="A611" s="19" t="n">
        <v>742293</v>
      </c>
      <c r="B611" s="31" t="n">
        <v>46226</v>
      </c>
      <c r="C611" s="19" t="inlineStr">
        <is>
          <t>DEPARTMENT OF FLEET AND FACILITY MANAGEMENT</t>
        </is>
      </c>
      <c r="D611" s="19" t="inlineStr">
        <is>
          <t>INDUSTRIAL FENCE INC.</t>
        </is>
      </c>
      <c r="E611" s="20" t="inlineStr">
        <is>
          <t>TB/CE/INVOICE #26413/$33,999.47</t>
        </is>
      </c>
      <c r="F611" s="21" t="n">
        <v>33999.47</v>
      </c>
      <c r="G611" s="19" t="inlineStr">
        <is>
          <t>1. Pending New Contract - Original Contract Expired. New Contract in Process</t>
        </is>
      </c>
      <c r="H611" s="19" t="inlineStr">
        <is>
          <t>A. Specification Development Phase</t>
        </is>
      </c>
      <c r="I611" s="19" t="inlineStr">
        <is>
          <t>APPROVED</t>
        </is>
      </c>
      <c r="J611" s="19" t="inlineStr">
        <is>
          <t>No</t>
        </is>
      </c>
      <c r="K611" s="19" t="inlineStr">
        <is>
          <t>No</t>
        </is>
      </c>
      <c r="L611" s="19" t="inlineStr">
        <is>
          <t>TBD</t>
        </is>
      </c>
      <c r="M611" s="19" t="inlineStr">
        <is>
          <t>RX596048</t>
        </is>
      </c>
      <c r="N611" s="19" t="inlineStr">
        <is>
          <t>E</t>
        </is>
      </c>
      <c r="O611" s="20" t="inlineStr">
        <is>
          <t>No linkage found in awarded contract file</t>
        </is>
      </c>
      <c r="P611" s="19" t="inlineStr"/>
      <c r="Q611" s="19" t="inlineStr"/>
      <c r="R611" s="31" t="inlineStr"/>
      <c r="S611" s="19" t="inlineStr"/>
      <c r="T611" s="19" t="inlineStr">
        <is>
          <t>No</t>
        </is>
      </c>
      <c r="U611" s="19" t="inlineStr">
        <is>
          <t>No</t>
        </is>
      </c>
      <c r="V611" s="19" t="inlineStr">
        <is>
          <t>No</t>
        </is>
      </c>
      <c r="W611" s="19" t="inlineStr">
        <is>
          <t>No</t>
        </is>
      </c>
    </row>
    <row r="612">
      <c r="A612" s="19" t="n">
        <v>708099</v>
      </c>
      <c r="B612" s="31" t="n">
        <v>46034</v>
      </c>
      <c r="C612" s="19" t="inlineStr">
        <is>
          <t>DEPARTMENT OF FLEET AND FACILITY MANAGEMENT</t>
        </is>
      </c>
      <c r="D612" s="19" t="inlineStr">
        <is>
          <t>INDUSTRIAL FENCE INC.</t>
        </is>
      </c>
      <c r="E612" s="20" t="inlineStr">
        <is>
          <t>TB/AH/INV#25448/$22,462.27</t>
        </is>
      </c>
      <c r="F612" s="21" t="n">
        <v>22462.27</v>
      </c>
      <c r="G612" s="19" t="inlineStr">
        <is>
          <t>1. Pending New Contract - Original Contract Expired. New Contract in Process</t>
        </is>
      </c>
      <c r="H612" s="19" t="inlineStr">
        <is>
          <t>A. Specification Development Phase</t>
        </is>
      </c>
      <c r="I612" s="19" t="inlineStr">
        <is>
          <t>APPROVED</t>
        </is>
      </c>
      <c r="J612" s="19" t="inlineStr">
        <is>
          <t>No</t>
        </is>
      </c>
      <c r="K612" s="19" t="inlineStr">
        <is>
          <t>No</t>
        </is>
      </c>
      <c r="L612" s="19" t="inlineStr">
        <is>
          <t>TBD</t>
        </is>
      </c>
      <c r="M612" s="19" t="inlineStr">
        <is>
          <t>RX596048</t>
        </is>
      </c>
      <c r="N612" s="19" t="inlineStr">
        <is>
          <t>E</t>
        </is>
      </c>
      <c r="O612" s="20" t="inlineStr">
        <is>
          <t>No linkage found in awarded contract file</t>
        </is>
      </c>
      <c r="P612" s="19" t="inlineStr"/>
      <c r="Q612" s="19" t="inlineStr"/>
      <c r="R612" s="31" t="inlineStr"/>
      <c r="S612" s="19" t="inlineStr"/>
      <c r="T612" s="19" t="inlineStr">
        <is>
          <t>No</t>
        </is>
      </c>
      <c r="U612" s="19" t="inlineStr">
        <is>
          <t>No</t>
        </is>
      </c>
      <c r="V612" s="19" t="inlineStr">
        <is>
          <t>No</t>
        </is>
      </c>
      <c r="W612" s="19" t="inlineStr">
        <is>
          <t>No</t>
        </is>
      </c>
    </row>
    <row r="613">
      <c r="A613" s="19" t="n">
        <v>728305</v>
      </c>
      <c r="B613" s="31" t="n">
        <v>46142</v>
      </c>
      <c r="C613" s="19" t="inlineStr">
        <is>
          <t>DEPARTMENT OF FLEET AND FACILITY MANAGEMENT</t>
        </is>
      </c>
      <c r="D613" s="19" t="inlineStr">
        <is>
          <t>SPEEDY GONZALEZ LANDSCAPING INC</t>
        </is>
      </c>
      <c r="E613" s="20" t="inlineStr">
        <is>
          <t>TB/AH/8 INVOICES/$33,788.05</t>
        </is>
      </c>
      <c r="F613" s="21" t="n">
        <v>33788.05</v>
      </c>
      <c r="G613" s="19" t="inlineStr">
        <is>
          <t>2. Pending Amendment/Modification - Line Item Addition / Vendor Limit Increase / Scope Change</t>
        </is>
      </c>
      <c r="H613" s="19" t="inlineStr">
        <is>
          <t>C. Solicitation or Bidding Phase</t>
        </is>
      </c>
      <c r="I613" s="19" t="inlineStr">
        <is>
          <t>APPROVED</t>
        </is>
      </c>
      <c r="J613" s="19" t="inlineStr">
        <is>
          <t>Yes</t>
        </is>
      </c>
      <c r="K613" s="19" t="inlineStr">
        <is>
          <t>No</t>
        </is>
      </c>
      <c r="L613" s="19" t="inlineStr"/>
      <c r="M613" s="19" t="inlineStr">
        <is>
          <t>RX690281</t>
        </is>
      </c>
      <c r="N613" s="19" t="inlineStr">
        <is>
          <t>E</t>
        </is>
      </c>
      <c r="O613" s="20" t="inlineStr">
        <is>
          <t>No linkage found in awarded contract file</t>
        </is>
      </c>
      <c r="P613" s="19" t="inlineStr"/>
      <c r="Q613" s="19" t="inlineStr"/>
      <c r="R613" s="31" t="inlineStr"/>
      <c r="S613" s="19" t="inlineStr"/>
      <c r="T613" s="19" t="inlineStr">
        <is>
          <t>No</t>
        </is>
      </c>
      <c r="U613" s="19" t="inlineStr">
        <is>
          <t>No</t>
        </is>
      </c>
      <c r="V613" s="19" t="inlineStr">
        <is>
          <t>No</t>
        </is>
      </c>
      <c r="W613" s="19" t="inlineStr">
        <is>
          <t>Yes</t>
        </is>
      </c>
    </row>
    <row r="614">
      <c r="A614" s="19" t="n">
        <v>711023</v>
      </c>
      <c r="B614" s="31" t="n">
        <v>46052</v>
      </c>
      <c r="C614" s="19" t="inlineStr">
        <is>
          <t>DEPARTMENT OF FLEET AND FACILITY MANAGEMENT</t>
        </is>
      </c>
      <c r="D614" s="19" t="inlineStr">
        <is>
          <t>CHARLES EQUIPMENT ENERGY SYSTEMS LLC</t>
        </is>
      </c>
      <c r="E614" s="20" t="inlineStr">
        <is>
          <t>TB/AH/INV#18608/$3106.00</t>
        </is>
      </c>
      <c r="F614" s="21" t="n">
        <v>3106</v>
      </c>
      <c r="G614" s="19" t="inlineStr">
        <is>
          <t>1. Pending New Contract - Original Contract Expired. New Contract in Process</t>
        </is>
      </c>
      <c r="H614" s="19" t="inlineStr">
        <is>
          <t>A. Specification Development Phase</t>
        </is>
      </c>
      <c r="I614" s="19" t="inlineStr">
        <is>
          <t>APPROVED</t>
        </is>
      </c>
      <c r="J614" s="19" t="inlineStr">
        <is>
          <t>Yes</t>
        </is>
      </c>
      <c r="K614" s="19" t="inlineStr">
        <is>
          <t>No</t>
        </is>
      </c>
      <c r="L614" s="19" t="inlineStr"/>
      <c r="M614" s="19" t="inlineStr">
        <is>
          <t>RX622326</t>
        </is>
      </c>
      <c r="N614" s="19" t="inlineStr">
        <is>
          <t>E</t>
        </is>
      </c>
      <c r="O614" s="20" t="inlineStr">
        <is>
          <t>No linkage found in awarded contract file</t>
        </is>
      </c>
      <c r="P614" s="19" t="inlineStr"/>
      <c r="Q614" s="19" t="inlineStr"/>
      <c r="R614" s="31" t="inlineStr"/>
      <c r="S614" s="19" t="inlineStr"/>
      <c r="T614" s="19" t="inlineStr">
        <is>
          <t>No</t>
        </is>
      </c>
      <c r="U614" s="19" t="inlineStr">
        <is>
          <t>No</t>
        </is>
      </c>
      <c r="V614" s="19" t="inlineStr">
        <is>
          <t>No</t>
        </is>
      </c>
      <c r="W614" s="19" t="inlineStr">
        <is>
          <t>Yes</t>
        </is>
      </c>
    </row>
    <row r="615">
      <c r="A615" s="19" t="n">
        <v>716689</v>
      </c>
      <c r="B615" s="31" t="n">
        <v>46080</v>
      </c>
      <c r="C615" s="19" t="inlineStr">
        <is>
          <t>DEPARTMENT OF FLEET AND FACILITY MANAGEMENT</t>
        </is>
      </c>
      <c r="D615" s="19" t="inlineStr">
        <is>
          <t>CHARLES EQUIPMENT ENERGY SYSTEMS LLC</t>
        </is>
      </c>
      <c r="E615" s="20" t="inlineStr">
        <is>
          <t>TB/AH/INV#19593/$12,563.49</t>
        </is>
      </c>
      <c r="F615" s="21" t="n">
        <v>12563.49</v>
      </c>
      <c r="G615" s="19" t="inlineStr">
        <is>
          <t>1. Pending New Contract - Original Contract Expired. New Contract in Process</t>
        </is>
      </c>
      <c r="H615" s="19" t="inlineStr">
        <is>
          <t>A. Specification Development Phase</t>
        </is>
      </c>
      <c r="I615" s="19" t="inlineStr">
        <is>
          <t>APPROVED</t>
        </is>
      </c>
      <c r="J615" s="19" t="inlineStr">
        <is>
          <t>Yes</t>
        </is>
      </c>
      <c r="K615" s="19" t="inlineStr">
        <is>
          <t>No</t>
        </is>
      </c>
      <c r="L615" s="19" t="inlineStr"/>
      <c r="M615" s="19" t="inlineStr">
        <is>
          <t>RX622326</t>
        </is>
      </c>
      <c r="N615" s="19" t="inlineStr">
        <is>
          <t>E</t>
        </is>
      </c>
      <c r="O615" s="20" t="inlineStr">
        <is>
          <t>No linkage found in awarded contract file</t>
        </is>
      </c>
      <c r="P615" s="19" t="inlineStr"/>
      <c r="Q615" s="19" t="inlineStr"/>
      <c r="R615" s="31" t="inlineStr"/>
      <c r="S615" s="19" t="inlineStr"/>
      <c r="T615" s="19" t="inlineStr">
        <is>
          <t>No</t>
        </is>
      </c>
      <c r="U615" s="19" t="inlineStr">
        <is>
          <t>No</t>
        </is>
      </c>
      <c r="V615" s="19" t="inlineStr">
        <is>
          <t>No</t>
        </is>
      </c>
      <c r="W615" s="19" t="inlineStr">
        <is>
          <t>Yes</t>
        </is>
      </c>
    </row>
    <row r="616">
      <c r="A616" s="19" t="n">
        <v>722798</v>
      </c>
      <c r="B616" s="31" t="n">
        <v>46119</v>
      </c>
      <c r="C616" s="19" t="inlineStr">
        <is>
          <t>DEPARTMENT OF FLEET AND FACILITY MANAGEMENT</t>
        </is>
      </c>
      <c r="D616" s="19" t="inlineStr">
        <is>
          <t>ARLINGTON GLASS &amp; MIRROR</t>
        </is>
      </c>
      <c r="E616" s="20" t="inlineStr">
        <is>
          <t>TB/AO/INV #75159/$1483.30</t>
        </is>
      </c>
      <c r="F616" s="21" t="n">
        <v>1483.3</v>
      </c>
      <c r="G616" s="19" t="inlineStr">
        <is>
          <t>1. Pending New Contract - Original Contract Expired. New Contract in Process</t>
        </is>
      </c>
      <c r="H616" s="19" t="inlineStr">
        <is>
          <t>A. Specification Development Phase</t>
        </is>
      </c>
      <c r="I616" s="19" t="inlineStr">
        <is>
          <t>APPROVED</t>
        </is>
      </c>
      <c r="J616" s="19" t="inlineStr">
        <is>
          <t>Yes</t>
        </is>
      </c>
      <c r="K616" s="19" t="inlineStr">
        <is>
          <t>No</t>
        </is>
      </c>
      <c r="L616" s="19" t="inlineStr"/>
      <c r="M616" s="19" t="inlineStr">
        <is>
          <t>RX647383</t>
        </is>
      </c>
      <c r="N616" s="19" t="inlineStr">
        <is>
          <t>E</t>
        </is>
      </c>
      <c r="O616" s="20" t="inlineStr">
        <is>
          <t>No linkage found in awarded contract file</t>
        </is>
      </c>
      <c r="P616" s="19" t="inlineStr"/>
      <c r="Q616" s="19" t="inlineStr"/>
      <c r="R616" s="31" t="inlineStr"/>
      <c r="S616" s="19" t="inlineStr"/>
      <c r="T616" s="19" t="inlineStr">
        <is>
          <t>No</t>
        </is>
      </c>
      <c r="U616" s="19" t="inlineStr">
        <is>
          <t>No</t>
        </is>
      </c>
      <c r="V616" s="19" t="inlineStr">
        <is>
          <t>No</t>
        </is>
      </c>
      <c r="W616" s="19" t="inlineStr">
        <is>
          <t>Yes</t>
        </is>
      </c>
    </row>
    <row r="617">
      <c r="A617" s="19" t="n">
        <v>727945</v>
      </c>
      <c r="B617" s="31" t="n">
        <v>46141</v>
      </c>
      <c r="C617" s="19" t="inlineStr">
        <is>
          <t>DEPARTMENT OF FLEET AND FACILITY MANAGEMENT</t>
        </is>
      </c>
      <c r="D617" s="19" t="inlineStr">
        <is>
          <t>ARLINGTON GLASS &amp; MIRROR</t>
        </is>
      </c>
      <c r="E617" s="20" t="inlineStr">
        <is>
          <t>TB/AO/INVOICE #75120/$6278.00</t>
        </is>
      </c>
      <c r="F617" s="21" t="n">
        <v>6278</v>
      </c>
      <c r="G617" s="19" t="inlineStr">
        <is>
          <t>1. Pending New Contract - Original Contract Expired. New Contract in Process</t>
        </is>
      </c>
      <c r="H617" s="19" t="inlineStr">
        <is>
          <t>A. Specification Development Phase</t>
        </is>
      </c>
      <c r="I617" s="19" t="inlineStr">
        <is>
          <t>APPROVED</t>
        </is>
      </c>
      <c r="J617" s="19" t="inlineStr">
        <is>
          <t>Yes</t>
        </is>
      </c>
      <c r="K617" s="19" t="inlineStr">
        <is>
          <t>No</t>
        </is>
      </c>
      <c r="L617" s="19" t="inlineStr"/>
      <c r="M617" s="19" t="inlineStr">
        <is>
          <t>RX647383</t>
        </is>
      </c>
      <c r="N617" s="19" t="inlineStr">
        <is>
          <t>E</t>
        </is>
      </c>
      <c r="O617" s="20" t="inlineStr">
        <is>
          <t>No linkage found in awarded contract file</t>
        </is>
      </c>
      <c r="P617" s="19" t="inlineStr"/>
      <c r="Q617" s="19" t="inlineStr"/>
      <c r="R617" s="31" t="inlineStr"/>
      <c r="S617" s="19" t="inlineStr"/>
      <c r="T617" s="19" t="inlineStr">
        <is>
          <t>No</t>
        </is>
      </c>
      <c r="U617" s="19" t="inlineStr">
        <is>
          <t>No</t>
        </is>
      </c>
      <c r="V617" s="19" t="inlineStr">
        <is>
          <t>No</t>
        </is>
      </c>
      <c r="W617" s="19" t="inlineStr">
        <is>
          <t>Yes</t>
        </is>
      </c>
    </row>
    <row r="618">
      <c r="A618" s="19" t="n">
        <v>722916</v>
      </c>
      <c r="B618" s="31" t="n">
        <v>46119</v>
      </c>
      <c r="C618" s="19" t="inlineStr">
        <is>
          <t>DEPARTMENT OF FLEET AND FACILITY MANAGEMENT</t>
        </is>
      </c>
      <c r="D618" s="19" t="inlineStr">
        <is>
          <t>ARLINGTON GLASS &amp; MIRROR</t>
        </is>
      </c>
      <c r="E618" s="20" t="inlineStr">
        <is>
          <t>TB/AO/INV #75145/$3450.00</t>
        </is>
      </c>
      <c r="F618" s="21" t="n">
        <v>3450</v>
      </c>
      <c r="G618" s="19" t="inlineStr">
        <is>
          <t>1. Pending New Contract - Original Contract Expired. New Contract in Process</t>
        </is>
      </c>
      <c r="H618" s="19" t="inlineStr">
        <is>
          <t>A. Specification Development Phase</t>
        </is>
      </c>
      <c r="I618" s="19" t="inlineStr">
        <is>
          <t>APPROVED</t>
        </is>
      </c>
      <c r="J618" s="19" t="inlineStr">
        <is>
          <t>Yes</t>
        </is>
      </c>
      <c r="K618" s="19" t="inlineStr">
        <is>
          <t>No</t>
        </is>
      </c>
      <c r="L618" s="19" t="inlineStr"/>
      <c r="M618" s="19" t="inlineStr">
        <is>
          <t>RX647383</t>
        </is>
      </c>
      <c r="N618" s="19" t="inlineStr">
        <is>
          <t>E</t>
        </is>
      </c>
      <c r="O618" s="20" t="inlineStr">
        <is>
          <t>No linkage found in awarded contract file</t>
        </is>
      </c>
      <c r="P618" s="19" t="inlineStr"/>
      <c r="Q618" s="19" t="inlineStr"/>
      <c r="R618" s="31" t="inlineStr"/>
      <c r="S618" s="19" t="inlineStr"/>
      <c r="T618" s="19" t="inlineStr">
        <is>
          <t>No</t>
        </is>
      </c>
      <c r="U618" s="19" t="inlineStr">
        <is>
          <t>No</t>
        </is>
      </c>
      <c r="V618" s="19" t="inlineStr">
        <is>
          <t>No</t>
        </is>
      </c>
      <c r="W618" s="19" t="inlineStr">
        <is>
          <t>Yes</t>
        </is>
      </c>
    </row>
    <row r="619">
      <c r="A619" s="19" t="n">
        <v>717941</v>
      </c>
      <c r="B619" s="31" t="n">
        <v>46086</v>
      </c>
      <c r="C619" s="19" t="inlineStr">
        <is>
          <t>DEPARTMENT OF FLEET AND FACILITY MANAGEMENT</t>
        </is>
      </c>
      <c r="D619" s="19" t="inlineStr">
        <is>
          <t>ARLINGTON GLASS &amp; MIRROR</t>
        </is>
      </c>
      <c r="E619" s="20" t="inlineStr">
        <is>
          <t>TB/AO/INV#25909/$44213.42</t>
        </is>
      </c>
      <c r="F619" s="21" t="n">
        <v>44213.42</v>
      </c>
      <c r="G619" s="19" t="inlineStr">
        <is>
          <t>1. Pending New Contract - Original Contract Expired. New Contract in Process</t>
        </is>
      </c>
      <c r="H619" s="19" t="inlineStr">
        <is>
          <t>A. Specification Development Phase</t>
        </is>
      </c>
      <c r="I619" s="19" t="inlineStr">
        <is>
          <t>APPROVED</t>
        </is>
      </c>
      <c r="J619" s="19" t="inlineStr">
        <is>
          <t>Yes</t>
        </is>
      </c>
      <c r="K619" s="19" t="inlineStr">
        <is>
          <t>No</t>
        </is>
      </c>
      <c r="L619" s="19" t="inlineStr"/>
      <c r="M619" s="19" t="inlineStr">
        <is>
          <t>RX647383</t>
        </is>
      </c>
      <c r="N619" s="19" t="inlineStr">
        <is>
          <t>E</t>
        </is>
      </c>
      <c r="O619" s="20" t="inlineStr">
        <is>
          <t>No linkage found in awarded contract file</t>
        </is>
      </c>
      <c r="P619" s="19" t="inlineStr"/>
      <c r="Q619" s="19" t="inlineStr"/>
      <c r="R619" s="31" t="inlineStr"/>
      <c r="S619" s="19" t="inlineStr"/>
      <c r="T619" s="19" t="inlineStr">
        <is>
          <t>No</t>
        </is>
      </c>
      <c r="U619" s="19" t="inlineStr">
        <is>
          <t>No</t>
        </is>
      </c>
      <c r="V619" s="19" t="inlineStr">
        <is>
          <t>No</t>
        </is>
      </c>
      <c r="W619" s="19" t="inlineStr">
        <is>
          <t>Yes</t>
        </is>
      </c>
    </row>
    <row r="620">
      <c r="A620" s="19" t="n">
        <v>716713</v>
      </c>
      <c r="B620" s="31" t="n">
        <v>46080</v>
      </c>
      <c r="C620" s="19" t="inlineStr">
        <is>
          <t>DEPARTMENT OF FLEET AND FACILITY MANAGEMENT</t>
        </is>
      </c>
      <c r="D620" s="19" t="inlineStr">
        <is>
          <t>IRON MOUNTAIN RECORDS</t>
        </is>
      </c>
      <c r="E620" s="20" t="inlineStr">
        <is>
          <t>TB/AH/8 INVOICES/$170,580.44</t>
        </is>
      </c>
      <c r="F620" s="21" t="n">
        <v>170580.44</v>
      </c>
      <c r="G620" s="19" t="inlineStr">
        <is>
          <t>1. Pending New Contract - Original Contract Expired. New Contract in Process</t>
        </is>
      </c>
      <c r="H620" s="19" t="inlineStr">
        <is>
          <t>E. ROA - (Recommendation of Award)</t>
        </is>
      </c>
      <c r="I620" s="19" t="inlineStr">
        <is>
          <t>APPROVED</t>
        </is>
      </c>
      <c r="J620" s="19" t="inlineStr">
        <is>
          <t>Yes</t>
        </is>
      </c>
      <c r="K620" s="19" t="inlineStr">
        <is>
          <t>No</t>
        </is>
      </c>
      <c r="L620" s="19" t="inlineStr"/>
      <c r="M620" s="19" t="inlineStr">
        <is>
          <t>RX425669</t>
        </is>
      </c>
      <c r="N620" s="19" t="inlineStr">
        <is>
          <t>E</t>
        </is>
      </c>
      <c r="O620" s="20" t="inlineStr">
        <is>
          <t>No linkage found in awarded contract file</t>
        </is>
      </c>
      <c r="P620" s="19" t="inlineStr"/>
      <c r="Q620" s="19" t="inlineStr"/>
      <c r="R620" s="31" t="inlineStr"/>
      <c r="S620" s="19" t="inlineStr"/>
      <c r="T620" s="19" t="inlineStr">
        <is>
          <t>No</t>
        </is>
      </c>
      <c r="U620" s="19" t="inlineStr">
        <is>
          <t>No</t>
        </is>
      </c>
      <c r="V620" s="19" t="inlineStr">
        <is>
          <t>No</t>
        </is>
      </c>
      <c r="W620" s="19" t="inlineStr">
        <is>
          <t>Yes</t>
        </is>
      </c>
    </row>
    <row r="621">
      <c r="A621" s="19" t="n">
        <v>711585</v>
      </c>
      <c r="B621" s="31" t="n">
        <v>46052</v>
      </c>
      <c r="C621" s="19" t="inlineStr">
        <is>
          <t>DEPARTMENT OF FLEET AND FACILITY MANAGEMENT</t>
        </is>
      </c>
      <c r="D621" s="19" t="inlineStr">
        <is>
          <t>ABC Humane Wildlife Control &amp; Prevention, Inc.</t>
        </is>
      </c>
      <c r="E621" s="20" t="inlineStr">
        <is>
          <t>TB/AH/10 INVOICES/$75,416.09</t>
        </is>
      </c>
      <c r="F621" s="21" t="n">
        <v>75416.09</v>
      </c>
      <c r="G621" s="19" t="inlineStr">
        <is>
          <t>1. Pending New Contract - Original Contract Expired. New Contract in Process</t>
        </is>
      </c>
      <c r="H621" s="19" t="inlineStr">
        <is>
          <t>A. Specification Development Phase</t>
        </is>
      </c>
      <c r="I621" s="19" t="inlineStr">
        <is>
          <t>APPROVED</t>
        </is>
      </c>
      <c r="J621" s="19" t="inlineStr">
        <is>
          <t>No</t>
        </is>
      </c>
      <c r="K621" s="19" t="inlineStr">
        <is>
          <t>No</t>
        </is>
      </c>
      <c r="L621" s="19" t="inlineStr"/>
      <c r="M621" s="19" t="inlineStr">
        <is>
          <t>RX682957</t>
        </is>
      </c>
      <c r="N621" s="19" t="inlineStr">
        <is>
          <t>E</t>
        </is>
      </c>
      <c r="O621" s="20" t="inlineStr">
        <is>
          <t>No linkage found in awarded contract file</t>
        </is>
      </c>
      <c r="P621" s="19" t="inlineStr"/>
      <c r="Q621" s="19" t="inlineStr"/>
      <c r="R621" s="31" t="inlineStr"/>
      <c r="S621" s="19" t="inlineStr"/>
      <c r="T621" s="19" t="inlineStr">
        <is>
          <t>No</t>
        </is>
      </c>
      <c r="U621" s="19" t="inlineStr">
        <is>
          <t>No</t>
        </is>
      </c>
      <c r="V621" s="19" t="inlineStr">
        <is>
          <t>No</t>
        </is>
      </c>
      <c r="W621" s="19" t="inlineStr">
        <is>
          <t>No</t>
        </is>
      </c>
    </row>
    <row r="622">
      <c r="A622" s="19" t="n">
        <v>711970</v>
      </c>
      <c r="B622" s="31" t="n">
        <v>46076</v>
      </c>
      <c r="C622" s="19" t="inlineStr">
        <is>
          <t>DEPARTMENT OF FLEET AND FACILITY MANAGEMENT</t>
        </is>
      </c>
      <c r="D622" s="19" t="inlineStr">
        <is>
          <t>ABM INDUSTRY GROUPS, LLC</t>
        </is>
      </c>
      <c r="E622" s="20" t="inlineStr">
        <is>
          <t>TB/AH/10 INVOICES / $239,191.72</t>
        </is>
      </c>
      <c r="F622" s="21" t="n">
        <v>0</v>
      </c>
      <c r="G622" s="19" t="inlineStr">
        <is>
          <t>1. Pending New Contract - Original Contract Expired. New Contract in Process</t>
        </is>
      </c>
      <c r="H622" s="19" t="inlineStr">
        <is>
          <t>A. Specification Development Phase</t>
        </is>
      </c>
      <c r="I622" s="19" t="inlineStr"/>
      <c r="J622" s="19" t="inlineStr">
        <is>
          <t>Yes</t>
        </is>
      </c>
      <c r="K622" s="19" t="inlineStr">
        <is>
          <t>No</t>
        </is>
      </c>
      <c r="L622" s="19" t="inlineStr">
        <is>
          <t>NO</t>
        </is>
      </c>
      <c r="M622" s="19" t="inlineStr">
        <is>
          <t>RX624331</t>
        </is>
      </c>
      <c r="N622" s="19" t="inlineStr">
        <is>
          <t>E</t>
        </is>
      </c>
      <c r="O622" s="20" t="inlineStr">
        <is>
          <t>No linkage found in awarded contract file</t>
        </is>
      </c>
      <c r="P622" s="19" t="inlineStr"/>
      <c r="Q622" s="19" t="inlineStr"/>
      <c r="R622" s="31" t="inlineStr"/>
      <c r="S622" s="19" t="inlineStr"/>
      <c r="T622" s="19" t="inlineStr">
        <is>
          <t>No</t>
        </is>
      </c>
      <c r="U622" s="19" t="inlineStr">
        <is>
          <t>No</t>
        </is>
      </c>
      <c r="V622" s="19" t="inlineStr">
        <is>
          <t>No</t>
        </is>
      </c>
      <c r="W622" s="19" t="inlineStr">
        <is>
          <t>Yes</t>
        </is>
      </c>
    </row>
    <row r="623">
      <c r="A623" s="19" t="n">
        <v>711776</v>
      </c>
      <c r="B623" s="31" t="n">
        <v>46092</v>
      </c>
      <c r="C623" s="19" t="inlineStr">
        <is>
          <t>DEPARTMENT OF FLEET AND FACILITY MANAGEMENT</t>
        </is>
      </c>
      <c r="D623" s="19" t="inlineStr">
        <is>
          <t>ODP BUSINESS SOLUTIONS LLC</t>
        </is>
      </c>
      <c r="E623" s="20" t="inlineStr">
        <is>
          <t>Elizabeth Hernandez Order</t>
        </is>
      </c>
      <c r="F623" s="21" t="n">
        <v>0</v>
      </c>
      <c r="G623" s="19" t="inlineStr"/>
      <c r="H623" s="19" t="inlineStr"/>
      <c r="I623" s="19" t="inlineStr"/>
      <c r="J623" s="19" t="inlineStr"/>
      <c r="K623" s="19" t="inlineStr">
        <is>
          <t>No</t>
        </is>
      </c>
      <c r="L623" s="19" t="inlineStr"/>
      <c r="M623" s="19" t="inlineStr">
        <is>
          <t>VDODP BUSINESS SOLUTIONS</t>
        </is>
      </c>
      <c r="N623" s="19" t="inlineStr">
        <is>
          <t>E</t>
        </is>
      </c>
      <c r="O623" s="20" t="inlineStr">
        <is>
          <t>No linkage found in awarded contract file</t>
        </is>
      </c>
      <c r="P623" s="19" t="inlineStr"/>
      <c r="Q623" s="19" t="inlineStr"/>
      <c r="R623" s="31" t="inlineStr"/>
      <c r="S623" s="19" t="inlineStr"/>
      <c r="T623" s="19" t="inlineStr">
        <is>
          <t>No</t>
        </is>
      </c>
      <c r="U623" s="19" t="inlineStr">
        <is>
          <t>No</t>
        </is>
      </c>
      <c r="V623" s="19" t="inlineStr">
        <is>
          <t>No</t>
        </is>
      </c>
      <c r="W623" s="19" t="inlineStr">
        <is>
          <t>No</t>
        </is>
      </c>
    </row>
    <row r="624">
      <c r="A624" s="19" t="n">
        <v>730691</v>
      </c>
      <c r="B624" s="31" t="n">
        <v>46161</v>
      </c>
      <c r="C624" s="19" t="inlineStr">
        <is>
          <t>DEPARTMENT OF FLEET AND FACILITY MANAGEMENT</t>
        </is>
      </c>
      <c r="D624" s="19" t="inlineStr">
        <is>
          <t>DIVERSE FACILITY SOLUTION INC.</t>
        </is>
      </c>
      <c r="E624" s="20" t="inlineStr">
        <is>
          <t>TB/JG/INVOICE #16665/$323,369.69</t>
        </is>
      </c>
      <c r="F624" s="21" t="n">
        <v>323369.69</v>
      </c>
      <c r="G624" s="19" t="inlineStr">
        <is>
          <t>1. Pending New Contract - Original Contract Expired. New Contract in Process</t>
        </is>
      </c>
      <c r="H624" s="19" t="inlineStr">
        <is>
          <t>A. Specification Development Phase</t>
        </is>
      </c>
      <c r="I624" s="19" t="inlineStr">
        <is>
          <t>APPROVED</t>
        </is>
      </c>
      <c r="J624" s="19" t="inlineStr">
        <is>
          <t>Yes</t>
        </is>
      </c>
      <c r="K624" s="19" t="inlineStr">
        <is>
          <t>No</t>
        </is>
      </c>
      <c r="L624" s="19" t="inlineStr"/>
      <c r="M624" s="19" t="inlineStr">
        <is>
          <t>RX624331</t>
        </is>
      </c>
      <c r="N624" s="19" t="inlineStr">
        <is>
          <t>E</t>
        </is>
      </c>
      <c r="O624" s="20" t="inlineStr">
        <is>
          <t>No linkage found in awarded contract file</t>
        </is>
      </c>
      <c r="P624" s="19" t="inlineStr"/>
      <c r="Q624" s="19" t="inlineStr"/>
      <c r="R624" s="31" t="inlineStr"/>
      <c r="S624" s="19" t="inlineStr"/>
      <c r="T624" s="19" t="inlineStr">
        <is>
          <t>No</t>
        </is>
      </c>
      <c r="U624" s="19" t="inlineStr">
        <is>
          <t>No</t>
        </is>
      </c>
      <c r="V624" s="19" t="inlineStr">
        <is>
          <t>No</t>
        </is>
      </c>
      <c r="W624" s="19" t="inlineStr">
        <is>
          <t>Yes</t>
        </is>
      </c>
    </row>
    <row r="625">
      <c r="A625" s="19" t="n">
        <v>731276</v>
      </c>
      <c r="B625" s="31" t="n">
        <v>46161</v>
      </c>
      <c r="C625" s="19" t="inlineStr">
        <is>
          <t>DEPARTMENT OF FLEET AND FACILITY MANAGEMENT</t>
        </is>
      </c>
      <c r="D625" s="19" t="inlineStr">
        <is>
          <t>A &amp; R JANITORIAL SERVICE, INC.</t>
        </is>
      </c>
      <c r="E625" s="20" t="inlineStr">
        <is>
          <t>TB/VJ/4 INVOICES/$285,223.50</t>
        </is>
      </c>
      <c r="F625" s="21" t="n">
        <v>285223.5</v>
      </c>
      <c r="G625" s="19" t="inlineStr">
        <is>
          <t>1. Pending New Contract - Original Contract Expired. New Contract in Process</t>
        </is>
      </c>
      <c r="H625" s="19" t="inlineStr">
        <is>
          <t>A. Specification Development Phase</t>
        </is>
      </c>
      <c r="I625" s="19" t="inlineStr">
        <is>
          <t>APPROVED</t>
        </is>
      </c>
      <c r="J625" s="19" t="inlineStr">
        <is>
          <t>Yes</t>
        </is>
      </c>
      <c r="K625" s="19" t="inlineStr">
        <is>
          <t>No</t>
        </is>
      </c>
      <c r="L625" s="19" t="inlineStr"/>
      <c r="M625" s="19" t="inlineStr">
        <is>
          <t>RX624331</t>
        </is>
      </c>
      <c r="N625" s="19" t="inlineStr">
        <is>
          <t>E</t>
        </is>
      </c>
      <c r="O625" s="20" t="inlineStr">
        <is>
          <t>No linkage found in awarded contract file</t>
        </is>
      </c>
      <c r="P625" s="19" t="inlineStr"/>
      <c r="Q625" s="19" t="inlineStr"/>
      <c r="R625" s="31" t="inlineStr"/>
      <c r="S625" s="19" t="inlineStr"/>
      <c r="T625" s="19" t="inlineStr">
        <is>
          <t>No</t>
        </is>
      </c>
      <c r="U625" s="19" t="inlineStr">
        <is>
          <t>No</t>
        </is>
      </c>
      <c r="V625" s="19" t="inlineStr">
        <is>
          <t>No</t>
        </is>
      </c>
      <c r="W625" s="19" t="inlineStr">
        <is>
          <t>Yes</t>
        </is>
      </c>
    </row>
    <row r="626">
      <c r="A626" s="19" t="n">
        <v>730444</v>
      </c>
      <c r="B626" s="31" t="n">
        <v>46161</v>
      </c>
      <c r="C626" s="19" t="inlineStr">
        <is>
          <t>DEPARTMENT OF FLEET AND FACILITY MANAGEMENT</t>
        </is>
      </c>
      <c r="D626" s="19" t="inlineStr">
        <is>
          <t>ABM INDUSTRY GROUPS, LLC</t>
        </is>
      </c>
      <c r="E626" s="20" t="inlineStr">
        <is>
          <t>TB/JG/9 INVOICES/$256,827.62</t>
        </is>
      </c>
      <c r="F626" s="21" t="n">
        <v>256827.62</v>
      </c>
      <c r="G626" s="19" t="inlineStr">
        <is>
          <t>1. Pending New Contract - Original Contract Expired. New Contract in Process</t>
        </is>
      </c>
      <c r="H626" s="19" t="inlineStr">
        <is>
          <t>A. Specification Development Phase</t>
        </is>
      </c>
      <c r="I626" s="19" t="inlineStr">
        <is>
          <t>APPROVED</t>
        </is>
      </c>
      <c r="J626" s="19" t="inlineStr">
        <is>
          <t>Yes</t>
        </is>
      </c>
      <c r="K626" s="19" t="inlineStr">
        <is>
          <t>No</t>
        </is>
      </c>
      <c r="L626" s="19" t="inlineStr"/>
      <c r="M626" s="19" t="inlineStr">
        <is>
          <t>RX624331</t>
        </is>
      </c>
      <c r="N626" s="19" t="inlineStr">
        <is>
          <t>E</t>
        </is>
      </c>
      <c r="O626" s="20" t="inlineStr">
        <is>
          <t>No linkage found in awarded contract file</t>
        </is>
      </c>
      <c r="P626" s="19" t="inlineStr"/>
      <c r="Q626" s="19" t="inlineStr"/>
      <c r="R626" s="31" t="inlineStr"/>
      <c r="S626" s="19" t="inlineStr"/>
      <c r="T626" s="19" t="inlineStr">
        <is>
          <t>No</t>
        </is>
      </c>
      <c r="U626" s="19" t="inlineStr">
        <is>
          <t>No</t>
        </is>
      </c>
      <c r="V626" s="19" t="inlineStr">
        <is>
          <t>No</t>
        </is>
      </c>
      <c r="W626" s="19" t="inlineStr">
        <is>
          <t>Yes</t>
        </is>
      </c>
    </row>
    <row r="627">
      <c r="A627" s="19" t="n">
        <v>727734</v>
      </c>
      <c r="B627" s="31" t="n">
        <v>46146</v>
      </c>
      <c r="C627" s="19" t="inlineStr">
        <is>
          <t>DEPARTMENT OF FLEET AND FACILITY MANAGEMENT</t>
        </is>
      </c>
      <c r="D627" s="19" t="inlineStr">
        <is>
          <t>JACOB PRESS' SONS INC</t>
        </is>
      </c>
      <c r="E627" s="20" t="inlineStr">
        <is>
          <t>TB/MM/INVOICE #597071/$2771.08</t>
        </is>
      </c>
      <c r="F627" s="21" t="n">
        <v>2771.08</v>
      </c>
      <c r="G627" s="19" t="inlineStr">
        <is>
          <t>1. Pending New Contract - Original Contract Expired. New Contract in Process</t>
        </is>
      </c>
      <c r="H627" s="19" t="inlineStr">
        <is>
          <t>B. City Law Review</t>
        </is>
      </c>
      <c r="I627" s="19" t="inlineStr">
        <is>
          <t>APPROVED</t>
        </is>
      </c>
      <c r="J627" s="19" t="inlineStr">
        <is>
          <t>Yes</t>
        </is>
      </c>
      <c r="K627" s="19" t="inlineStr">
        <is>
          <t>No</t>
        </is>
      </c>
      <c r="L627" s="19" t="inlineStr"/>
      <c r="M627" s="19" t="inlineStr">
        <is>
          <t>RX590958</t>
        </is>
      </c>
      <c r="N627" s="19" t="inlineStr">
        <is>
          <t>E</t>
        </is>
      </c>
      <c r="O627" s="20" t="inlineStr">
        <is>
          <t>No linkage found in awarded contract file</t>
        </is>
      </c>
      <c r="P627" s="19" t="inlineStr"/>
      <c r="Q627" s="19" t="inlineStr"/>
      <c r="R627" s="31" t="inlineStr"/>
      <c r="S627" s="19" t="inlineStr"/>
      <c r="T627" s="19" t="inlineStr">
        <is>
          <t>No</t>
        </is>
      </c>
      <c r="U627" s="19" t="inlineStr">
        <is>
          <t>No</t>
        </is>
      </c>
      <c r="V627" s="19" t="inlineStr">
        <is>
          <t>No</t>
        </is>
      </c>
      <c r="W627" s="19" t="inlineStr">
        <is>
          <t>Yes</t>
        </is>
      </c>
    </row>
    <row r="628">
      <c r="A628" s="19" t="n">
        <v>730659</v>
      </c>
      <c r="B628" s="31" t="n">
        <v>46161</v>
      </c>
      <c r="C628" s="19" t="inlineStr">
        <is>
          <t>DEPARTMENT OF FLEET AND FACILITY MANAGEMENT</t>
        </is>
      </c>
      <c r="D628" s="19" t="inlineStr">
        <is>
          <t>The RIV LLC</t>
        </is>
      </c>
      <c r="E628" s="20" t="inlineStr">
        <is>
          <t>TB/INVOICE #36/$605.00</t>
        </is>
      </c>
      <c r="F628" s="21" t="n">
        <v>605</v>
      </c>
      <c r="G628" s="19" t="inlineStr">
        <is>
          <t>1. Pending New Contract - Original Contract Expired. New Contract in Process</t>
        </is>
      </c>
      <c r="H628" s="19" t="inlineStr">
        <is>
          <t>A. Specification Development Phase</t>
        </is>
      </c>
      <c r="I628" s="19" t="inlineStr">
        <is>
          <t>APPROVED</t>
        </is>
      </c>
      <c r="J628" s="19" t="inlineStr">
        <is>
          <t>Yes</t>
        </is>
      </c>
      <c r="K628" s="19" t="inlineStr">
        <is>
          <t>No</t>
        </is>
      </c>
      <c r="L628" s="19" t="inlineStr"/>
      <c r="M628" s="19" t="inlineStr">
        <is>
          <t>RX710856</t>
        </is>
      </c>
      <c r="N628" s="19" t="inlineStr">
        <is>
          <t>E</t>
        </is>
      </c>
      <c r="O628" s="20" t="inlineStr">
        <is>
          <t>No linkage found in awarded contract file</t>
        </is>
      </c>
      <c r="P628" s="19" t="inlineStr"/>
      <c r="Q628" s="19" t="inlineStr"/>
      <c r="R628" s="31" t="inlineStr"/>
      <c r="S628" s="19" t="inlineStr"/>
      <c r="T628" s="19" t="inlineStr">
        <is>
          <t>No</t>
        </is>
      </c>
      <c r="U628" s="19" t="inlineStr">
        <is>
          <t>No</t>
        </is>
      </c>
      <c r="V628" s="19" t="inlineStr">
        <is>
          <t>No</t>
        </is>
      </c>
      <c r="W628" s="19" t="inlineStr">
        <is>
          <t>Yes</t>
        </is>
      </c>
    </row>
    <row r="629">
      <c r="A629" s="19" t="n">
        <v>722898</v>
      </c>
      <c r="B629" s="31" t="n">
        <v>46119</v>
      </c>
      <c r="C629" s="19" t="inlineStr">
        <is>
          <t>CHICAGO DEPARTMENT OF PUBLIC HEALTH</t>
        </is>
      </c>
      <c r="D629" s="19" t="inlineStr">
        <is>
          <t>INTEGRATED SOLUTIONS CONSULTING CORPORATION</t>
        </is>
      </c>
      <c r="E629" s="20" t="inlineStr">
        <is>
          <t>Consulting Fee February 2026Hosting Fee: February 2026Hosting Fee: January 2026</t>
        </is>
      </c>
      <c r="F629" s="21" t="n">
        <v>1890.66</v>
      </c>
      <c r="G629" s="19" t="inlineStr">
        <is>
          <t>1. Pending New Contract - Original Contract Expired. New Contract in Process</t>
        </is>
      </c>
      <c r="H629" s="19" t="inlineStr">
        <is>
          <t>B. City Law Review</t>
        </is>
      </c>
      <c r="I629" s="19" t="inlineStr">
        <is>
          <t>APPROVED</t>
        </is>
      </c>
      <c r="J629" s="19" t="inlineStr">
        <is>
          <t>Yes</t>
        </is>
      </c>
      <c r="K629" s="19" t="inlineStr">
        <is>
          <t>No</t>
        </is>
      </c>
      <c r="L629" s="19" t="inlineStr">
        <is>
          <t>na</t>
        </is>
      </c>
      <c r="M629" s="19" t="inlineStr">
        <is>
          <t>RX657660</t>
        </is>
      </c>
      <c r="N629" s="19" t="inlineStr">
        <is>
          <t>A</t>
        </is>
      </c>
      <c r="O629" s="20" t="inlineStr">
        <is>
          <t>Requisition ID link: Exhibit B new-contract RX = awarded REQ</t>
        </is>
      </c>
      <c r="P629" s="19" t="inlineStr">
        <is>
          <t>386925</t>
        </is>
      </c>
      <c r="Q629" s="19" t="inlineStr">
        <is>
          <t>INTEGRATED SOLUTIONS CONSULTING CORPORATION</t>
        </is>
      </c>
      <c r="R629" s="31" t="n">
        <v>46220</v>
      </c>
      <c r="S629" s="19" t="inlineStr">
        <is>
          <t>SOLE SOURCE</t>
        </is>
      </c>
      <c r="T629" s="19" t="inlineStr">
        <is>
          <t>No</t>
        </is>
      </c>
      <c r="U629" s="19" t="inlineStr">
        <is>
          <t>Yes</t>
        </is>
      </c>
      <c r="V629" s="19" t="inlineStr">
        <is>
          <t>No</t>
        </is>
      </c>
      <c r="W629" s="19" t="inlineStr">
        <is>
          <t>Yes</t>
        </is>
      </c>
    </row>
    <row r="630">
      <c r="A630" s="19" t="n">
        <v>716927</v>
      </c>
      <c r="B630" s="31" t="n">
        <v>46080</v>
      </c>
      <c r="C630" s="19" t="inlineStr">
        <is>
          <t>CHICAGO DEPARTMENT OF AVIATION</t>
        </is>
      </c>
      <c r="D630" s="19" t="inlineStr">
        <is>
          <t>SHERWIN INDUSTRIES</t>
        </is>
      </c>
      <c r="E630" s="20" t="inlineStr">
        <is>
          <t>#2 Invoices  $2,394.34  2025 FAA 139 Regulatory Compliance- Annual calibration of 3 decelerometers and Chargers equipment to pay invoices number: SS109522 $1,999.34 &amp; SS109866 $395.00.</t>
        </is>
      </c>
      <c r="F630" s="21" t="n">
        <v>2394.34</v>
      </c>
      <c r="G630" s="19" t="inlineStr">
        <is>
          <t>1. Pending New Contract - Original Contract Expired. New Contract in Process</t>
        </is>
      </c>
      <c r="H630" s="19" t="inlineStr">
        <is>
          <t>D. Solicitation Response Under Evaluation</t>
        </is>
      </c>
      <c r="I630" s="19" t="inlineStr">
        <is>
          <t>APPROVED</t>
        </is>
      </c>
      <c r="J630" s="19" t="inlineStr">
        <is>
          <t>Yes</t>
        </is>
      </c>
      <c r="K630" s="19" t="inlineStr">
        <is>
          <t>No</t>
        </is>
      </c>
      <c r="L630" s="19" t="inlineStr"/>
      <c r="M630" s="19" t="inlineStr">
        <is>
          <t>RX530823</t>
        </is>
      </c>
      <c r="N630" s="19" t="inlineStr">
        <is>
          <t>A</t>
        </is>
      </c>
      <c r="O630" s="20" t="inlineStr">
        <is>
          <t>Requisition ID link: Exhibit B new-contract RX = awarded REQ</t>
        </is>
      </c>
      <c r="P630" s="19" t="inlineStr">
        <is>
          <t>375509</t>
        </is>
      </c>
      <c r="Q630" s="19" t="inlineStr">
        <is>
          <t>Halliday Technologies</t>
        </is>
      </c>
      <c r="R630" s="31" t="n">
        <v>46106</v>
      </c>
      <c r="S630" s="19" t="inlineStr">
        <is>
          <t>BID</t>
        </is>
      </c>
      <c r="T630" s="19" t="inlineStr">
        <is>
          <t>Yes</t>
        </is>
      </c>
      <c r="U630" s="19" t="inlineStr">
        <is>
          <t>Yes</t>
        </is>
      </c>
      <c r="V630" s="19" t="inlineStr">
        <is>
          <t>No</t>
        </is>
      </c>
      <c r="W630" s="19" t="inlineStr">
        <is>
          <t>Yes</t>
        </is>
      </c>
    </row>
    <row r="631">
      <c r="A631" s="19" t="n">
        <v>712445</v>
      </c>
      <c r="B631" s="31" t="n">
        <v>46058</v>
      </c>
      <c r="C631" s="19" t="inlineStr">
        <is>
          <t>CHICAGO DEPARTMENT OF AVIATION</t>
        </is>
      </c>
      <c r="D631" s="19" t="inlineStr">
        <is>
          <t>P.W.S. ENVIRONMENTAL, INC.</t>
        </is>
      </c>
      <c r="E631" s="20" t="inlineStr">
        <is>
          <t>#4 Invoices  Total $10,558.00   2025 Midway Snow Equipment &amp; Snow Vehicles washing (Services 11/9, 11/10, 11/30 to 12/2 &amp; 12/7 to 12/8) to pay invoice numbers:110730,110832,110844 &amp; 110851.</t>
        </is>
      </c>
      <c r="F631" s="21" t="n">
        <v>10558</v>
      </c>
      <c r="G631" s="19" t="inlineStr">
        <is>
          <t>1. Pending New Contract - Original Contract Expired. New Contract in Process</t>
        </is>
      </c>
      <c r="H631" s="19" t="inlineStr">
        <is>
          <t>D. Solicitation Response Under Evaluation</t>
        </is>
      </c>
      <c r="I631" s="19" t="inlineStr">
        <is>
          <t>APPROVED</t>
        </is>
      </c>
      <c r="J631" s="19" t="inlineStr">
        <is>
          <t>No</t>
        </is>
      </c>
      <c r="K631" s="19" t="inlineStr">
        <is>
          <t>No</t>
        </is>
      </c>
      <c r="L631" s="19" t="inlineStr"/>
      <c r="M631" s="19" t="inlineStr">
        <is>
          <t>RX693906</t>
        </is>
      </c>
      <c r="N631" s="19" t="inlineStr">
        <is>
          <t>E</t>
        </is>
      </c>
      <c r="O631" s="20" t="inlineStr">
        <is>
          <t>No linkage found in awarded contract file</t>
        </is>
      </c>
      <c r="P631" s="19" t="inlineStr"/>
      <c r="Q631" s="19" t="inlineStr"/>
      <c r="R631" s="31" t="inlineStr"/>
      <c r="S631" s="19" t="inlineStr"/>
      <c r="T631" s="19" t="inlineStr">
        <is>
          <t>No</t>
        </is>
      </c>
      <c r="U631" s="19" t="inlineStr">
        <is>
          <t>No</t>
        </is>
      </c>
      <c r="V631" s="19" t="inlineStr">
        <is>
          <t>No</t>
        </is>
      </c>
      <c r="W631" s="19" t="inlineStr">
        <is>
          <t>No</t>
        </is>
      </c>
    </row>
    <row r="632">
      <c r="A632" s="19" t="n">
        <v>736476</v>
      </c>
      <c r="B632" s="31" t="n">
        <v>46203</v>
      </c>
      <c r="C632" s="19" t="inlineStr">
        <is>
          <t>CHICAGO DEPARTMENT OF AVIATION</t>
        </is>
      </c>
      <c r="D632" s="19" t="inlineStr">
        <is>
          <t>WASTE MANAGEMENT - METRO 01</t>
        </is>
      </c>
      <c r="E632" s="20" t="inlineStr">
        <is>
          <t>#2 Invoices  $30,202.84Feb &amp; March 2026 Waste Management Services at Midway. To pay Invoice # 56511 March Trash &amp; Invoice # 3872953 Feb Grease</t>
        </is>
      </c>
      <c r="F632" s="21" t="n">
        <v>30202.84</v>
      </c>
      <c r="G632" s="19" t="inlineStr">
        <is>
          <t>1. Pending New Contract - Original Contract Expired. New Contract in Process</t>
        </is>
      </c>
      <c r="H632" s="19" t="inlineStr">
        <is>
          <t>A. Specification Development Phase</t>
        </is>
      </c>
      <c r="I632" s="19" t="inlineStr">
        <is>
          <t>APPROVED</t>
        </is>
      </c>
      <c r="J632" s="19" t="inlineStr">
        <is>
          <t>No</t>
        </is>
      </c>
      <c r="K632" s="19" t="inlineStr">
        <is>
          <t>No</t>
        </is>
      </c>
      <c r="L632" s="19" t="inlineStr"/>
      <c r="M632" s="19" t="inlineStr">
        <is>
          <t>RX698916</t>
        </is>
      </c>
      <c r="N632" s="19" t="inlineStr">
        <is>
          <t>E</t>
        </is>
      </c>
      <c r="O632" s="20" t="inlineStr">
        <is>
          <t>No linkage found in awarded contract file</t>
        </is>
      </c>
      <c r="P632" s="19" t="inlineStr"/>
      <c r="Q632" s="19" t="inlineStr"/>
      <c r="R632" s="31" t="inlineStr"/>
      <c r="S632" s="19" t="inlineStr"/>
      <c r="T632" s="19" t="inlineStr">
        <is>
          <t>No</t>
        </is>
      </c>
      <c r="U632" s="19" t="inlineStr">
        <is>
          <t>No</t>
        </is>
      </c>
      <c r="V632" s="19" t="inlineStr">
        <is>
          <t>No</t>
        </is>
      </c>
      <c r="W632" s="19" t="inlineStr">
        <is>
          <t>No</t>
        </is>
      </c>
    </row>
    <row r="633">
      <c r="A633" s="19" t="n">
        <v>742282</v>
      </c>
      <c r="B633" s="31" t="n">
        <v>46226</v>
      </c>
      <c r="C633" s="19" t="inlineStr">
        <is>
          <t>DEPARTMENT OF FLEET AND FACILITY MANAGEMENT</t>
        </is>
      </c>
      <c r="D633" s="19" t="inlineStr">
        <is>
          <t>CHRISTY WEBBER LANDSCAPES</t>
        </is>
      </c>
      <c r="E633" s="20" t="inlineStr">
        <is>
          <t>Chirsty Weber 1060451 A  JS/ VJ/ 10-Invoices/ $26,774.49/ Apr/ May/ June2026</t>
        </is>
      </c>
      <c r="F633" s="21" t="n">
        <v>26774.49</v>
      </c>
      <c r="G633" s="19" t="inlineStr">
        <is>
          <t>1. Pending New Contract - Original Contract Expired. New Contract in Process</t>
        </is>
      </c>
      <c r="H633" s="19" t="inlineStr">
        <is>
          <t>B. City Law Review</t>
        </is>
      </c>
      <c r="I633" s="19" t="inlineStr">
        <is>
          <t>APPROVED</t>
        </is>
      </c>
      <c r="J633" s="19" t="inlineStr">
        <is>
          <t>Yes</t>
        </is>
      </c>
      <c r="K633" s="19" t="inlineStr">
        <is>
          <t>No</t>
        </is>
      </c>
      <c r="L633" s="19" t="inlineStr"/>
      <c r="M633" s="19" t="inlineStr">
        <is>
          <t>RX679137</t>
        </is>
      </c>
      <c r="N633" s="19" t="inlineStr">
        <is>
          <t>E</t>
        </is>
      </c>
      <c r="O633" s="20" t="inlineStr">
        <is>
          <t>No linkage found in awarded contract file</t>
        </is>
      </c>
      <c r="P633" s="19" t="inlineStr"/>
      <c r="Q633" s="19" t="inlineStr"/>
      <c r="R633" s="31" t="inlineStr"/>
      <c r="S633" s="19" t="inlineStr"/>
      <c r="T633" s="19" t="inlineStr">
        <is>
          <t>No</t>
        </is>
      </c>
      <c r="U633" s="19" t="inlineStr">
        <is>
          <t>No</t>
        </is>
      </c>
      <c r="V633" s="19" t="inlineStr">
        <is>
          <t>No</t>
        </is>
      </c>
      <c r="W633" s="19" t="inlineStr">
        <is>
          <t>Yes</t>
        </is>
      </c>
    </row>
    <row r="634">
      <c r="A634" s="19" t="n">
        <v>742111</v>
      </c>
      <c r="B634" s="31" t="n">
        <v>46226</v>
      </c>
      <c r="C634" s="19" t="inlineStr">
        <is>
          <t>DEPARTMENT OF FLEET AND FACILITY MANAGEMENT</t>
        </is>
      </c>
      <c r="D634" s="19" t="inlineStr">
        <is>
          <t>ABM JANITORIAL SERVICES</t>
        </is>
      </c>
      <c r="E634" s="20" t="inlineStr">
        <is>
          <t>ABM  53751021 B   JS/ VJ/ 10-Invoices/ $1,026,304.54/ May 2026</t>
        </is>
      </c>
      <c r="F634" s="21" t="n">
        <v>1026304.54</v>
      </c>
      <c r="G634" s="19" t="inlineStr">
        <is>
          <t>1. Pending New Contract - Original Contract Expired. New Contract in Process</t>
        </is>
      </c>
      <c r="H634" s="19" t="inlineStr">
        <is>
          <t>A. Specification Development Phase</t>
        </is>
      </c>
      <c r="I634" s="19" t="inlineStr">
        <is>
          <t>APPROVED</t>
        </is>
      </c>
      <c r="J634" s="19" t="inlineStr">
        <is>
          <t>Yes</t>
        </is>
      </c>
      <c r="K634" s="19" t="inlineStr">
        <is>
          <t>No</t>
        </is>
      </c>
      <c r="L634" s="19" t="inlineStr"/>
      <c r="M634" s="19" t="inlineStr">
        <is>
          <t>RX624331</t>
        </is>
      </c>
      <c r="N634" s="19" t="inlineStr">
        <is>
          <t>E</t>
        </is>
      </c>
      <c r="O634" s="20" t="inlineStr">
        <is>
          <t>No linkage found in awarded contract file</t>
        </is>
      </c>
      <c r="P634" s="19" t="inlineStr"/>
      <c r="Q634" s="19" t="inlineStr"/>
      <c r="R634" s="31" t="inlineStr"/>
      <c r="S634" s="19" t="inlineStr"/>
      <c r="T634" s="19" t="inlineStr">
        <is>
          <t>No</t>
        </is>
      </c>
      <c r="U634" s="19" t="inlineStr">
        <is>
          <t>No</t>
        </is>
      </c>
      <c r="V634" s="19" t="inlineStr">
        <is>
          <t>No</t>
        </is>
      </c>
      <c r="W634" s="19" t="inlineStr">
        <is>
          <t>Yes</t>
        </is>
      </c>
    </row>
    <row r="635">
      <c r="A635" s="19" t="n">
        <v>738138</v>
      </c>
      <c r="B635" s="31" t="n">
        <v>46203</v>
      </c>
      <c r="C635" s="19" t="inlineStr">
        <is>
          <t>DEPARTMENT OF FLEET AND FACILITY MANAGEMENT</t>
        </is>
      </c>
      <c r="D635" s="19" t="inlineStr">
        <is>
          <t>C &amp; C COMMUNICATIONS IL</t>
        </is>
      </c>
      <c r="E635" s="20" t="inlineStr">
        <is>
          <t>C&amp;C Communications 1032554 A   JS/ CC/ Invoice # 3453/ $190.38/ WO 5269870/ Order camera licenses</t>
        </is>
      </c>
      <c r="F635" s="21" t="n">
        <v>190.38</v>
      </c>
      <c r="G635" s="19" t="inlineStr">
        <is>
          <t>2. Pending Amendment/Modification - Line Item Addition / Vendor Limit Increase / Scope Change</t>
        </is>
      </c>
      <c r="H635" s="19" t="inlineStr">
        <is>
          <t>A. Specification Development Phase</t>
        </is>
      </c>
      <c r="I635" s="19" t="inlineStr">
        <is>
          <t>APPROVED</t>
        </is>
      </c>
      <c r="J635" s="19" t="inlineStr">
        <is>
          <t>No</t>
        </is>
      </c>
      <c r="K635" s="19" t="inlineStr">
        <is>
          <t>No</t>
        </is>
      </c>
      <c r="L635" s="19" t="inlineStr"/>
      <c r="M635" s="19" t="inlineStr">
        <is>
          <t>RX710994</t>
        </is>
      </c>
      <c r="N635" s="19" t="inlineStr">
        <is>
          <t>E</t>
        </is>
      </c>
      <c r="O635" s="20" t="inlineStr">
        <is>
          <t>No linkage found in awarded contract file</t>
        </is>
      </c>
      <c r="P635" s="19" t="inlineStr"/>
      <c r="Q635" s="19" t="inlineStr"/>
      <c r="R635" s="31" t="inlineStr"/>
      <c r="S635" s="19" t="inlineStr"/>
      <c r="T635" s="19" t="inlineStr">
        <is>
          <t>No</t>
        </is>
      </c>
      <c r="U635" s="19" t="inlineStr">
        <is>
          <t>No</t>
        </is>
      </c>
      <c r="V635" s="19" t="inlineStr">
        <is>
          <t>No</t>
        </is>
      </c>
      <c r="W635" s="19" t="inlineStr">
        <is>
          <t>No</t>
        </is>
      </c>
    </row>
    <row r="636">
      <c r="A636" s="19" t="n">
        <v>716019</v>
      </c>
      <c r="B636" s="31" t="n">
        <v>46078</v>
      </c>
      <c r="C636" s="19" t="inlineStr">
        <is>
          <t>DEPARTMENT OF FLEET AND FACILITY MANAGEMENT</t>
        </is>
      </c>
      <c r="D636" s="19" t="inlineStr">
        <is>
          <t>P. R. STREICH &amp; SONS</t>
        </is>
      </c>
      <c r="E636" s="20" t="inlineStr">
        <is>
          <t>PR Streich  832755 AJS/ RS/ INV # 56970/ $925.00/ WO 2601570/</t>
        </is>
      </c>
      <c r="F636" s="21" t="n">
        <v>925</v>
      </c>
      <c r="G636" s="19" t="inlineStr">
        <is>
          <t>1. Pending New Contract - Original Contract Expired. New Contract in Process</t>
        </is>
      </c>
      <c r="H636" s="19" t="inlineStr">
        <is>
          <t>B. City Law Review</t>
        </is>
      </c>
      <c r="I636" s="19" t="inlineStr">
        <is>
          <t>APPROVED</t>
        </is>
      </c>
      <c r="J636" s="19" t="inlineStr">
        <is>
          <t>Yes</t>
        </is>
      </c>
      <c r="K636" s="19" t="inlineStr">
        <is>
          <t>No</t>
        </is>
      </c>
      <c r="L636" s="19" t="inlineStr">
        <is>
          <t>TBD</t>
        </is>
      </c>
      <c r="M636" s="19" t="inlineStr">
        <is>
          <t>RX679901</t>
        </is>
      </c>
      <c r="N636" s="19" t="inlineStr">
        <is>
          <t>E</t>
        </is>
      </c>
      <c r="O636" s="20" t="inlineStr">
        <is>
          <t>No linkage found in awarded contract file</t>
        </is>
      </c>
      <c r="P636" s="19" t="inlineStr"/>
      <c r="Q636" s="19" t="inlineStr"/>
      <c r="R636" s="31" t="inlineStr"/>
      <c r="S636" s="19" t="inlineStr"/>
      <c r="T636" s="19" t="inlineStr">
        <is>
          <t>No</t>
        </is>
      </c>
      <c r="U636" s="19" t="inlineStr">
        <is>
          <t>No</t>
        </is>
      </c>
      <c r="V636" s="19" t="inlineStr">
        <is>
          <t>No</t>
        </is>
      </c>
      <c r="W636" s="19" t="inlineStr">
        <is>
          <t>Yes</t>
        </is>
      </c>
    </row>
    <row r="637">
      <c r="A637" s="19" t="n">
        <v>742257</v>
      </c>
      <c r="B637" s="31" t="n">
        <v>46226</v>
      </c>
      <c r="C637" s="19" t="inlineStr">
        <is>
          <t>DEPARTMENT OF FLEET AND FACILITY MANAGEMENT</t>
        </is>
      </c>
      <c r="D637" s="19" t="inlineStr">
        <is>
          <t>CHARLES EQUIPMENT ENERGY SYSTEMS LLC</t>
        </is>
      </c>
      <c r="E637" s="20" t="inlineStr">
        <is>
          <t>Charles Equipment 157247 A JS/ CE/ 10-Invoices/ $37,846.20/ June 2026/ Repair and Maintenance</t>
        </is>
      </c>
      <c r="F637" s="21" t="n">
        <v>37846.2</v>
      </c>
      <c r="G637" s="19" t="inlineStr">
        <is>
          <t>1. Pending New Contract - Original Contract Expired. New Contract in Process</t>
        </is>
      </c>
      <c r="H637" s="19" t="inlineStr">
        <is>
          <t>A. Specification Development Phase</t>
        </is>
      </c>
      <c r="I637" s="19" t="inlineStr">
        <is>
          <t>APPROVED</t>
        </is>
      </c>
      <c r="J637" s="19" t="inlineStr">
        <is>
          <t>Yes</t>
        </is>
      </c>
      <c r="K637" s="19" t="inlineStr">
        <is>
          <t>No</t>
        </is>
      </c>
      <c r="L637" s="19" t="inlineStr"/>
      <c r="M637" s="19" t="inlineStr">
        <is>
          <t>RX622326</t>
        </is>
      </c>
      <c r="N637" s="19" t="inlineStr">
        <is>
          <t>E</t>
        </is>
      </c>
      <c r="O637" s="20" t="inlineStr">
        <is>
          <t>No linkage found in awarded contract file</t>
        </is>
      </c>
      <c r="P637" s="19" t="inlineStr"/>
      <c r="Q637" s="19" t="inlineStr"/>
      <c r="R637" s="31" t="inlineStr"/>
      <c r="S637" s="19" t="inlineStr"/>
      <c r="T637" s="19" t="inlineStr">
        <is>
          <t>No</t>
        </is>
      </c>
      <c r="U637" s="19" t="inlineStr">
        <is>
          <t>No</t>
        </is>
      </c>
      <c r="V637" s="19" t="inlineStr">
        <is>
          <t>No</t>
        </is>
      </c>
      <c r="W637" s="19" t="inlineStr">
        <is>
          <t>Yes</t>
        </is>
      </c>
    </row>
    <row r="638">
      <c r="A638" s="19" t="n">
        <v>710062</v>
      </c>
      <c r="B638" s="31" t="n">
        <v>46048</v>
      </c>
      <c r="C638" s="19" t="inlineStr">
        <is>
          <t>DEPARTMENT OF FLEET AND FACILITY MANAGEMENT</t>
        </is>
      </c>
      <c r="D638" s="19" t="inlineStr">
        <is>
          <t>PRESSURE WASHING SYSTEMS</t>
        </is>
      </c>
      <c r="E638" s="20" t="inlineStr">
        <is>
          <t>Pressure Washing Systems 1064296 B   JS/FR/ Invoice No. INV110727 &amp; INV110892/ $1,026.00/ DEPT 81/ WO 2601674/ EWOOD</t>
        </is>
      </c>
      <c r="F638" s="21" t="n">
        <v>1026</v>
      </c>
      <c r="G638" s="19" t="inlineStr">
        <is>
          <t>1. Pending New Contract - Original Contract Expired. New Contract in Process</t>
        </is>
      </c>
      <c r="H638" s="19" t="inlineStr">
        <is>
          <t>A. Specification Development Phase</t>
        </is>
      </c>
      <c r="I638" s="19" t="inlineStr">
        <is>
          <t>APPROVED</t>
        </is>
      </c>
      <c r="J638" s="19" t="inlineStr">
        <is>
          <t>Yes</t>
        </is>
      </c>
      <c r="K638" s="19" t="inlineStr">
        <is>
          <t>No</t>
        </is>
      </c>
      <c r="L638" s="19" t="inlineStr"/>
      <c r="M638" s="19" t="inlineStr">
        <is>
          <t>RX708700</t>
        </is>
      </c>
      <c r="N638" s="19" t="inlineStr">
        <is>
          <t>E</t>
        </is>
      </c>
      <c r="O638" s="20" t="inlineStr">
        <is>
          <t>No linkage found in awarded contract file</t>
        </is>
      </c>
      <c r="P638" s="19" t="inlineStr"/>
      <c r="Q638" s="19" t="inlineStr"/>
      <c r="R638" s="31" t="inlineStr"/>
      <c r="S638" s="19" t="inlineStr"/>
      <c r="T638" s="19" t="inlineStr">
        <is>
          <t>No</t>
        </is>
      </c>
      <c r="U638" s="19" t="inlineStr">
        <is>
          <t>No</t>
        </is>
      </c>
      <c r="V638" s="19" t="inlineStr">
        <is>
          <t>No</t>
        </is>
      </c>
      <c r="W638" s="19" t="inlineStr">
        <is>
          <t>Yes</t>
        </is>
      </c>
    </row>
    <row r="639">
      <c r="A639" s="19" t="n">
        <v>709767</v>
      </c>
      <c r="B639" s="31" t="n">
        <v>46044</v>
      </c>
      <c r="C639" s="19" t="inlineStr">
        <is>
          <t>DEPARTMENT OF FLEET AND FACILITY MANAGEMENT</t>
        </is>
      </c>
      <c r="D639" s="19" t="inlineStr">
        <is>
          <t>JACOB PRESS' SONS INC</t>
        </is>
      </c>
      <c r="E639" s="20" t="inlineStr">
        <is>
          <t>JJACOB PRESS 1052840 B  JS/ FR/ Invoice No. 596405/ $1,266.90/ FM4504/ WO 2587282/ EWOOD</t>
        </is>
      </c>
      <c r="F639" s="21" t="n">
        <v>1266.9</v>
      </c>
      <c r="G639" s="19" t="inlineStr">
        <is>
          <t>1. Pending New Contract - Original Contract Expired. New Contract in Process</t>
        </is>
      </c>
      <c r="H639" s="19" t="inlineStr">
        <is>
          <t>B. City Law Review</t>
        </is>
      </c>
      <c r="I639" s="19" t="inlineStr">
        <is>
          <t>APPROVED</t>
        </is>
      </c>
      <c r="J639" s="19" t="inlineStr">
        <is>
          <t>Yes</t>
        </is>
      </c>
      <c r="K639" s="19" t="inlineStr">
        <is>
          <t>No</t>
        </is>
      </c>
      <c r="L639" s="19" t="inlineStr"/>
      <c r="M639" s="19" t="inlineStr">
        <is>
          <t>RX590958</t>
        </is>
      </c>
      <c r="N639" s="19" t="inlineStr">
        <is>
          <t>E</t>
        </is>
      </c>
      <c r="O639" s="20" t="inlineStr">
        <is>
          <t>No linkage found in awarded contract file</t>
        </is>
      </c>
      <c r="P639" s="19" t="inlineStr"/>
      <c r="Q639" s="19" t="inlineStr"/>
      <c r="R639" s="31" t="inlineStr"/>
      <c r="S639" s="19" t="inlineStr"/>
      <c r="T639" s="19" t="inlineStr">
        <is>
          <t>No</t>
        </is>
      </c>
      <c r="U639" s="19" t="inlineStr">
        <is>
          <t>No</t>
        </is>
      </c>
      <c r="V639" s="19" t="inlineStr">
        <is>
          <t>No</t>
        </is>
      </c>
      <c r="W639" s="19" t="inlineStr">
        <is>
          <t>Yes</t>
        </is>
      </c>
    </row>
    <row r="640">
      <c r="A640" s="19" t="n">
        <v>720615</v>
      </c>
      <c r="B640" s="31" t="n">
        <v>46107</v>
      </c>
      <c r="C640" s="19" t="inlineStr">
        <is>
          <t>DEPARTMENT OF FLEET AND FACILITY MANAGEMENT</t>
        </is>
      </c>
      <c r="D640" s="19" t="inlineStr">
        <is>
          <t>MURNANE PAPER COMPANY</t>
        </is>
      </c>
      <c r="E640" s="20" t="inlineStr">
        <is>
          <t>MURNANE PAPER 57163729 A  JS/ JM/ 3-INV/ $16,834.00/</t>
        </is>
      </c>
      <c r="F640" s="21" t="n">
        <v>16834</v>
      </c>
      <c r="G640" s="19" t="inlineStr">
        <is>
          <t>1. Pending New Contract - Original Contract Expired. New Contract in Process</t>
        </is>
      </c>
      <c r="H640" s="19" t="inlineStr">
        <is>
          <t>A. Specification Development Phase</t>
        </is>
      </c>
      <c r="I640" s="19" t="inlineStr">
        <is>
          <t>APPROVED</t>
        </is>
      </c>
      <c r="J640" s="19" t="inlineStr">
        <is>
          <t>No</t>
        </is>
      </c>
      <c r="K640" s="19" t="inlineStr">
        <is>
          <t>No</t>
        </is>
      </c>
      <c r="L640" s="19" t="inlineStr"/>
      <c r="M640" s="19" t="inlineStr">
        <is>
          <t>RX600854</t>
        </is>
      </c>
      <c r="N640" s="19" t="inlineStr">
        <is>
          <t>E</t>
        </is>
      </c>
      <c r="O640" s="20" t="inlineStr">
        <is>
          <t>No linkage found in awarded contract file</t>
        </is>
      </c>
      <c r="P640" s="19" t="inlineStr"/>
      <c r="Q640" s="19" t="inlineStr"/>
      <c r="R640" s="31" t="inlineStr"/>
      <c r="S640" s="19" t="inlineStr"/>
      <c r="T640" s="19" t="inlineStr">
        <is>
          <t>No</t>
        </is>
      </c>
      <c r="U640" s="19" t="inlineStr">
        <is>
          <t>No</t>
        </is>
      </c>
      <c r="V640" s="19" t="inlineStr">
        <is>
          <t>No</t>
        </is>
      </c>
      <c r="W640" s="19" t="inlineStr">
        <is>
          <t>No</t>
        </is>
      </c>
    </row>
    <row r="641">
      <c r="A641" s="19" t="n">
        <v>709937</v>
      </c>
      <c r="B641" s="31" t="n">
        <v>46048</v>
      </c>
      <c r="C641" s="19" t="inlineStr">
        <is>
          <t>DEPARTMENT OF FLEET AND FACILITY MANAGEMENT</t>
        </is>
      </c>
      <c r="D641" s="19" t="inlineStr">
        <is>
          <t>LIZZETTE MEDINA &amp; COMPANY</t>
        </is>
      </c>
      <c r="E641" s="20" t="inlineStr">
        <is>
          <t>Lizzette Medina  56979506 B  JS/ AH/ Invoice 253905 &amp; 255938/ $5,225.00/ Oct Remaining Invoices</t>
        </is>
      </c>
      <c r="F641" s="21" t="n">
        <v>5225</v>
      </c>
      <c r="G641" s="19" t="inlineStr">
        <is>
          <t>1. Pending New Contract - Original Contract Expired. New Contract in Process</t>
        </is>
      </c>
      <c r="H641" s="19" t="inlineStr">
        <is>
          <t>B. City Law Review</t>
        </is>
      </c>
      <c r="I641" s="19" t="inlineStr">
        <is>
          <t>APPROVED</t>
        </is>
      </c>
      <c r="J641" s="19" t="inlineStr">
        <is>
          <t>Yes</t>
        </is>
      </c>
      <c r="K641" s="19" t="inlineStr">
        <is>
          <t>No</t>
        </is>
      </c>
      <c r="L641" s="19" t="inlineStr"/>
      <c r="M641" s="19" t="inlineStr">
        <is>
          <t>RX652655</t>
        </is>
      </c>
      <c r="N641" s="19" t="inlineStr">
        <is>
          <t>E</t>
        </is>
      </c>
      <c r="O641" s="20" t="inlineStr">
        <is>
          <t>No linkage found in awarded contract file</t>
        </is>
      </c>
      <c r="P641" s="19" t="inlineStr"/>
      <c r="Q641" s="19" t="inlineStr"/>
      <c r="R641" s="31" t="inlineStr"/>
      <c r="S641" s="19" t="inlineStr"/>
      <c r="T641" s="19" t="inlineStr">
        <is>
          <t>No</t>
        </is>
      </c>
      <c r="U641" s="19" t="inlineStr">
        <is>
          <t>No</t>
        </is>
      </c>
      <c r="V641" s="19" t="inlineStr">
        <is>
          <t>No</t>
        </is>
      </c>
      <c r="W641" s="19" t="inlineStr">
        <is>
          <t>Yes</t>
        </is>
      </c>
    </row>
    <row r="642">
      <c r="A642" s="19" t="n">
        <v>718404</v>
      </c>
      <c r="B642" s="31" t="n">
        <v>46190</v>
      </c>
      <c r="C642" s="19" t="inlineStr">
        <is>
          <t>DEPARTMENT OF FLEET AND FACILITY MANAGEMENT</t>
        </is>
      </c>
      <c r="D642" s="19" t="inlineStr">
        <is>
          <t>RAE PRODUCTS &amp; CHEMICALS CORP.</t>
        </is>
      </c>
      <c r="E642" s="20" t="inlineStr">
        <is>
          <t>RAE Products  708377 A  JS/ PM/ INVOICE # 204502/ $46,777.11/</t>
        </is>
      </c>
      <c r="F642" s="21" t="n">
        <v>0</v>
      </c>
      <c r="G642" s="19" t="inlineStr">
        <is>
          <t>3. One Time Purchase</t>
        </is>
      </c>
      <c r="H642" s="19" t="inlineStr">
        <is>
          <t>A. Specification Development Phase</t>
        </is>
      </c>
      <c r="I642" s="19" t="inlineStr"/>
      <c r="J642" s="19" t="inlineStr">
        <is>
          <t>No</t>
        </is>
      </c>
      <c r="K642" s="19" t="inlineStr">
        <is>
          <t>No</t>
        </is>
      </c>
      <c r="L642" s="19" t="inlineStr">
        <is>
          <t>TBD</t>
        </is>
      </c>
      <c r="M642" s="19" t="inlineStr">
        <is>
          <t>RX660559</t>
        </is>
      </c>
      <c r="N642" s="19" t="inlineStr">
        <is>
          <t>E</t>
        </is>
      </c>
      <c r="O642" s="20" t="inlineStr">
        <is>
          <t>No linkage found in awarded contract file</t>
        </is>
      </c>
      <c r="P642" s="19" t="inlineStr"/>
      <c r="Q642" s="19" t="inlineStr"/>
      <c r="R642" s="31" t="inlineStr"/>
      <c r="S642" s="19" t="inlineStr"/>
      <c r="T642" s="19" t="inlineStr">
        <is>
          <t>No</t>
        </is>
      </c>
      <c r="U642" s="19" t="inlineStr">
        <is>
          <t>No</t>
        </is>
      </c>
      <c r="V642" s="19" t="inlineStr">
        <is>
          <t>No</t>
        </is>
      </c>
      <c r="W642" s="19" t="inlineStr">
        <is>
          <t>No</t>
        </is>
      </c>
    </row>
    <row r="643">
      <c r="A643" s="19" t="n">
        <v>726158</v>
      </c>
      <c r="B643" s="31" t="n">
        <v>46164</v>
      </c>
      <c r="C643" s="19" t="inlineStr">
        <is>
          <t>DEPARTMENT OF FLEET AND FACILITY MANAGEMENT</t>
        </is>
      </c>
      <c r="D643" s="19" t="inlineStr">
        <is>
          <t>RAE PRODUCTS &amp; CHEMICALS CORP.</t>
        </is>
      </c>
      <c r="E643" s="20" t="inlineStr">
        <is>
          <t>RAE Products 708377 A  JS/ PM/ Invoice # 204946/ $9,021.60</t>
        </is>
      </c>
      <c r="F643" s="21" t="n">
        <v>9021.6</v>
      </c>
      <c r="G643" s="19" t="inlineStr">
        <is>
          <t>1. Pending New Contract - Original Contract Expired. New Contract in Process</t>
        </is>
      </c>
      <c r="H643" s="19" t="inlineStr">
        <is>
          <t>A. Specification Development Phase</t>
        </is>
      </c>
      <c r="I643" s="19" t="inlineStr">
        <is>
          <t>APPROVED</t>
        </is>
      </c>
      <c r="J643" s="19" t="inlineStr">
        <is>
          <t>Yes</t>
        </is>
      </c>
      <c r="K643" s="19" t="inlineStr">
        <is>
          <t>No</t>
        </is>
      </c>
      <c r="L643" s="19" t="inlineStr">
        <is>
          <t>TBD</t>
        </is>
      </c>
      <c r="M643" s="19" t="inlineStr">
        <is>
          <t>RX724825</t>
        </is>
      </c>
      <c r="N643" s="19" t="inlineStr">
        <is>
          <t>E</t>
        </is>
      </c>
      <c r="O643" s="20" t="inlineStr">
        <is>
          <t>No linkage found in awarded contract file</t>
        </is>
      </c>
      <c r="P643" s="19" t="inlineStr"/>
      <c r="Q643" s="19" t="inlineStr"/>
      <c r="R643" s="31" t="inlineStr"/>
      <c r="S643" s="19" t="inlineStr"/>
      <c r="T643" s="19" t="inlineStr">
        <is>
          <t>No</t>
        </is>
      </c>
      <c r="U643" s="19" t="inlineStr">
        <is>
          <t>No</t>
        </is>
      </c>
      <c r="V643" s="19" t="inlineStr">
        <is>
          <t>No</t>
        </is>
      </c>
      <c r="W643" s="19" t="inlineStr">
        <is>
          <t>Yes</t>
        </is>
      </c>
    </row>
    <row r="644">
      <c r="A644" s="19" t="n">
        <v>724632</v>
      </c>
      <c r="B644" s="31" t="n">
        <v>46133</v>
      </c>
      <c r="C644" s="19" t="inlineStr">
        <is>
          <t>DEPARTMENT OF FLEET AND FACILITY MANAGEMENT</t>
        </is>
      </c>
      <c r="D644" s="19" t="inlineStr">
        <is>
          <t>Sophisticated Events and Design Co.</t>
        </is>
      </c>
      <c r="E644" s="20" t="inlineStr">
        <is>
          <t>Sophisticated Events 10237596 A  JS/ DC/ 6-Invoices/ $16,200.00/ 2FM/ Table Rentals/ Migrant Location-Touhy &amp; Sheridan</t>
        </is>
      </c>
      <c r="F644" s="21" t="n">
        <v>16200</v>
      </c>
      <c r="G644" s="19" t="inlineStr">
        <is>
          <t>1. Pending New Contract - Original Contract Expired. New Contract in Process</t>
        </is>
      </c>
      <c r="H644" s="19" t="inlineStr">
        <is>
          <t>A. Specification Development Phase</t>
        </is>
      </c>
      <c r="I644" s="19" t="inlineStr">
        <is>
          <t>APPROVED</t>
        </is>
      </c>
      <c r="J644" s="19" t="inlineStr">
        <is>
          <t>No</t>
        </is>
      </c>
      <c r="K644" s="19" t="inlineStr">
        <is>
          <t>No</t>
        </is>
      </c>
      <c r="L644" s="19" t="inlineStr"/>
      <c r="M644" s="19" t="inlineStr">
        <is>
          <t>RX656727</t>
        </is>
      </c>
      <c r="N644" s="19" t="inlineStr">
        <is>
          <t>E</t>
        </is>
      </c>
      <c r="O644" s="20" t="inlineStr">
        <is>
          <t>No linkage found in awarded contract file</t>
        </is>
      </c>
      <c r="P644" s="19" t="inlineStr"/>
      <c r="Q644" s="19" t="inlineStr"/>
      <c r="R644" s="31" t="inlineStr"/>
      <c r="S644" s="19" t="inlineStr"/>
      <c r="T644" s="19" t="inlineStr">
        <is>
          <t>No</t>
        </is>
      </c>
      <c r="U644" s="19" t="inlineStr">
        <is>
          <t>No</t>
        </is>
      </c>
      <c r="V644" s="19" t="inlineStr">
        <is>
          <t>No</t>
        </is>
      </c>
      <c r="W644" s="19" t="inlineStr">
        <is>
          <t>No</t>
        </is>
      </c>
    </row>
    <row r="645">
      <c r="A645" s="19" t="n">
        <v>736547</v>
      </c>
      <c r="B645" s="31" t="n">
        <v>46217</v>
      </c>
      <c r="C645" s="19" t="inlineStr">
        <is>
          <t>CHICAGO POLICE DEPARTMENT</t>
        </is>
      </c>
      <c r="D645" s="19" t="inlineStr">
        <is>
          <t>VOHNE LICHE KENNELS INC</t>
        </is>
      </c>
      <c r="E645" s="20" t="inlineStr">
        <is>
          <t>Vohne Liche Kennels Inv 21389 $50,059</t>
        </is>
      </c>
      <c r="F645" s="21" t="n">
        <v>50059</v>
      </c>
      <c r="G645" s="19" t="inlineStr">
        <is>
          <t>1. Pending New Contract - Original Contract Expired. New Contract in Process</t>
        </is>
      </c>
      <c r="H645" s="19" t="inlineStr">
        <is>
          <t>A. Specification Development Phase</t>
        </is>
      </c>
      <c r="I645" s="19" t="inlineStr">
        <is>
          <t>APPROVED</t>
        </is>
      </c>
      <c r="J645" s="19" t="inlineStr">
        <is>
          <t>Yes</t>
        </is>
      </c>
      <c r="K645" s="19" t="inlineStr">
        <is>
          <t>No</t>
        </is>
      </c>
      <c r="L645" s="19" t="inlineStr"/>
      <c r="M645" s="19" t="inlineStr">
        <is>
          <t>RX691891</t>
        </is>
      </c>
      <c r="N645" s="19" t="inlineStr">
        <is>
          <t>E</t>
        </is>
      </c>
      <c r="O645" s="20" t="inlineStr">
        <is>
          <t>No linkage found in awarded contract file</t>
        </is>
      </c>
      <c r="P645" s="19" t="inlineStr"/>
      <c r="Q645" s="19" t="inlineStr"/>
      <c r="R645" s="31" t="inlineStr"/>
      <c r="S645" s="19" t="inlineStr"/>
      <c r="T645" s="19" t="inlineStr">
        <is>
          <t>No</t>
        </is>
      </c>
      <c r="U645" s="19" t="inlineStr">
        <is>
          <t>No</t>
        </is>
      </c>
      <c r="V645" s="19" t="inlineStr">
        <is>
          <t>No</t>
        </is>
      </c>
      <c r="W645" s="19" t="inlineStr">
        <is>
          <t>Yes</t>
        </is>
      </c>
    </row>
    <row r="646">
      <c r="A646" s="19" t="n">
        <v>711370</v>
      </c>
      <c r="B646" s="31" t="n">
        <v>46052</v>
      </c>
      <c r="C646" s="19" t="inlineStr">
        <is>
          <t>CHICAGO DEPARTMENT OF PUBLIC HEALTH</t>
        </is>
      </c>
      <c r="D646" s="19" t="inlineStr">
        <is>
          <t>RUSH UNIVERSITY MEDICAL CENTER</t>
        </is>
      </c>
      <c r="E646" s="20" t="inlineStr">
        <is>
          <t>Community Testing, Infection Prevention  (Nov 2025</t>
        </is>
      </c>
      <c r="F646" s="21" t="n">
        <v>28330.55</v>
      </c>
      <c r="G646" s="19" t="inlineStr">
        <is>
          <t>1. Pending New Contract - Original Contract Expired. New Contract in Process</t>
        </is>
      </c>
      <c r="H646" s="19" t="inlineStr">
        <is>
          <t>A. Specification Development Phase</t>
        </is>
      </c>
      <c r="I646" s="19" t="inlineStr">
        <is>
          <t>APPROVED</t>
        </is>
      </c>
      <c r="J646" s="19" t="inlineStr">
        <is>
          <t>Yes</t>
        </is>
      </c>
      <c r="K646" s="19" t="inlineStr">
        <is>
          <t>No</t>
        </is>
      </c>
      <c r="L646" s="19" t="inlineStr">
        <is>
          <t>na</t>
        </is>
      </c>
      <c r="M646" s="19" t="inlineStr">
        <is>
          <t>VDRUSH UNIVERSITY MEDICAL CENT</t>
        </is>
      </c>
      <c r="N646" s="19" t="inlineStr">
        <is>
          <t>E</t>
        </is>
      </c>
      <c r="O646" s="20" t="inlineStr">
        <is>
          <t>No linkage found in awarded contract file</t>
        </is>
      </c>
      <c r="P646" s="19" t="inlineStr"/>
      <c r="Q646" s="19" t="inlineStr"/>
      <c r="R646" s="31" t="inlineStr"/>
      <c r="S646" s="19" t="inlineStr"/>
      <c r="T646" s="19" t="inlineStr">
        <is>
          <t>No</t>
        </is>
      </c>
      <c r="U646" s="19" t="inlineStr">
        <is>
          <t>No</t>
        </is>
      </c>
      <c r="V646" s="19" t="inlineStr">
        <is>
          <t>No</t>
        </is>
      </c>
      <c r="W646" s="19" t="inlineStr">
        <is>
          <t>Yes</t>
        </is>
      </c>
    </row>
    <row r="647">
      <c r="A647" s="19" t="n">
        <v>714146</v>
      </c>
      <c r="B647" s="31" t="n">
        <v>46077</v>
      </c>
      <c r="C647" s="19" t="inlineStr">
        <is>
          <t>DEPARTMENT OF WATER MANAGEMENT</t>
        </is>
      </c>
      <c r="D647" s="19" t="inlineStr">
        <is>
          <t>Service Sanitation Inc.</t>
        </is>
      </c>
      <c r="E647" s="20" t="inlineStr">
        <is>
          <t>DCASE IS THE LEAD DEPARTMENT. REQ#613315 WAS SUBMITTED TO DPS ON 8/13/2024 FOR A NEW CONTRACT (BOARD DATE:09/11/2025) AND, AS OF 01/26/2026, IS STILL AWAITING RESPONSES FROM COMPLIANCE AND DPS LEGAL. ADDITIONALLY, DCASE SUBMITTED REQ#700212</t>
        </is>
      </c>
      <c r="F647" s="21" t="n">
        <v>6427</v>
      </c>
      <c r="G647" s="19" t="inlineStr">
        <is>
          <t>1. Pending New Contract - Original Contract Expired. New Contract in Process</t>
        </is>
      </c>
      <c r="H647" s="19" t="inlineStr">
        <is>
          <t>H. One Time Purchase</t>
        </is>
      </c>
      <c r="I647" s="19" t="inlineStr">
        <is>
          <t>APPROVED</t>
        </is>
      </c>
      <c r="J647" s="19" t="inlineStr">
        <is>
          <t>Yes</t>
        </is>
      </c>
      <c r="K647" s="19" t="inlineStr">
        <is>
          <t>Yes</t>
        </is>
      </c>
      <c r="L647" s="19" t="n">
        <v>613315</v>
      </c>
      <c r="M647" s="19" t="inlineStr">
        <is>
          <t>RX700212</t>
        </is>
      </c>
      <c r="N647" s="19" t="inlineStr">
        <is>
          <t>C</t>
        </is>
      </c>
      <c r="O647" s="20" t="inlineStr">
        <is>
          <t>Vendor name match only (similarity 0.00)</t>
        </is>
      </c>
      <c r="P647" s="19" t="inlineStr">
        <is>
          <t>381051</t>
        </is>
      </c>
      <c r="Q647" s="19" t="inlineStr">
        <is>
          <t>Service Sanitation Inc.</t>
        </is>
      </c>
      <c r="R647" s="31" t="n">
        <v>46203</v>
      </c>
      <c r="S647" s="19" t="inlineStr">
        <is>
          <t>BID</t>
        </is>
      </c>
      <c r="T647" s="19" t="inlineStr">
        <is>
          <t>Yes</t>
        </is>
      </c>
      <c r="U647" s="19" t="inlineStr">
        <is>
          <t>No</t>
        </is>
      </c>
      <c r="V647" s="19" t="inlineStr">
        <is>
          <t>No</t>
        </is>
      </c>
      <c r="W647" s="19" t="inlineStr">
        <is>
          <t>Yes</t>
        </is>
      </c>
    </row>
    <row r="648">
      <c r="A648" s="19" t="n">
        <v>712189</v>
      </c>
      <c r="B648" s="31" t="n">
        <v>46058</v>
      </c>
      <c r="C648" s="19" t="inlineStr">
        <is>
          <t>CHICAGO DEPARTMENT OF PUBLIC HEALTH</t>
        </is>
      </c>
      <c r="D648" s="19" t="inlineStr">
        <is>
          <t>Youth Marketing Connection LLC</t>
        </is>
      </c>
      <c r="E648" s="20" t="inlineStr">
        <is>
          <t>Web Hosting fees - Storage fees</t>
        </is>
      </c>
      <c r="F648" s="21" t="n">
        <v>1006.4</v>
      </c>
      <c r="G648" s="19" t="inlineStr">
        <is>
          <t>3. One Time Purchase</t>
        </is>
      </c>
      <c r="H648" s="19" t="inlineStr">
        <is>
          <t>H. One Time Purchase</t>
        </is>
      </c>
      <c r="I648" s="19" t="inlineStr">
        <is>
          <t>APPROVED</t>
        </is>
      </c>
      <c r="J648" s="19" t="inlineStr">
        <is>
          <t>Yes</t>
        </is>
      </c>
      <c r="K648" s="19" t="inlineStr">
        <is>
          <t>Yes</t>
        </is>
      </c>
      <c r="L648" s="19" t="inlineStr">
        <is>
          <t>1209922/225755</t>
        </is>
      </c>
      <c r="M648" s="19" t="inlineStr">
        <is>
          <t>VDYOUTH MARKETING CONNECTION</t>
        </is>
      </c>
      <c r="N648" s="19" t="inlineStr">
        <is>
          <t>E</t>
        </is>
      </c>
      <c r="O648" s="20" t="inlineStr">
        <is>
          <t>No linkage found in awarded contract file</t>
        </is>
      </c>
      <c r="P648" s="19" t="inlineStr"/>
      <c r="Q648" s="19" t="inlineStr"/>
      <c r="R648" s="31" t="inlineStr"/>
      <c r="S648" s="19" t="inlineStr"/>
      <c r="T648" s="19" t="inlineStr">
        <is>
          <t>No</t>
        </is>
      </c>
      <c r="U648" s="19" t="inlineStr">
        <is>
          <t>No</t>
        </is>
      </c>
      <c r="V648" s="19" t="inlineStr">
        <is>
          <t>No</t>
        </is>
      </c>
      <c r="W648" s="19" t="inlineStr">
        <is>
          <t>No</t>
        </is>
      </c>
    </row>
    <row r="649">
      <c r="A649" s="19" t="n">
        <v>707158</v>
      </c>
      <c r="B649" s="31" t="n">
        <v>46031</v>
      </c>
      <c r="C649" s="19" t="inlineStr">
        <is>
          <t>CHICAGO DEPARTMENT OF PUBLIC HEALTH</t>
        </is>
      </c>
      <c r="D649" s="19" t="inlineStr">
        <is>
          <t>GOLDSTAR COMMUNICATION</t>
        </is>
      </c>
      <c r="E649" s="20" t="inlineStr">
        <is>
          <t>Communication, PR, Project management services</t>
        </is>
      </c>
      <c r="F649" s="21" t="n">
        <v>21806.25</v>
      </c>
      <c r="G649" s="19" t="inlineStr">
        <is>
          <t>3. One Time Purchase</t>
        </is>
      </c>
      <c r="H649" s="19" t="inlineStr">
        <is>
          <t>H. One Time Purchase</t>
        </is>
      </c>
      <c r="I649" s="19" t="inlineStr">
        <is>
          <t>APPROVED</t>
        </is>
      </c>
      <c r="J649" s="19" t="inlineStr">
        <is>
          <t>No</t>
        </is>
      </c>
      <c r="K649" s="19" t="inlineStr">
        <is>
          <t>No</t>
        </is>
      </c>
      <c r="L649" s="19" t="inlineStr"/>
      <c r="M649" s="19" t="inlineStr">
        <is>
          <t>VDGOLDSTAR COMMUNICATION</t>
        </is>
      </c>
      <c r="N649" s="19" t="inlineStr">
        <is>
          <t>E</t>
        </is>
      </c>
      <c r="O649" s="20" t="inlineStr">
        <is>
          <t>No linkage found in awarded contract file</t>
        </is>
      </c>
      <c r="P649" s="19" t="inlineStr"/>
      <c r="Q649" s="19" t="inlineStr"/>
      <c r="R649" s="31" t="inlineStr"/>
      <c r="S649" s="19" t="inlineStr"/>
      <c r="T649" s="19" t="inlineStr">
        <is>
          <t>No</t>
        </is>
      </c>
      <c r="U649" s="19" t="inlineStr">
        <is>
          <t>No</t>
        </is>
      </c>
      <c r="V649" s="19" t="inlineStr">
        <is>
          <t>No</t>
        </is>
      </c>
      <c r="W649" s="19" t="inlineStr">
        <is>
          <t>No</t>
        </is>
      </c>
    </row>
    <row r="650">
      <c r="A650" s="19" t="n">
        <v>736924</v>
      </c>
      <c r="B650" s="31" t="n">
        <v>46197</v>
      </c>
      <c r="C650" s="19" t="inlineStr">
        <is>
          <t>CHICAGO DEPARTMENT OF PUBLIC HEALTH</t>
        </is>
      </c>
      <c r="D650" s="19" t="inlineStr">
        <is>
          <t>Youth Marketing Connection LLC</t>
        </is>
      </c>
      <c r="E650" s="20" t="inlineStr">
        <is>
          <t>Campaign storage fees and web hosting fees 3/1 - 4/30/2026</t>
        </is>
      </c>
      <c r="F650" s="21" t="n">
        <v>2012.8</v>
      </c>
      <c r="G650" s="19" t="inlineStr">
        <is>
          <t>4. Invoice Reconciliation - Invoice Received after Contract Expiration</t>
        </is>
      </c>
      <c r="H650" s="19" t="inlineStr">
        <is>
          <t>H. One Time Purchase</t>
        </is>
      </c>
      <c r="I650" s="19" t="inlineStr">
        <is>
          <t>APPROVED</t>
        </is>
      </c>
      <c r="J650" s="19" t="inlineStr">
        <is>
          <t>No</t>
        </is>
      </c>
      <c r="K650" s="19" t="inlineStr">
        <is>
          <t>No</t>
        </is>
      </c>
      <c r="L650" s="19" t="inlineStr"/>
      <c r="M650" s="19" t="inlineStr">
        <is>
          <t>VDYOUTH MARKETING CONNECTION</t>
        </is>
      </c>
      <c r="N650" s="19" t="inlineStr">
        <is>
          <t>E</t>
        </is>
      </c>
      <c r="O650" s="20" t="inlineStr">
        <is>
          <t>No linkage found in awarded contract file</t>
        </is>
      </c>
      <c r="P650" s="19" t="inlineStr"/>
      <c r="Q650" s="19" t="inlineStr"/>
      <c r="R650" s="31" t="inlineStr"/>
      <c r="S650" s="19" t="inlineStr"/>
      <c r="T650" s="19" t="inlineStr">
        <is>
          <t>No</t>
        </is>
      </c>
      <c r="U650" s="19" t="inlineStr">
        <is>
          <t>No</t>
        </is>
      </c>
      <c r="V650" s="19" t="inlineStr">
        <is>
          <t>No</t>
        </is>
      </c>
      <c r="W650" s="19" t="inlineStr">
        <is>
          <t>No</t>
        </is>
      </c>
    </row>
    <row r="651">
      <c r="A651" s="19" t="n">
        <v>730415</v>
      </c>
      <c r="B651" s="31" t="n">
        <v>46161</v>
      </c>
      <c r="C651" s="19" t="inlineStr">
        <is>
          <t>DEPARTMENT OF WATER MANAGEMENT</t>
        </is>
      </c>
      <c r="D651" s="19" t="inlineStr">
        <is>
          <t>PALM ELECTRIC COMPANY</t>
        </is>
      </c>
      <c r="E651" s="20" t="inlineStr">
        <is>
          <t>Purchase of new equipment electric motors, pumps and air compressor and repair service for electric motors pumps and air comprssors</t>
        </is>
      </c>
      <c r="F651" s="21" t="n">
        <v>11112.54</v>
      </c>
      <c r="G651" s="19" t="inlineStr">
        <is>
          <t>1. Pending New Contract - Original Contract Expired. New Contract in Process</t>
        </is>
      </c>
      <c r="H651" s="19" t="inlineStr">
        <is>
          <t>H. One Time Purchase</t>
        </is>
      </c>
      <c r="I651" s="19" t="inlineStr">
        <is>
          <t>APPROVED</t>
        </is>
      </c>
      <c r="J651" s="19" t="inlineStr">
        <is>
          <t>Yes</t>
        </is>
      </c>
      <c r="K651" s="19" t="inlineStr">
        <is>
          <t>No</t>
        </is>
      </c>
      <c r="L651" s="19" t="inlineStr"/>
      <c r="M651" s="19" t="inlineStr">
        <is>
          <t>RX650171</t>
        </is>
      </c>
      <c r="N651" s="19" t="inlineStr">
        <is>
          <t>E</t>
        </is>
      </c>
      <c r="O651" s="20" t="inlineStr">
        <is>
          <t>No linkage found in awarded contract file</t>
        </is>
      </c>
      <c r="P651" s="19" t="inlineStr"/>
      <c r="Q651" s="19" t="inlineStr"/>
      <c r="R651" s="31" t="inlineStr"/>
      <c r="S651" s="19" t="inlineStr"/>
      <c r="T651" s="19" t="inlineStr">
        <is>
          <t>No</t>
        </is>
      </c>
      <c r="U651" s="19" t="inlineStr">
        <is>
          <t>No</t>
        </is>
      </c>
      <c r="V651" s="19" t="inlineStr">
        <is>
          <t>No</t>
        </is>
      </c>
      <c r="W651" s="19" t="inlineStr">
        <is>
          <t>Yes</t>
        </is>
      </c>
    </row>
    <row r="652">
      <c r="A652" s="19" t="n">
        <v>741159</v>
      </c>
      <c r="B652" s="31" t="n">
        <v>46220</v>
      </c>
      <c r="C652" s="19" t="inlineStr">
        <is>
          <t>DEPARTMENT OF FLEET AND FACILITY MANAGEMENT</t>
        </is>
      </c>
      <c r="D652" s="19" t="inlineStr">
        <is>
          <t>ZIPCAR  INC</t>
        </is>
      </c>
      <c r="E652" s="20" t="inlineStr">
        <is>
          <t>WB/WW/10 INVOICES/$4245.74</t>
        </is>
      </c>
      <c r="F652" s="21" t="n">
        <v>4245.74</v>
      </c>
      <c r="G652" s="19" t="inlineStr">
        <is>
          <t>1. Pending New Contract - Original Contract Expired. New Contract in Process</t>
        </is>
      </c>
      <c r="H652" s="19" t="inlineStr">
        <is>
          <t>B. City Law Review</t>
        </is>
      </c>
      <c r="I652" s="19" t="inlineStr">
        <is>
          <t>APPROVED</t>
        </is>
      </c>
      <c r="J652" s="19" t="inlineStr">
        <is>
          <t>No</t>
        </is>
      </c>
      <c r="K652" s="19" t="inlineStr">
        <is>
          <t>No</t>
        </is>
      </c>
      <c r="L652" s="19" t="inlineStr"/>
      <c r="M652" s="19" t="inlineStr">
        <is>
          <t>RX529316</t>
        </is>
      </c>
      <c r="N652" s="19" t="inlineStr">
        <is>
          <t>E</t>
        </is>
      </c>
      <c r="O652" s="20" t="inlineStr">
        <is>
          <t>No linkage found in awarded contract file</t>
        </is>
      </c>
      <c r="P652" s="19" t="inlineStr"/>
      <c r="Q652" s="19" t="inlineStr"/>
      <c r="R652" s="31" t="inlineStr"/>
      <c r="S652" s="19" t="inlineStr"/>
      <c r="T652" s="19" t="inlineStr">
        <is>
          <t>No</t>
        </is>
      </c>
      <c r="U652" s="19" t="inlineStr">
        <is>
          <t>No</t>
        </is>
      </c>
      <c r="V652" s="19" t="inlineStr">
        <is>
          <t>No</t>
        </is>
      </c>
      <c r="W652" s="19" t="inlineStr">
        <is>
          <t>No</t>
        </is>
      </c>
    </row>
    <row r="653">
      <c r="A653" s="19" t="n">
        <v>741542</v>
      </c>
      <c r="B653" s="31" t="n">
        <v>46223</v>
      </c>
      <c r="C653" s="19" t="inlineStr">
        <is>
          <t>DEPARTMENT OF FLEET AND FACILITY MANAGEMENT</t>
        </is>
      </c>
      <c r="D653" s="19" t="inlineStr">
        <is>
          <t>WILLIAMS SCOTSMAN, INC</t>
        </is>
      </c>
      <c r="E653" s="20" t="inlineStr">
        <is>
          <t>WB/JR/INVOICE #9026432648/$1830.40</t>
        </is>
      </c>
      <c r="F653" s="21" t="n">
        <v>1830.4</v>
      </c>
      <c r="G653" s="19" t="inlineStr">
        <is>
          <t>1. Pending New Contract - Original Contract Expired. New Contract in Process</t>
        </is>
      </c>
      <c r="H653" s="19" t="inlineStr">
        <is>
          <t>A. Specification Development Phase</t>
        </is>
      </c>
      <c r="I653" s="19" t="inlineStr">
        <is>
          <t>APPROVED</t>
        </is>
      </c>
      <c r="J653" s="19" t="inlineStr">
        <is>
          <t>No</t>
        </is>
      </c>
      <c r="K653" s="19" t="inlineStr">
        <is>
          <t>No</t>
        </is>
      </c>
      <c r="L653" s="19" t="inlineStr"/>
      <c r="M653" s="19" t="inlineStr">
        <is>
          <t>RX634676</t>
        </is>
      </c>
      <c r="N653" s="19" t="inlineStr">
        <is>
          <t>E</t>
        </is>
      </c>
      <c r="O653" s="20" t="inlineStr">
        <is>
          <t>No linkage found in awarded contract file</t>
        </is>
      </c>
      <c r="P653" s="19" t="inlineStr"/>
      <c r="Q653" s="19" t="inlineStr"/>
      <c r="R653" s="31" t="inlineStr"/>
      <c r="S653" s="19" t="inlineStr"/>
      <c r="T653" s="19" t="inlineStr">
        <is>
          <t>No</t>
        </is>
      </c>
      <c r="U653" s="19" t="inlineStr">
        <is>
          <t>No</t>
        </is>
      </c>
      <c r="V653" s="19" t="inlineStr">
        <is>
          <t>No</t>
        </is>
      </c>
      <c r="W653" s="19" t="inlineStr">
        <is>
          <t>No</t>
        </is>
      </c>
    </row>
    <row r="654">
      <c r="A654" s="19" t="n">
        <v>740282</v>
      </c>
      <c r="B654" s="31" t="n">
        <v>46217</v>
      </c>
      <c r="C654" s="19" t="inlineStr">
        <is>
          <t>DEPARTMENT OF FLEET AND FACILITY MANAGEMENT</t>
        </is>
      </c>
      <c r="D654" s="19" t="inlineStr">
        <is>
          <t>ARLINGTON GLASS &amp; MIRROR</t>
        </is>
      </c>
      <c r="E654" s="20" t="inlineStr">
        <is>
          <t>WB/AO/INVOICE#75028/$2400</t>
        </is>
      </c>
      <c r="F654" s="21" t="n">
        <v>2400</v>
      </c>
      <c r="G654" s="19" t="inlineStr">
        <is>
          <t>1. Pending New Contract - Original Contract Expired. New Contract in Process</t>
        </is>
      </c>
      <c r="H654" s="19" t="inlineStr">
        <is>
          <t>A. Specification Development Phase</t>
        </is>
      </c>
      <c r="I654" s="19" t="inlineStr">
        <is>
          <t>APPROVED</t>
        </is>
      </c>
      <c r="J654" s="19" t="inlineStr">
        <is>
          <t>Yes</t>
        </is>
      </c>
      <c r="K654" s="19" t="inlineStr">
        <is>
          <t>No</t>
        </is>
      </c>
      <c r="L654" s="19" t="inlineStr"/>
      <c r="M654" s="19" t="inlineStr">
        <is>
          <t>RX647383</t>
        </is>
      </c>
      <c r="N654" s="19" t="inlineStr">
        <is>
          <t>E</t>
        </is>
      </c>
      <c r="O654" s="20" t="inlineStr">
        <is>
          <t>No linkage found in awarded contract file</t>
        </is>
      </c>
      <c r="P654" s="19" t="inlineStr"/>
      <c r="Q654" s="19" t="inlineStr"/>
      <c r="R654" s="31" t="inlineStr"/>
      <c r="S654" s="19" t="inlineStr"/>
      <c r="T654" s="19" t="inlineStr">
        <is>
          <t>No</t>
        </is>
      </c>
      <c r="U654" s="19" t="inlineStr">
        <is>
          <t>No</t>
        </is>
      </c>
      <c r="V654" s="19" t="inlineStr">
        <is>
          <t>No</t>
        </is>
      </c>
      <c r="W654" s="19" t="inlineStr">
        <is>
          <t>Yes</t>
        </is>
      </c>
    </row>
    <row r="655">
      <c r="A655" s="19" t="n">
        <v>708809</v>
      </c>
      <c r="B655" s="31" t="n">
        <v>46038</v>
      </c>
      <c r="C655" s="19" t="inlineStr">
        <is>
          <t>DEPARTMENT OF BUILDINGS</t>
        </is>
      </c>
      <c r="D655" s="19" t="inlineStr">
        <is>
          <t>SEBIS DIRECT</t>
        </is>
      </c>
      <c r="E655" s="20" t="inlineStr">
        <is>
          <t>WEB HOSTING, PRINTING AND MAIL MANAGEMENT SERVICES</t>
        </is>
      </c>
      <c r="F655" s="21" t="n">
        <v>1161.8</v>
      </c>
      <c r="G655" s="19" t="inlineStr">
        <is>
          <t>2. Pending Amendment/Modification - Line Item Addition / Vendor Limit Increase / Scope Change</t>
        </is>
      </c>
      <c r="H655" s="19" t="inlineStr">
        <is>
          <t>B. City Law Review</t>
        </is>
      </c>
      <c r="I655" s="19" t="inlineStr">
        <is>
          <t>APPROVED</t>
        </is>
      </c>
      <c r="J655" s="19" t="inlineStr">
        <is>
          <t>No</t>
        </is>
      </c>
      <c r="K655" s="19" t="inlineStr">
        <is>
          <t>No</t>
        </is>
      </c>
      <c r="L655" s="19" t="n">
        <v>28466</v>
      </c>
      <c r="M655" s="19" t="inlineStr">
        <is>
          <t>RX693953</t>
        </is>
      </c>
      <c r="N655" s="19" t="inlineStr">
        <is>
          <t>E</t>
        </is>
      </c>
      <c r="O655" s="20" t="inlineStr">
        <is>
          <t>No linkage found in awarded contract file</t>
        </is>
      </c>
      <c r="P655" s="19" t="inlineStr"/>
      <c r="Q655" s="19" t="inlineStr"/>
      <c r="R655" s="31" t="inlineStr"/>
      <c r="S655" s="19" t="inlineStr"/>
      <c r="T655" s="19" t="inlineStr">
        <is>
          <t>No</t>
        </is>
      </c>
      <c r="U655" s="19" t="inlineStr">
        <is>
          <t>No</t>
        </is>
      </c>
      <c r="V655" s="19" t="inlineStr">
        <is>
          <t>No</t>
        </is>
      </c>
      <c r="W655" s="19" t="inlineStr">
        <is>
          <t>No</t>
        </is>
      </c>
    </row>
    <row r="656">
      <c r="A656" s="19" t="n">
        <v>725483</v>
      </c>
      <c r="B656" s="31" t="n">
        <v>46153</v>
      </c>
      <c r="C656" s="19" t="inlineStr">
        <is>
          <t>CHICAGO DEPARTMENT OF TRANSPORTATION</t>
        </is>
      </c>
      <c r="D656" s="19" t="inlineStr">
        <is>
          <t>COLLINS ENGINEERS INC</t>
        </is>
      </c>
      <c r="E656" s="20" t="inlineStr">
        <is>
          <t>Exhibit B Collins Engineers, Inc. PO 30193 $117,913.97</t>
        </is>
      </c>
      <c r="F656" s="21" t="n">
        <v>117913.97</v>
      </c>
      <c r="G656" s="19" t="inlineStr">
        <is>
          <t>4. Invoice Reconciliation - Invoice Received after Contract Expiration</t>
        </is>
      </c>
      <c r="H656" s="19" t="inlineStr">
        <is>
          <t>H. One Time Purchase</t>
        </is>
      </c>
      <c r="I656" s="19" t="inlineStr">
        <is>
          <t>APPROVED</t>
        </is>
      </c>
      <c r="J656" s="19" t="inlineStr">
        <is>
          <t>Yes</t>
        </is>
      </c>
      <c r="K656" s="19" t="inlineStr">
        <is>
          <t>Yes</t>
        </is>
      </c>
      <c r="L656" s="19" t="n">
        <v>319103</v>
      </c>
      <c r="M656" s="19" t="inlineStr">
        <is>
          <t>RX334841</t>
        </is>
      </c>
      <c r="N656" s="19" t="inlineStr">
        <is>
          <t>E</t>
        </is>
      </c>
      <c r="O656" s="20" t="inlineStr">
        <is>
          <t>No linkage found in awarded contract file</t>
        </is>
      </c>
      <c r="P656" s="19" t="inlineStr"/>
      <c r="Q656" s="19" t="inlineStr"/>
      <c r="R656" s="31" t="inlineStr"/>
      <c r="S656" s="19" t="inlineStr"/>
      <c r="T656" s="19" t="inlineStr">
        <is>
          <t>No</t>
        </is>
      </c>
      <c r="U656" s="19" t="inlineStr">
        <is>
          <t>No</t>
        </is>
      </c>
      <c r="V656" s="19" t="inlineStr">
        <is>
          <t>No</t>
        </is>
      </c>
      <c r="W656" s="19" t="inlineStr">
        <is>
          <t>No</t>
        </is>
      </c>
    </row>
    <row r="657">
      <c r="A657" s="19" t="n">
        <v>710647</v>
      </c>
      <c r="B657" s="31" t="n">
        <v>46049</v>
      </c>
      <c r="C657" s="19" t="inlineStr">
        <is>
          <t>CHICAGO FIRE DEPARTMENT</t>
        </is>
      </c>
      <c r="D657" s="19" t="inlineStr">
        <is>
          <t>JOHNSON CONTROLS FIRE PROTECTION LP</t>
        </is>
      </c>
      <c r="E657" s="20" t="inlineStr">
        <is>
          <t>Inspection and Maintenance of Fire Extinguishers</t>
        </is>
      </c>
      <c r="F657" s="21" t="n">
        <v>1834.55</v>
      </c>
      <c r="G657" s="19" t="inlineStr">
        <is>
          <t>1. Pending New Contract - Original Contract Expired. New Contract in Process</t>
        </is>
      </c>
      <c r="H657" s="19" t="inlineStr">
        <is>
          <t>A. Specification Development Phase</t>
        </is>
      </c>
      <c r="I657" s="19" t="inlineStr">
        <is>
          <t>APPROVED</t>
        </is>
      </c>
      <c r="J657" s="19" t="inlineStr">
        <is>
          <t>No</t>
        </is>
      </c>
      <c r="K657" s="19" t="inlineStr">
        <is>
          <t>No</t>
        </is>
      </c>
      <c r="L657" s="19" t="inlineStr"/>
      <c r="M657" s="19" t="inlineStr">
        <is>
          <t>RX612805</t>
        </is>
      </c>
      <c r="N657" s="19" t="inlineStr">
        <is>
          <t>E</t>
        </is>
      </c>
      <c r="O657" s="20" t="inlineStr">
        <is>
          <t>No linkage found in awarded contract file</t>
        </is>
      </c>
      <c r="P657" s="19" t="inlineStr"/>
      <c r="Q657" s="19" t="inlineStr"/>
      <c r="R657" s="31" t="inlineStr"/>
      <c r="S657" s="19" t="inlineStr"/>
      <c r="T657" s="19" t="inlineStr">
        <is>
          <t>No</t>
        </is>
      </c>
      <c r="U657" s="19" t="inlineStr">
        <is>
          <t>No</t>
        </is>
      </c>
      <c r="V657" s="19" t="inlineStr">
        <is>
          <t>No</t>
        </is>
      </c>
      <c r="W657" s="19" t="inlineStr">
        <is>
          <t>No</t>
        </is>
      </c>
    </row>
    <row r="658">
      <c r="A658" s="19" t="n">
        <v>735589</v>
      </c>
      <c r="B658" s="31" t="n">
        <v>46189</v>
      </c>
      <c r="C658" s="19" t="inlineStr">
        <is>
          <t>CHICAGO DEPARTMENT OF PUBLIC HEALTH</t>
        </is>
      </c>
      <c r="D658" s="19" t="inlineStr">
        <is>
          <t>CIS Support, Inc.</t>
        </is>
      </c>
      <c r="E658" s="20" t="inlineStr">
        <is>
          <t>CIS Maintenance (June 2026)/Support &amp; Customization/Premier Support - May</t>
        </is>
      </c>
      <c r="F658" s="21" t="n">
        <v>6075</v>
      </c>
      <c r="G658" s="19" t="inlineStr">
        <is>
          <t>3. One Time Purchase</t>
        </is>
      </c>
      <c r="H658" s="19" t="inlineStr">
        <is>
          <t>H. One Time Purchase</t>
        </is>
      </c>
      <c r="I658" s="19" t="inlineStr">
        <is>
          <t>APPROVED</t>
        </is>
      </c>
      <c r="J658" s="19" t="inlineStr">
        <is>
          <t>Yes</t>
        </is>
      </c>
      <c r="K658" s="19" t="inlineStr">
        <is>
          <t>No</t>
        </is>
      </c>
      <c r="L658" s="19" t="inlineStr"/>
      <c r="M658" s="19" t="inlineStr">
        <is>
          <t>VDCIS SUPPORT</t>
        </is>
      </c>
      <c r="N658" s="19" t="inlineStr">
        <is>
          <t>E</t>
        </is>
      </c>
      <c r="O658" s="20" t="inlineStr">
        <is>
          <t>No linkage found in awarded contract file</t>
        </is>
      </c>
      <c r="P658" s="19" t="inlineStr"/>
      <c r="Q658" s="19" t="inlineStr"/>
      <c r="R658" s="31" t="inlineStr"/>
      <c r="S658" s="19" t="inlineStr"/>
      <c r="T658" s="19" t="inlineStr">
        <is>
          <t>No</t>
        </is>
      </c>
      <c r="U658" s="19" t="inlineStr">
        <is>
          <t>No</t>
        </is>
      </c>
      <c r="V658" s="19" t="inlineStr">
        <is>
          <t>No</t>
        </is>
      </c>
      <c r="W658" s="19" t="inlineStr">
        <is>
          <t>No</t>
        </is>
      </c>
    </row>
    <row r="659">
      <c r="A659" s="19" t="n">
        <v>736346</v>
      </c>
      <c r="B659" s="31" t="n">
        <v>46189</v>
      </c>
      <c r="C659" s="19" t="inlineStr">
        <is>
          <t>CHICAGO POLICE DEPARTMENT</t>
        </is>
      </c>
      <c r="D659" s="19" t="inlineStr">
        <is>
          <t>LEGEND &amp; WHITE ANIMAL HEALTH</t>
        </is>
      </c>
      <c r="E659" s="20" t="inlineStr">
        <is>
          <t>Various Dog Food - Patrol - Unit 341</t>
        </is>
      </c>
      <c r="F659" s="21" t="n">
        <v>23604</v>
      </c>
      <c r="G659" s="19" t="inlineStr">
        <is>
          <t>1. Pending New Contract - Original Contract Expired. New Contract in Process</t>
        </is>
      </c>
      <c r="H659" s="19" t="inlineStr">
        <is>
          <t>A. Specification Development Phase</t>
        </is>
      </c>
      <c r="I659" s="19" t="inlineStr">
        <is>
          <t>APPROVED</t>
        </is>
      </c>
      <c r="J659" s="19" t="inlineStr">
        <is>
          <t>Yes</t>
        </is>
      </c>
      <c r="K659" s="19" t="inlineStr">
        <is>
          <t>No</t>
        </is>
      </c>
      <c r="L659" s="19" t="inlineStr"/>
      <c r="M659" s="19" t="inlineStr">
        <is>
          <t>RX643941</t>
        </is>
      </c>
      <c r="N659" s="19" t="inlineStr">
        <is>
          <t>E</t>
        </is>
      </c>
      <c r="O659" s="20" t="inlineStr">
        <is>
          <t>No linkage found in awarded contract file</t>
        </is>
      </c>
      <c r="P659" s="19" t="inlineStr"/>
      <c r="Q659" s="19" t="inlineStr"/>
      <c r="R659" s="31" t="inlineStr"/>
      <c r="S659" s="19" t="inlineStr"/>
      <c r="T659" s="19" t="inlineStr">
        <is>
          <t>No</t>
        </is>
      </c>
      <c r="U659" s="19" t="inlineStr">
        <is>
          <t>No</t>
        </is>
      </c>
      <c r="V659" s="19" t="inlineStr">
        <is>
          <t>No</t>
        </is>
      </c>
      <c r="W659" s="19" t="inlineStr">
        <is>
          <t>Yes</t>
        </is>
      </c>
    </row>
    <row r="660">
      <c r="A660" s="19" t="n">
        <v>728783</v>
      </c>
      <c r="B660" s="31" t="n">
        <v>46147</v>
      </c>
      <c r="C660" s="19" t="inlineStr">
        <is>
          <t>CHICAGO POLICE DEPARTMENT</t>
        </is>
      </c>
      <c r="D660" s="19" t="inlineStr">
        <is>
          <t>Primo Brands</t>
        </is>
      </c>
      <c r="E660" s="20" t="inlineStr">
        <is>
          <t>Water Services</t>
        </is>
      </c>
      <c r="F660" s="21" t="n">
        <v>80.37</v>
      </c>
      <c r="G660" s="19" t="inlineStr">
        <is>
          <t>1. Pending New Contract - Original Contract Expired. New Contract in Process</t>
        </is>
      </c>
      <c r="H660" s="19" t="inlineStr">
        <is>
          <t>A. Specification Development Phase</t>
        </is>
      </c>
      <c r="I660" s="19" t="inlineStr">
        <is>
          <t>APPROVED</t>
        </is>
      </c>
      <c r="J660" s="19" t="inlineStr">
        <is>
          <t>Yes</t>
        </is>
      </c>
      <c r="K660" s="19" t="inlineStr">
        <is>
          <t>No</t>
        </is>
      </c>
      <c r="L660" s="19" t="inlineStr"/>
      <c r="M660" s="19" t="inlineStr">
        <is>
          <t>RX676831</t>
        </is>
      </c>
      <c r="N660" s="19" t="inlineStr">
        <is>
          <t>E</t>
        </is>
      </c>
      <c r="O660" s="20" t="inlineStr">
        <is>
          <t>No linkage found in awarded contract file</t>
        </is>
      </c>
      <c r="P660" s="19" t="inlineStr"/>
      <c r="Q660" s="19" t="inlineStr"/>
      <c r="R660" s="31" t="inlineStr"/>
      <c r="S660" s="19" t="inlineStr"/>
      <c r="T660" s="19" t="inlineStr">
        <is>
          <t>No</t>
        </is>
      </c>
      <c r="U660" s="19" t="inlineStr">
        <is>
          <t>No</t>
        </is>
      </c>
      <c r="V660" s="19" t="inlineStr">
        <is>
          <t>No</t>
        </is>
      </c>
      <c r="W660" s="19" t="inlineStr">
        <is>
          <t>Yes</t>
        </is>
      </c>
    </row>
    <row r="661">
      <c r="A661" s="19" t="n">
        <v>712148</v>
      </c>
      <c r="B661" s="31" t="n">
        <v>46128</v>
      </c>
      <c r="C661" s="19" t="inlineStr">
        <is>
          <t>DEPARTMENT OF FAMILY AND SUPPORT SERVICES</t>
        </is>
      </c>
      <c r="D661" s="19" t="inlineStr">
        <is>
          <t>Service Sanitation Inc.</t>
        </is>
      </c>
      <c r="E661" s="20" t="inlineStr">
        <is>
          <t>Aps 11189_SANITATION SERVICES</t>
        </is>
      </c>
      <c r="F661" s="21" t="n">
        <v>0</v>
      </c>
      <c r="G661" s="19" t="inlineStr">
        <is>
          <t>2. Pending Amendment/Modification - Line Item Addition / Vendor Limit Increase / Scope Change</t>
        </is>
      </c>
      <c r="H661" s="19" t="inlineStr">
        <is>
          <t>G. Not Applicable (Office Depot use Only)</t>
        </is>
      </c>
      <c r="I661" s="19" t="inlineStr"/>
      <c r="J661" s="19" t="inlineStr">
        <is>
          <t>No</t>
        </is>
      </c>
      <c r="K661" s="19" t="inlineStr">
        <is>
          <t>No</t>
        </is>
      </c>
      <c r="L661" s="19" t="n">
        <v>104512</v>
      </c>
      <c r="M661" s="19" t="inlineStr">
        <is>
          <t>RX700212</t>
        </is>
      </c>
      <c r="N661" s="19" t="inlineStr">
        <is>
          <t>C</t>
        </is>
      </c>
      <c r="O661" s="20" t="inlineStr">
        <is>
          <t>Vendor name match only (similarity 0.00)</t>
        </is>
      </c>
      <c r="P661" s="19" t="inlineStr">
        <is>
          <t>381051</t>
        </is>
      </c>
      <c r="Q661" s="19" t="inlineStr">
        <is>
          <t>Service Sanitation Inc.</t>
        </is>
      </c>
      <c r="R661" s="31" t="n">
        <v>46203</v>
      </c>
      <c r="S661" s="19" t="inlineStr">
        <is>
          <t>BID</t>
        </is>
      </c>
      <c r="T661" s="19" t="inlineStr">
        <is>
          <t>Yes</t>
        </is>
      </c>
      <c r="U661" s="19" t="inlineStr">
        <is>
          <t>No</t>
        </is>
      </c>
      <c r="V661" s="19" t="inlineStr">
        <is>
          <t>No</t>
        </is>
      </c>
      <c r="W661" s="19" t="inlineStr">
        <is>
          <t>No</t>
        </is>
      </c>
    </row>
    <row r="662">
      <c r="A662" s="19" t="n">
        <v>741917</v>
      </c>
      <c r="B662" s="31" t="n">
        <v>46223</v>
      </c>
      <c r="C662" s="19" t="inlineStr">
        <is>
          <t>DEPARTMENT OF FLEET AND FACILITY MANAGEMENT</t>
        </is>
      </c>
      <c r="D662" s="19" t="inlineStr">
        <is>
          <t>HASTINGS AIR ENERGY CONTROL</t>
        </is>
      </c>
      <c r="E662" s="20" t="inlineStr">
        <is>
          <t>2FM has an active contract for Plymovent Exhaust Extraction Systems, PO 112351. 2FM submitted a request to extend the contract for the final three years in accordance with the terms of the agreement. However, funding for this extension was</t>
        </is>
      </c>
      <c r="F662" s="21" t="n">
        <v>36953.65</v>
      </c>
      <c r="G662" s="19" t="inlineStr">
        <is>
          <t>2. Pending Amendment/Modification - Line Item Addition / Vendor Limit Increase / Scope Change</t>
        </is>
      </c>
      <c r="H662" s="19" t="inlineStr">
        <is>
          <t>A. Specification Development Phase</t>
        </is>
      </c>
      <c r="I662" s="19" t="inlineStr">
        <is>
          <t>APPROVED</t>
        </is>
      </c>
      <c r="J662" s="19" t="inlineStr">
        <is>
          <t>No</t>
        </is>
      </c>
      <c r="K662" s="19" t="inlineStr">
        <is>
          <t>Yes</t>
        </is>
      </c>
      <c r="L662" s="19" t="n">
        <v>112351</v>
      </c>
      <c r="M662" s="19" t="inlineStr">
        <is>
          <t>RX724184</t>
        </is>
      </c>
      <c r="N662" s="19" t="inlineStr">
        <is>
          <t>E</t>
        </is>
      </c>
      <c r="O662" s="20" t="inlineStr">
        <is>
          <t>No linkage found in awarded contract file</t>
        </is>
      </c>
      <c r="P662" s="19" t="inlineStr"/>
      <c r="Q662" s="19" t="inlineStr"/>
      <c r="R662" s="31" t="inlineStr"/>
      <c r="S662" s="19" t="inlineStr"/>
      <c r="T662" s="19" t="inlineStr">
        <is>
          <t>No</t>
        </is>
      </c>
      <c r="U662" s="19" t="inlineStr">
        <is>
          <t>No</t>
        </is>
      </c>
      <c r="V662" s="19" t="inlineStr">
        <is>
          <t>No</t>
        </is>
      </c>
      <c r="W662" s="19" t="inlineStr">
        <is>
          <t>No</t>
        </is>
      </c>
    </row>
    <row r="663">
      <c r="A663" s="19" t="n">
        <v>710041</v>
      </c>
      <c r="B663" s="31" t="n">
        <v>46048</v>
      </c>
      <c r="C663" s="19" t="inlineStr">
        <is>
          <t>DEPARTMENT OF FLEET AND FACILITY MANAGEMENT</t>
        </is>
      </c>
      <c r="D663" s="19" t="inlineStr">
        <is>
          <t>CHARLES EQUIPMENT ENERGY SYSTEMS LLC</t>
        </is>
      </c>
      <c r="E663" s="20" t="inlineStr">
        <is>
          <t>CDA Lead Dept. 2FM utlizes PO#66794 for Maintenance &amp; Repair of Diesel Electric Generators &amp; Fire Pumps at O'Hare &amp; Midway International Airports - Group A.  The contract expired 06/30/2024. CDOT submitted a new contract request to DPS for</t>
        </is>
      </c>
      <c r="F663" s="21" t="n">
        <v>1180</v>
      </c>
      <c r="G663" s="19" t="inlineStr">
        <is>
          <t>1. Pending New Contract - Original Contract Expired. New Contract in Process</t>
        </is>
      </c>
      <c r="H663" s="19" t="inlineStr">
        <is>
          <t>A. Specification Development Phase</t>
        </is>
      </c>
      <c r="I663" s="19" t="inlineStr">
        <is>
          <t>APPROVED</t>
        </is>
      </c>
      <c r="J663" s="19" t="inlineStr">
        <is>
          <t>Yes</t>
        </is>
      </c>
      <c r="K663" s="19" t="inlineStr">
        <is>
          <t>No</t>
        </is>
      </c>
      <c r="L663" s="19" t="inlineStr"/>
      <c r="M663" s="19" t="inlineStr">
        <is>
          <t>RX622326</t>
        </is>
      </c>
      <c r="N663" s="19" t="inlineStr">
        <is>
          <t>E</t>
        </is>
      </c>
      <c r="O663" s="20" t="inlineStr">
        <is>
          <t>No linkage found in awarded contract file</t>
        </is>
      </c>
      <c r="P663" s="19" t="inlineStr"/>
      <c r="Q663" s="19" t="inlineStr"/>
      <c r="R663" s="31" t="inlineStr"/>
      <c r="S663" s="19" t="inlineStr"/>
      <c r="T663" s="19" t="inlineStr">
        <is>
          <t>No</t>
        </is>
      </c>
      <c r="U663" s="19" t="inlineStr">
        <is>
          <t>No</t>
        </is>
      </c>
      <c r="V663" s="19" t="inlineStr">
        <is>
          <t>No</t>
        </is>
      </c>
      <c r="W663" s="19" t="inlineStr">
        <is>
          <t>Yes</t>
        </is>
      </c>
    </row>
    <row r="664">
      <c r="A664" s="19" t="n">
        <v>730391</v>
      </c>
      <c r="B664" s="31" t="n">
        <v>46161</v>
      </c>
      <c r="C664" s="19" t="inlineStr">
        <is>
          <t>DEPARTMENT OF FLEET AND FACILITY MANAGEMENT</t>
        </is>
      </c>
      <c r="D664" s="19" t="inlineStr">
        <is>
          <t>DAYSPRING PROFESSIONAL JANITOR</t>
        </is>
      </c>
      <c r="E664" s="20" t="inlineStr">
        <is>
          <t>There was an active contract for Comprehensive Custodial Services for Zones 1, 2, and 4, which expire on February 13, 2026. 2FM previously submitted a modification request for a time extension and vendor limit increase (VLI) under RX 680</t>
        </is>
      </c>
      <c r="F664" s="21" t="n">
        <v>66116</v>
      </c>
      <c r="G664" s="19" t="inlineStr">
        <is>
          <t>1. Pending New Contract - Original Contract Expired. New Contract in Process</t>
        </is>
      </c>
      <c r="H664" s="19" t="inlineStr">
        <is>
          <t>A. Specification Development Phase</t>
        </is>
      </c>
      <c r="I664" s="19" t="inlineStr">
        <is>
          <t>APPROVED</t>
        </is>
      </c>
      <c r="J664" s="19" t="inlineStr">
        <is>
          <t>Yes</t>
        </is>
      </c>
      <c r="K664" s="19" t="inlineStr">
        <is>
          <t>No</t>
        </is>
      </c>
      <c r="L664" s="19" t="inlineStr"/>
      <c r="M664" s="19" t="inlineStr">
        <is>
          <t>RX624331</t>
        </is>
      </c>
      <c r="N664" s="19" t="inlineStr">
        <is>
          <t>E</t>
        </is>
      </c>
      <c r="O664" s="20" t="inlineStr">
        <is>
          <t>No linkage found in awarded contract file</t>
        </is>
      </c>
      <c r="P664" s="19" t="inlineStr"/>
      <c r="Q664" s="19" t="inlineStr"/>
      <c r="R664" s="31" t="inlineStr"/>
      <c r="S664" s="19" t="inlineStr"/>
      <c r="T664" s="19" t="inlineStr">
        <is>
          <t>No</t>
        </is>
      </c>
      <c r="U664" s="19" t="inlineStr">
        <is>
          <t>No</t>
        </is>
      </c>
      <c r="V664" s="19" t="inlineStr">
        <is>
          <t>No</t>
        </is>
      </c>
      <c r="W664" s="19" t="inlineStr">
        <is>
          <t>Yes</t>
        </is>
      </c>
    </row>
    <row r="665">
      <c r="A665" s="19" t="n">
        <v>728677</v>
      </c>
      <c r="B665" s="31" t="n">
        <v>46161</v>
      </c>
      <c r="C665" s="19" t="inlineStr">
        <is>
          <t>CHICAGO ANIMAL CARE AND CONTROL</t>
        </is>
      </c>
      <c r="D665" s="19" t="inlineStr">
        <is>
          <t>LEGEND &amp; WHITE ANIMAL HEALTH</t>
        </is>
      </c>
      <c r="E665" s="20" t="inlineStr">
        <is>
          <t>NO CONTRACT FOR ANIMAL FOOD YET.</t>
        </is>
      </c>
      <c r="F665" s="21" t="n">
        <v>66990.25</v>
      </c>
      <c r="G665" s="19" t="inlineStr">
        <is>
          <t>1. Pending New Contract - Original Contract Expired. New Contract in Process</t>
        </is>
      </c>
      <c r="H665" s="19" t="inlineStr">
        <is>
          <t>B. City Law Review</t>
        </is>
      </c>
      <c r="I665" s="19" t="inlineStr">
        <is>
          <t>APPROVED</t>
        </is>
      </c>
      <c r="J665" s="19" t="inlineStr">
        <is>
          <t>Yes</t>
        </is>
      </c>
      <c r="K665" s="19" t="inlineStr">
        <is>
          <t>No</t>
        </is>
      </c>
      <c r="L665" s="19" t="inlineStr">
        <is>
          <t>NONE</t>
        </is>
      </c>
      <c r="M665" s="19" t="inlineStr">
        <is>
          <t>RX643941</t>
        </is>
      </c>
      <c r="N665" s="19" t="inlineStr">
        <is>
          <t>E</t>
        </is>
      </c>
      <c r="O665" s="20" t="inlineStr">
        <is>
          <t>No linkage found in awarded contract file</t>
        </is>
      </c>
      <c r="P665" s="19" t="inlineStr"/>
      <c r="Q665" s="19" t="inlineStr"/>
      <c r="R665" s="31" t="inlineStr"/>
      <c r="S665" s="19" t="inlineStr"/>
      <c r="T665" s="19" t="inlineStr">
        <is>
          <t>No</t>
        </is>
      </c>
      <c r="U665" s="19" t="inlineStr">
        <is>
          <t>No</t>
        </is>
      </c>
      <c r="V665" s="19" t="inlineStr">
        <is>
          <t>No</t>
        </is>
      </c>
      <c r="W665" s="19" t="inlineStr">
        <is>
          <t>Yes</t>
        </is>
      </c>
    </row>
    <row r="666">
      <c r="A666" s="19" t="n">
        <v>737982</v>
      </c>
      <c r="B666" s="31" t="n">
        <v>46203</v>
      </c>
      <c r="C666" s="19" t="inlineStr">
        <is>
          <t>CHICAGO ANIMAL CARE AND CONTROL</t>
        </is>
      </c>
      <c r="D666" s="19" t="inlineStr">
        <is>
          <t>CANON SOLUTIONS AMERICA, INC</t>
        </is>
      </c>
      <c r="E666" s="20" t="inlineStr">
        <is>
          <t>Canon Copier Services Contract in VLI process</t>
        </is>
      </c>
      <c r="F666" s="21" t="n">
        <v>5595.97</v>
      </c>
      <c r="G666" s="19" t="inlineStr">
        <is>
          <t>2. Pending Amendment/Modification - Line Item Addition / Vendor Limit Increase / Scope Change</t>
        </is>
      </c>
      <c r="H666" s="19" t="inlineStr">
        <is>
          <t>A. Specification Development Phase</t>
        </is>
      </c>
      <c r="I666" s="19" t="inlineStr">
        <is>
          <t>APPROVED</t>
        </is>
      </c>
      <c r="J666" s="19" t="inlineStr">
        <is>
          <t>Yes</t>
        </is>
      </c>
      <c r="K666" s="19" t="inlineStr">
        <is>
          <t>No</t>
        </is>
      </c>
      <c r="L666" s="19" t="inlineStr">
        <is>
          <t>no</t>
        </is>
      </c>
      <c r="M666" s="19" t="inlineStr">
        <is>
          <t>RX696374</t>
        </is>
      </c>
      <c r="N666" s="19" t="inlineStr">
        <is>
          <t>E</t>
        </is>
      </c>
      <c r="O666" s="20" t="inlineStr">
        <is>
          <t>No linkage found in awarded contract file</t>
        </is>
      </c>
      <c r="P666" s="19" t="inlineStr"/>
      <c r="Q666" s="19" t="inlineStr"/>
      <c r="R666" s="31" t="inlineStr"/>
      <c r="S666" s="19" t="inlineStr"/>
      <c r="T666" s="19" t="inlineStr">
        <is>
          <t>No</t>
        </is>
      </c>
      <c r="U666" s="19" t="inlineStr">
        <is>
          <t>No</t>
        </is>
      </c>
      <c r="V666" s="19" t="inlineStr">
        <is>
          <t>No</t>
        </is>
      </c>
      <c r="W666" s="19" t="inlineStr">
        <is>
          <t>Yes</t>
        </is>
      </c>
    </row>
    <row r="667">
      <c r="A667" s="19" t="n">
        <v>744068</v>
      </c>
      <c r="B667" s="31" t="n">
        <v>46238</v>
      </c>
      <c r="C667" s="19" t="inlineStr">
        <is>
          <t>CHICAGO DEPARTMENT OF TRANSPORTATION</t>
        </is>
      </c>
      <c r="D667" s="19" t="inlineStr">
        <is>
          <t>RI-DEL MFG. INC.</t>
        </is>
      </c>
      <c r="E667" s="20" t="inlineStr">
        <is>
          <t>VARIOUS STREET SIGN MAKING SUPPLIES</t>
        </is>
      </c>
      <c r="F667" s="21" t="n">
        <v>66548.47</v>
      </c>
      <c r="G667" s="19" t="inlineStr">
        <is>
          <t>1. Pending New Contract - Original Contract Expired. New Contract in Process</t>
        </is>
      </c>
      <c r="H667" s="19" t="inlineStr">
        <is>
          <t>A. Specification Development Phase</t>
        </is>
      </c>
      <c r="I667" s="19" t="inlineStr">
        <is>
          <t>APPROVED</t>
        </is>
      </c>
      <c r="J667" s="19" t="inlineStr">
        <is>
          <t>No</t>
        </is>
      </c>
      <c r="K667" s="19" t="inlineStr">
        <is>
          <t>No</t>
        </is>
      </c>
      <c r="L667" s="19" t="inlineStr"/>
      <c r="M667" s="19" t="inlineStr">
        <is>
          <t>RX693525</t>
        </is>
      </c>
      <c r="N667" s="19" t="inlineStr">
        <is>
          <t>E</t>
        </is>
      </c>
      <c r="O667" s="20" t="inlineStr">
        <is>
          <t>No linkage found in awarded contract file</t>
        </is>
      </c>
      <c r="P667" s="19" t="inlineStr"/>
      <c r="Q667" s="19" t="inlineStr"/>
      <c r="R667" s="31" t="inlineStr"/>
      <c r="S667" s="19" t="inlineStr"/>
      <c r="T667" s="19" t="inlineStr">
        <is>
          <t>No</t>
        </is>
      </c>
      <c r="U667" s="19" t="inlineStr">
        <is>
          <t>No</t>
        </is>
      </c>
      <c r="V667" s="19" t="inlineStr">
        <is>
          <t>No</t>
        </is>
      </c>
      <c r="W667" s="19" t="inlineStr">
        <is>
          <t>No</t>
        </is>
      </c>
    </row>
    <row r="668">
      <c r="A668" s="19" t="n">
        <v>707310</v>
      </c>
      <c r="B668" s="31" t="n">
        <v>46031</v>
      </c>
      <c r="C668" s="19" t="inlineStr">
        <is>
          <t>CHICAGO DEPARTMENT OF TRANSPORTATION</t>
        </is>
      </c>
      <c r="D668" s="19" t="inlineStr">
        <is>
          <t>MANDEL METALS INC</t>
        </is>
      </c>
      <c r="E668" s="20" t="inlineStr">
        <is>
          <t>Aluminum Sign Blanks, Coroplast Sheets, Pre-Made Signs, Street Sign Post Wedges and Extensions (Groups A, C, &amp; F)</t>
        </is>
      </c>
      <c r="F668" s="21" t="n">
        <v>165480</v>
      </c>
      <c r="G668" s="19" t="inlineStr">
        <is>
          <t>1. Pending New Contract - Original Contract Expired. New Contract in Process</t>
        </is>
      </c>
      <c r="H668" s="19" t="inlineStr">
        <is>
          <t>C. Solicitation or Bidding Phase</t>
        </is>
      </c>
      <c r="I668" s="19" t="inlineStr">
        <is>
          <t>APPROVED</t>
        </is>
      </c>
      <c r="J668" s="19" t="inlineStr">
        <is>
          <t>Yes</t>
        </is>
      </c>
      <c r="K668" s="19" t="inlineStr">
        <is>
          <t>No</t>
        </is>
      </c>
      <c r="L668" s="19" t="inlineStr"/>
      <c r="M668" s="19" t="inlineStr">
        <is>
          <t>RX693525</t>
        </is>
      </c>
      <c r="N668" s="19" t="inlineStr">
        <is>
          <t>E</t>
        </is>
      </c>
      <c r="O668" s="20" t="inlineStr">
        <is>
          <t>No linkage found in awarded contract file</t>
        </is>
      </c>
      <c r="P668" s="19" t="inlineStr"/>
      <c r="Q668" s="19" t="inlineStr"/>
      <c r="R668" s="31" t="inlineStr"/>
      <c r="S668" s="19" t="inlineStr"/>
      <c r="T668" s="19" t="inlineStr">
        <is>
          <t>No</t>
        </is>
      </c>
      <c r="U668" s="19" t="inlineStr">
        <is>
          <t>No</t>
        </is>
      </c>
      <c r="V668" s="19" t="inlineStr">
        <is>
          <t>No</t>
        </is>
      </c>
      <c r="W668" s="19" t="inlineStr">
        <is>
          <t>Yes</t>
        </is>
      </c>
    </row>
    <row r="669">
      <c r="A669" s="19" t="n">
        <v>746774</v>
      </c>
      <c r="B669" s="31" t="n">
        <v>46253.7691087963</v>
      </c>
      <c r="C669" s="19" t="inlineStr">
        <is>
          <t>CHICAGO DEPARTMENT OF TRANSPORTATION</t>
        </is>
      </c>
      <c r="D669" s="19" t="inlineStr">
        <is>
          <t>BLUETRITON BRANDS INC</t>
        </is>
      </c>
      <c r="E669" s="20" t="inlineStr">
        <is>
          <t>BOTTLED DRINKING WATER, DISTILLED WATER &amp; WATER COOLER RENTALS</t>
        </is>
      </c>
      <c r="F669" s="21" t="n">
        <v>513.67</v>
      </c>
      <c r="G669" s="19" t="inlineStr">
        <is>
          <t>1. Pending New Contract - Original Contract Expired. New Contract in Process</t>
        </is>
      </c>
      <c r="H669" s="19" t="inlineStr">
        <is>
          <t>A. Specification Development Phase</t>
        </is>
      </c>
      <c r="I669" s="19" t="inlineStr"/>
      <c r="J669" s="19" t="inlineStr">
        <is>
          <t>No</t>
        </is>
      </c>
      <c r="K669" s="19" t="inlineStr">
        <is>
          <t>No</t>
        </is>
      </c>
      <c r="L669" s="19" t="inlineStr"/>
      <c r="M669" s="19" t="inlineStr">
        <is>
          <t>RX676831</t>
        </is>
      </c>
      <c r="N669" s="19" t="inlineStr">
        <is>
          <t>E</t>
        </is>
      </c>
      <c r="O669" s="20" t="inlineStr">
        <is>
          <t>No linkage found in awarded contract file</t>
        </is>
      </c>
      <c r="P669" s="19" t="inlineStr"/>
      <c r="Q669" s="19" t="inlineStr"/>
      <c r="R669" s="31" t="inlineStr"/>
      <c r="S669" s="19" t="inlineStr"/>
      <c r="T669" s="19" t="inlineStr">
        <is>
          <t>No</t>
        </is>
      </c>
      <c r="U669" s="19" t="inlineStr">
        <is>
          <t>No</t>
        </is>
      </c>
      <c r="V669" s="19" t="inlineStr">
        <is>
          <t>No</t>
        </is>
      </c>
      <c r="W669" s="19" t="inlineStr">
        <is>
          <t>No</t>
        </is>
      </c>
    </row>
    <row r="670">
      <c r="A670" s="19" t="n">
        <v>734054</v>
      </c>
      <c r="B670" s="31" t="n">
        <v>46181</v>
      </c>
      <c r="C670" s="19" t="inlineStr">
        <is>
          <t>CHICAGO DEPARTMENT OF TRANSPORTATION</t>
        </is>
      </c>
      <c r="D670" s="19" t="inlineStr">
        <is>
          <t>BLUETRITON BRANDS INC</t>
        </is>
      </c>
      <c r="E670" s="20" t="inlineStr">
        <is>
          <t>BOTTLED DRINKING WATER, DISTILLED WATER &amp;WATER COOLER RENTALS</t>
        </is>
      </c>
      <c r="F670" s="21" t="n">
        <v>202.26</v>
      </c>
      <c r="G670" s="19" t="inlineStr">
        <is>
          <t>1. Pending New Contract - Original Contract Expired. New Contract in Process</t>
        </is>
      </c>
      <c r="H670" s="19" t="inlineStr">
        <is>
          <t>A. Specification Development Phase</t>
        </is>
      </c>
      <c r="I670" s="19" t="inlineStr">
        <is>
          <t>APPROVED</t>
        </is>
      </c>
      <c r="J670" s="19" t="inlineStr">
        <is>
          <t>No</t>
        </is>
      </c>
      <c r="K670" s="19" t="inlineStr">
        <is>
          <t>No</t>
        </is>
      </c>
      <c r="L670" s="19" t="inlineStr"/>
      <c r="M670" s="19" t="inlineStr">
        <is>
          <t>RX676831</t>
        </is>
      </c>
      <c r="N670" s="19" t="inlineStr">
        <is>
          <t>E</t>
        </is>
      </c>
      <c r="O670" s="20" t="inlineStr">
        <is>
          <t>No linkage found in awarded contract file</t>
        </is>
      </c>
      <c r="P670" s="19" t="inlineStr"/>
      <c r="Q670" s="19" t="inlineStr"/>
      <c r="R670" s="31" t="inlineStr"/>
      <c r="S670" s="19" t="inlineStr"/>
      <c r="T670" s="19" t="inlineStr">
        <is>
          <t>No</t>
        </is>
      </c>
      <c r="U670" s="19" t="inlineStr">
        <is>
          <t>No</t>
        </is>
      </c>
      <c r="V670" s="19" t="inlineStr">
        <is>
          <t>No</t>
        </is>
      </c>
      <c r="W670" s="19" t="inlineStr">
        <is>
          <t>No</t>
        </is>
      </c>
    </row>
    <row r="671">
      <c r="A671" s="19" t="n">
        <v>716817</v>
      </c>
      <c r="B671" s="31" t="n">
        <v>46080</v>
      </c>
      <c r="C671" s="19" t="inlineStr">
        <is>
          <t>OFFICE OF PUBLIC SAFETY ADMINISTRATION</t>
        </is>
      </c>
      <c r="D671" s="19" t="inlineStr">
        <is>
          <t>Primo Brands</t>
        </is>
      </c>
      <c r="E671" s="20" t="inlineStr">
        <is>
          <t>Water Services</t>
        </is>
      </c>
      <c r="F671" s="21" t="n">
        <v>140.85</v>
      </c>
      <c r="G671" s="19" t="inlineStr">
        <is>
          <t>1. Pending New Contract - Original Contract Expired. New Contract in Process</t>
        </is>
      </c>
      <c r="H671" s="19" t="inlineStr">
        <is>
          <t>A. Specification Development Phase</t>
        </is>
      </c>
      <c r="I671" s="19" t="inlineStr">
        <is>
          <t>APPROVED</t>
        </is>
      </c>
      <c r="J671" s="19" t="inlineStr">
        <is>
          <t>Yes</t>
        </is>
      </c>
      <c r="K671" s="19" t="inlineStr">
        <is>
          <t>No</t>
        </is>
      </c>
      <c r="L671" s="19" t="inlineStr"/>
      <c r="M671" s="19" t="inlineStr">
        <is>
          <t>RX676831</t>
        </is>
      </c>
      <c r="N671" s="19" t="inlineStr">
        <is>
          <t>E</t>
        </is>
      </c>
      <c r="O671" s="20" t="inlineStr">
        <is>
          <t>No linkage found in awarded contract file</t>
        </is>
      </c>
      <c r="P671" s="19" t="inlineStr"/>
      <c r="Q671" s="19" t="inlineStr"/>
      <c r="R671" s="31" t="inlineStr"/>
      <c r="S671" s="19" t="inlineStr"/>
      <c r="T671" s="19" t="inlineStr">
        <is>
          <t>No</t>
        </is>
      </c>
      <c r="U671" s="19" t="inlineStr">
        <is>
          <t>No</t>
        </is>
      </c>
      <c r="V671" s="19" t="inlineStr">
        <is>
          <t>No</t>
        </is>
      </c>
      <c r="W671" s="19" t="inlineStr">
        <is>
          <t>Yes</t>
        </is>
      </c>
    </row>
    <row r="672">
      <c r="A672" s="19" t="n">
        <v>740002</v>
      </c>
      <c r="B672" s="31" t="n">
        <v>46216</v>
      </c>
      <c r="C672" s="19" t="inlineStr">
        <is>
          <t>CHICAGO DEPARTMENT OF PUBLIC HEALTH</t>
        </is>
      </c>
      <c r="D672" s="19" t="inlineStr">
        <is>
          <t>R4 SERVICES, LLC.</t>
        </is>
      </c>
      <c r="E672" s="20" t="inlineStr">
        <is>
          <t>MARCH, APRIL AND May 2026 Storage &amp; Record Retention</t>
        </is>
      </c>
      <c r="F672" s="21" t="n">
        <v>8082.08</v>
      </c>
      <c r="G672" s="19" t="inlineStr">
        <is>
          <t>2. Pending Amendment/Modification - Line Item Addition / Vendor Limit Increase / Scope Change</t>
        </is>
      </c>
      <c r="H672" s="19" t="inlineStr">
        <is>
          <t>H. One Time Purchase</t>
        </is>
      </c>
      <c r="I672" s="19" t="inlineStr">
        <is>
          <t>APPROVED</t>
        </is>
      </c>
      <c r="J672" s="19" t="inlineStr">
        <is>
          <t>Yes</t>
        </is>
      </c>
      <c r="K672" s="19" t="inlineStr">
        <is>
          <t>No</t>
        </is>
      </c>
      <c r="L672" s="19" t="inlineStr"/>
      <c r="M672" s="19" t="inlineStr">
        <is>
          <t>VDR4</t>
        </is>
      </c>
      <c r="N672" s="19" t="inlineStr">
        <is>
          <t>E</t>
        </is>
      </c>
      <c r="O672" s="20" t="inlineStr">
        <is>
          <t>No linkage found in awarded contract file</t>
        </is>
      </c>
      <c r="P672" s="19" t="inlineStr"/>
      <c r="Q672" s="19" t="inlineStr"/>
      <c r="R672" s="31" t="inlineStr"/>
      <c r="S672" s="19" t="inlineStr"/>
      <c r="T672" s="19" t="inlineStr">
        <is>
          <t>No</t>
        </is>
      </c>
      <c r="U672" s="19" t="inlineStr">
        <is>
          <t>No</t>
        </is>
      </c>
      <c r="V672" s="19" t="inlineStr">
        <is>
          <t>No</t>
        </is>
      </c>
      <c r="W672" s="19" t="inlineStr">
        <is>
          <t>Yes</t>
        </is>
      </c>
    </row>
    <row r="673">
      <c r="A673" s="19" t="n">
        <v>735543</v>
      </c>
      <c r="B673" s="31" t="n">
        <v>46245</v>
      </c>
      <c r="C673" s="19" t="inlineStr">
        <is>
          <t>DEPARTMENT OF STREETS AND SANITATION</t>
        </is>
      </c>
      <c r="D673" s="19" t="inlineStr">
        <is>
          <t>BLUETRITON BRANDS INC</t>
        </is>
      </c>
      <c r="E673" s="20" t="inlineStr">
        <is>
          <t>Ice Mountain Brand drinking water</t>
        </is>
      </c>
      <c r="F673" s="21" t="n">
        <v>0</v>
      </c>
      <c r="G673" s="19" t="inlineStr">
        <is>
          <t>1. Pending New Contract - Original Contract Expired. New Contract in Process</t>
        </is>
      </c>
      <c r="H673" s="19" t="inlineStr">
        <is>
          <t>B. City Law Review</t>
        </is>
      </c>
      <c r="I673" s="19" t="inlineStr"/>
      <c r="J673" s="19" t="inlineStr">
        <is>
          <t>Yes</t>
        </is>
      </c>
      <c r="K673" s="19" t="inlineStr">
        <is>
          <t>No</t>
        </is>
      </c>
      <c r="L673" s="19" t="n">
        <v>0</v>
      </c>
      <c r="M673" s="19" t="inlineStr">
        <is>
          <t>RX676831</t>
        </is>
      </c>
      <c r="N673" s="19" t="inlineStr">
        <is>
          <t>E</t>
        </is>
      </c>
      <c r="O673" s="20" t="inlineStr">
        <is>
          <t>No linkage found in awarded contract file</t>
        </is>
      </c>
      <c r="P673" s="19" t="inlineStr"/>
      <c r="Q673" s="19" t="inlineStr"/>
      <c r="R673" s="31" t="inlineStr"/>
      <c r="S673" s="19" t="inlineStr"/>
      <c r="T673" s="19" t="inlineStr">
        <is>
          <t>No</t>
        </is>
      </c>
      <c r="U673" s="19" t="inlineStr">
        <is>
          <t>No</t>
        </is>
      </c>
      <c r="V673" s="19" t="inlineStr">
        <is>
          <t>No</t>
        </is>
      </c>
      <c r="W673" s="19" t="inlineStr">
        <is>
          <t>Yes</t>
        </is>
      </c>
    </row>
    <row r="674">
      <c r="A674" s="19" t="n">
        <v>716166</v>
      </c>
      <c r="B674" s="31" t="n">
        <v>46078</v>
      </c>
      <c r="C674" s="19" t="inlineStr">
        <is>
          <t>CHICAGO DEPARTMENT OF PUBLIC HEALTH</t>
        </is>
      </c>
      <c r="D674" s="19" t="inlineStr">
        <is>
          <t>Electronic Knowledge Interchange</t>
        </is>
      </c>
      <c r="E674" s="20" t="inlineStr">
        <is>
          <t>TIER 2 SUPPORT - QUANT 16 SERVICES</t>
        </is>
      </c>
      <c r="F674" s="21" t="n">
        <v>104000</v>
      </c>
      <c r="G674" s="19" t="inlineStr">
        <is>
          <t>3. One Time Purchase</t>
        </is>
      </c>
      <c r="H674" s="19" t="inlineStr">
        <is>
          <t>H. One Time Purchase</t>
        </is>
      </c>
      <c r="I674" s="19" t="inlineStr">
        <is>
          <t>APPROVED</t>
        </is>
      </c>
      <c r="J674" s="19" t="inlineStr">
        <is>
          <t>No</t>
        </is>
      </c>
      <c r="K674" s="19" t="inlineStr">
        <is>
          <t>No</t>
        </is>
      </c>
      <c r="L674" s="19" t="inlineStr"/>
      <c r="M674" s="19" t="inlineStr">
        <is>
          <t>VDELECTRONIC KNOWLEDGE INTERCH</t>
        </is>
      </c>
      <c r="N674" s="19" t="inlineStr">
        <is>
          <t>E</t>
        </is>
      </c>
      <c r="O674" s="20" t="inlineStr">
        <is>
          <t>No linkage found in awarded contract file</t>
        </is>
      </c>
      <c r="P674" s="19" t="inlineStr"/>
      <c r="Q674" s="19" t="inlineStr"/>
      <c r="R674" s="31" t="inlineStr"/>
      <c r="S674" s="19" t="inlineStr"/>
      <c r="T674" s="19" t="inlineStr">
        <is>
          <t>No</t>
        </is>
      </c>
      <c r="U674" s="19" t="inlineStr">
        <is>
          <t>No</t>
        </is>
      </c>
      <c r="V674" s="19" t="inlineStr">
        <is>
          <t>No</t>
        </is>
      </c>
      <c r="W674" s="19" t="inlineStr">
        <is>
          <t>No</t>
        </is>
      </c>
    </row>
    <row r="675">
      <c r="A675" s="19" t="n">
        <v>721647</v>
      </c>
      <c r="B675" s="31" t="n">
        <v>46107</v>
      </c>
      <c r="C675" s="19" t="inlineStr">
        <is>
          <t>CHICAGO DEPARTMENT OF TRANSPORTATION</t>
        </is>
      </c>
      <c r="D675" s="19" t="inlineStr">
        <is>
          <t>PALM ELECTRIC COMPANY</t>
        </is>
      </c>
      <c r="E675" s="20" t="inlineStr">
        <is>
          <t>ROOSEVELT BRIDGE EAST LEAF DRIVES</t>
        </is>
      </c>
      <c r="F675" s="21" t="n">
        <v>248000</v>
      </c>
      <c r="G675" s="19" t="inlineStr">
        <is>
          <t>1. Pending New Contract - Original Contract Expired. New Contract in Process</t>
        </is>
      </c>
      <c r="H675" s="19" t="inlineStr">
        <is>
          <t>B. City Law Review</t>
        </is>
      </c>
      <c r="I675" s="19" t="inlineStr">
        <is>
          <t>APPROVED</t>
        </is>
      </c>
      <c r="J675" s="19" t="inlineStr">
        <is>
          <t>Yes</t>
        </is>
      </c>
      <c r="K675" s="19" t="inlineStr">
        <is>
          <t>No</t>
        </is>
      </c>
      <c r="L675" s="19" t="inlineStr">
        <is>
          <t>na</t>
        </is>
      </c>
      <c r="M675" s="19" t="inlineStr">
        <is>
          <t>RX650171</t>
        </is>
      </c>
      <c r="N675" s="19" t="inlineStr">
        <is>
          <t>E</t>
        </is>
      </c>
      <c r="O675" s="20" t="inlineStr">
        <is>
          <t>No linkage found in awarded contract file</t>
        </is>
      </c>
      <c r="P675" s="19" t="inlineStr"/>
      <c r="Q675" s="19" t="inlineStr"/>
      <c r="R675" s="31" t="inlineStr"/>
      <c r="S675" s="19" t="inlineStr"/>
      <c r="T675" s="19" t="inlineStr">
        <is>
          <t>No</t>
        </is>
      </c>
      <c r="U675" s="19" t="inlineStr">
        <is>
          <t>No</t>
        </is>
      </c>
      <c r="V675" s="19" t="inlineStr">
        <is>
          <t>No</t>
        </is>
      </c>
      <c r="W675" s="19" t="inlineStr">
        <is>
          <t>Yes</t>
        </is>
      </c>
    </row>
    <row r="676">
      <c r="A676" s="19" t="n">
        <v>711108</v>
      </c>
      <c r="B676" s="31" t="n">
        <v>46051</v>
      </c>
      <c r="C676" s="19" t="inlineStr">
        <is>
          <t>CHICAGO DEPARTMENT OF TRANSPORTATION</t>
        </is>
      </c>
      <c r="D676" s="19" t="inlineStr">
        <is>
          <t>PALM ELECTRIC COMPANY</t>
        </is>
      </c>
      <c r="E676" s="20" t="inlineStr">
        <is>
          <t>GARDNER DENVER COMPRESSOR MODEL L23-29E FULL PM, INSPECT</t>
        </is>
      </c>
      <c r="F676" s="21" t="n">
        <v>8699</v>
      </c>
      <c r="G676" s="19" t="inlineStr">
        <is>
          <t>1. Pending New Contract - Original Contract Expired. New Contract in Process</t>
        </is>
      </c>
      <c r="H676" s="19" t="inlineStr">
        <is>
          <t>B. City Law Review</t>
        </is>
      </c>
      <c r="I676" s="19" t="inlineStr">
        <is>
          <t>APPROVED</t>
        </is>
      </c>
      <c r="J676" s="19" t="inlineStr">
        <is>
          <t>Yes</t>
        </is>
      </c>
      <c r="K676" s="19" t="inlineStr">
        <is>
          <t>No</t>
        </is>
      </c>
      <c r="L676" s="19" t="inlineStr">
        <is>
          <t>na</t>
        </is>
      </c>
      <c r="M676" s="19" t="inlineStr">
        <is>
          <t>RX650171</t>
        </is>
      </c>
      <c r="N676" s="19" t="inlineStr">
        <is>
          <t>E</t>
        </is>
      </c>
      <c r="O676" s="20" t="inlineStr">
        <is>
          <t>No linkage found in awarded contract file</t>
        </is>
      </c>
      <c r="P676" s="19" t="inlineStr"/>
      <c r="Q676" s="19" t="inlineStr"/>
      <c r="R676" s="31" t="inlineStr"/>
      <c r="S676" s="19" t="inlineStr"/>
      <c r="T676" s="19" t="inlineStr">
        <is>
          <t>No</t>
        </is>
      </c>
      <c r="U676" s="19" t="inlineStr">
        <is>
          <t>No</t>
        </is>
      </c>
      <c r="V676" s="19" t="inlineStr">
        <is>
          <t>No</t>
        </is>
      </c>
      <c r="W676" s="19" t="inlineStr">
        <is>
          <t>Yes</t>
        </is>
      </c>
    </row>
    <row r="677">
      <c r="A677" s="19" t="n">
        <v>737613</v>
      </c>
      <c r="B677" s="31" t="n">
        <v>46197</v>
      </c>
      <c r="C677" s="19" t="inlineStr">
        <is>
          <t>CHICAGO DEPARTMENT OF TRANSPORTATION</t>
        </is>
      </c>
      <c r="D677" s="19" t="inlineStr">
        <is>
          <t>A SAFE HAVEN FOUNDATION</t>
        </is>
      </c>
      <c r="E677" s="20" t="inlineStr">
        <is>
          <t>Landscape Maintenance Services</t>
        </is>
      </c>
      <c r="F677" s="21" t="n">
        <v>3250</v>
      </c>
      <c r="G677" s="19" t="inlineStr">
        <is>
          <t>1. Pending New Contract - Original Contract Expired. New Contract in Process</t>
        </is>
      </c>
      <c r="H677" s="19" t="inlineStr">
        <is>
          <t>B. City Law Review</t>
        </is>
      </c>
      <c r="I677" s="19" t="inlineStr">
        <is>
          <t>APPROVED</t>
        </is>
      </c>
      <c r="J677" s="19" t="inlineStr">
        <is>
          <t>Yes</t>
        </is>
      </c>
      <c r="K677" s="19" t="inlineStr">
        <is>
          <t>No</t>
        </is>
      </c>
      <c r="L677" s="19" t="inlineStr">
        <is>
          <t>na</t>
        </is>
      </c>
      <c r="M677" s="19" t="inlineStr">
        <is>
          <t>RX596443</t>
        </is>
      </c>
      <c r="N677" s="19" t="inlineStr">
        <is>
          <t>E</t>
        </is>
      </c>
      <c r="O677" s="20" t="inlineStr">
        <is>
          <t>No linkage found in awarded contract file</t>
        </is>
      </c>
      <c r="P677" s="19" t="inlineStr"/>
      <c r="Q677" s="19" t="inlineStr"/>
      <c r="R677" s="31" t="inlineStr"/>
      <c r="S677" s="19" t="inlineStr"/>
      <c r="T677" s="19" t="inlineStr">
        <is>
          <t>No</t>
        </is>
      </c>
      <c r="U677" s="19" t="inlineStr">
        <is>
          <t>No</t>
        </is>
      </c>
      <c r="V677" s="19" t="inlineStr">
        <is>
          <t>No</t>
        </is>
      </c>
      <c r="W677" s="19" t="inlineStr">
        <is>
          <t>Yes</t>
        </is>
      </c>
    </row>
    <row r="678">
      <c r="A678" s="19" t="n">
        <v>743072</v>
      </c>
      <c r="B678" s="31" t="n">
        <v>46231</v>
      </c>
      <c r="C678" s="19" t="inlineStr">
        <is>
          <t>CHICAGO DEPARTMENT OF TRANSPORTATION</t>
        </is>
      </c>
      <c r="D678" s="19" t="inlineStr">
        <is>
          <t>LIZZETTE MEDINA &amp; COMPANY</t>
        </is>
      </c>
      <c r="E678" s="20" t="inlineStr">
        <is>
          <t>LANDSCAPE SERVICES, REGIONS III &amp; V</t>
        </is>
      </c>
      <c r="F678" s="21" t="n">
        <v>35093.83</v>
      </c>
      <c r="G678" s="19" t="inlineStr">
        <is>
          <t>1. Pending New Contract - Original Contract Expired. New Contract in Process</t>
        </is>
      </c>
      <c r="H678" s="19" t="inlineStr">
        <is>
          <t>B. City Law Review</t>
        </is>
      </c>
      <c r="I678" s="19" t="inlineStr">
        <is>
          <t>APPROVED</t>
        </is>
      </c>
      <c r="J678" s="19" t="inlineStr">
        <is>
          <t>Yes</t>
        </is>
      </c>
      <c r="K678" s="19" t="inlineStr">
        <is>
          <t>No</t>
        </is>
      </c>
      <c r="L678" s="19" t="inlineStr">
        <is>
          <t>na</t>
        </is>
      </c>
      <c r="M678" s="19" t="inlineStr">
        <is>
          <t>RX679137</t>
        </is>
      </c>
      <c r="N678" s="19" t="inlineStr">
        <is>
          <t>E</t>
        </is>
      </c>
      <c r="O678" s="20" t="inlineStr">
        <is>
          <t>No linkage found in awarded contract file</t>
        </is>
      </c>
      <c r="P678" s="19" t="inlineStr"/>
      <c r="Q678" s="19" t="inlineStr"/>
      <c r="R678" s="31" t="inlineStr"/>
      <c r="S678" s="19" t="inlineStr"/>
      <c r="T678" s="19" t="inlineStr">
        <is>
          <t>No</t>
        </is>
      </c>
      <c r="U678" s="19" t="inlineStr">
        <is>
          <t>No</t>
        </is>
      </c>
      <c r="V678" s="19" t="inlineStr">
        <is>
          <t>No</t>
        </is>
      </c>
      <c r="W678" s="19" t="inlineStr">
        <is>
          <t>Yes</t>
        </is>
      </c>
    </row>
    <row r="679">
      <c r="A679" s="19" t="n">
        <v>727579</v>
      </c>
      <c r="B679" s="31" t="n">
        <v>46146</v>
      </c>
      <c r="C679" s="19" t="inlineStr">
        <is>
          <t>CHICAGO DEPARTMENT OF TRANSPORTATION</t>
        </is>
      </c>
      <c r="D679" s="19" t="inlineStr">
        <is>
          <t>PALM ELECTRIC COMPANY</t>
        </is>
      </c>
      <c r="E679" s="20" t="inlineStr">
        <is>
          <t>REPLACEMENT PUMP PEDWAY</t>
        </is>
      </c>
      <c r="F679" s="21" t="n">
        <v>18808</v>
      </c>
      <c r="G679" s="19" t="inlineStr">
        <is>
          <t>1. Pending New Contract - Original Contract Expired. New Contract in Process</t>
        </is>
      </c>
      <c r="H679" s="19" t="inlineStr">
        <is>
          <t>B. City Law Review</t>
        </is>
      </c>
      <c r="I679" s="19" t="inlineStr">
        <is>
          <t>APPROVED</t>
        </is>
      </c>
      <c r="J679" s="19" t="inlineStr">
        <is>
          <t>Yes</t>
        </is>
      </c>
      <c r="K679" s="19" t="inlineStr">
        <is>
          <t>No</t>
        </is>
      </c>
      <c r="L679" s="19" t="inlineStr">
        <is>
          <t>na</t>
        </is>
      </c>
      <c r="M679" s="19" t="inlineStr">
        <is>
          <t>RX650171</t>
        </is>
      </c>
      <c r="N679" s="19" t="inlineStr">
        <is>
          <t>E</t>
        </is>
      </c>
      <c r="O679" s="20" t="inlineStr">
        <is>
          <t>No linkage found in awarded contract file</t>
        </is>
      </c>
      <c r="P679" s="19" t="inlineStr"/>
      <c r="Q679" s="19" t="inlineStr"/>
      <c r="R679" s="31" t="inlineStr"/>
      <c r="S679" s="19" t="inlineStr"/>
      <c r="T679" s="19" t="inlineStr">
        <is>
          <t>No</t>
        </is>
      </c>
      <c r="U679" s="19" t="inlineStr">
        <is>
          <t>No</t>
        </is>
      </c>
      <c r="V679" s="19" t="inlineStr">
        <is>
          <t>No</t>
        </is>
      </c>
      <c r="W679" s="19" t="inlineStr">
        <is>
          <t>Yes</t>
        </is>
      </c>
    </row>
    <row r="680">
      <c r="A680" s="19" t="n">
        <v>707352</v>
      </c>
      <c r="B680" s="31" t="n">
        <v>46036</v>
      </c>
      <c r="C680" s="19" t="inlineStr">
        <is>
          <t>CHICAGO POLICE DEPARTMENT</t>
        </is>
      </c>
      <c r="D680" s="19" t="inlineStr">
        <is>
          <t>LEGEND &amp; WHITE ANIMAL HEALTH</t>
        </is>
      </c>
      <c r="E680" s="20" t="inlineStr">
        <is>
          <t>Various Dog Food - MTA - Unit 701</t>
        </is>
      </c>
      <c r="F680" s="21" t="n">
        <v>3384</v>
      </c>
      <c r="G680" s="19" t="inlineStr">
        <is>
          <t>1. Pending New Contract - Original Contract Expired. New Contract in Process</t>
        </is>
      </c>
      <c r="H680" s="19" t="inlineStr">
        <is>
          <t>A. Specification Development Phase</t>
        </is>
      </c>
      <c r="I680" s="19" t="inlineStr">
        <is>
          <t>APPROVED</t>
        </is>
      </c>
      <c r="J680" s="19" t="inlineStr">
        <is>
          <t>No</t>
        </is>
      </c>
      <c r="K680" s="19" t="inlineStr">
        <is>
          <t>No</t>
        </is>
      </c>
      <c r="L680" s="19" t="inlineStr"/>
      <c r="M680" s="19" t="inlineStr">
        <is>
          <t>RX643941</t>
        </is>
      </c>
      <c r="N680" s="19" t="inlineStr">
        <is>
          <t>E</t>
        </is>
      </c>
      <c r="O680" s="20" t="inlineStr">
        <is>
          <t>No linkage found in awarded contract file</t>
        </is>
      </c>
      <c r="P680" s="19" t="inlineStr"/>
      <c r="Q680" s="19" t="inlineStr"/>
      <c r="R680" s="31" t="inlineStr"/>
      <c r="S680" s="19" t="inlineStr"/>
      <c r="T680" s="19" t="inlineStr">
        <is>
          <t>No</t>
        </is>
      </c>
      <c r="U680" s="19" t="inlineStr">
        <is>
          <t>No</t>
        </is>
      </c>
      <c r="V680" s="19" t="inlineStr">
        <is>
          <t>No</t>
        </is>
      </c>
      <c r="W680" s="19" t="inlineStr">
        <is>
          <t>No</t>
        </is>
      </c>
    </row>
    <row r="681">
      <c r="A681" s="19" t="n">
        <v>721945</v>
      </c>
      <c r="B681" s="31" t="n">
        <v>46118</v>
      </c>
      <c r="C681" s="19" t="inlineStr">
        <is>
          <t>CHICAGO DEPARTMENT OF TRANSPORTATION</t>
        </is>
      </c>
      <c r="D681" s="19" t="inlineStr">
        <is>
          <t>Atlas Technical Consultants LLC</t>
        </is>
      </c>
      <c r="E681" s="20" t="inlineStr">
        <is>
          <t>PO 114541 Exhibit B for Atlas Technical Consultants LLC</t>
        </is>
      </c>
      <c r="F681" s="21" t="n">
        <v>503441.06</v>
      </c>
      <c r="G681" s="19" t="inlineStr">
        <is>
          <t>4. Invoice Reconciliation - Invoice Received after Contract Expiration</t>
        </is>
      </c>
      <c r="H681" s="19" t="inlineStr">
        <is>
          <t>G. Not Applicable (Office Depot use Only)</t>
        </is>
      </c>
      <c r="I681" s="19" t="inlineStr">
        <is>
          <t>APPROVED</t>
        </is>
      </c>
      <c r="J681" s="19" t="inlineStr">
        <is>
          <t>No</t>
        </is>
      </c>
      <c r="K681" s="19" t="inlineStr">
        <is>
          <t>Yes</t>
        </is>
      </c>
      <c r="L681" s="19" t="n">
        <v>114541</v>
      </c>
      <c r="M681" s="19" t="inlineStr">
        <is>
          <t>VDATLAS TECHNICAL CONSULTANTS</t>
        </is>
      </c>
      <c r="N681" s="19" t="inlineStr">
        <is>
          <t>E</t>
        </is>
      </c>
      <c r="O681" s="20" t="inlineStr">
        <is>
          <t>No linkage found in awarded contract file</t>
        </is>
      </c>
      <c r="P681" s="19" t="inlineStr"/>
      <c r="Q681" s="19" t="inlineStr"/>
      <c r="R681" s="31" t="inlineStr"/>
      <c r="S681" s="19" t="inlineStr"/>
      <c r="T681" s="19" t="inlineStr">
        <is>
          <t>No</t>
        </is>
      </c>
      <c r="U681" s="19" t="inlineStr">
        <is>
          <t>No</t>
        </is>
      </c>
      <c r="V681" s="19" t="inlineStr">
        <is>
          <t>No</t>
        </is>
      </c>
      <c r="W681" s="19" t="inlineStr">
        <is>
          <t>No</t>
        </is>
      </c>
    </row>
    <row r="682">
      <c r="A682" s="19" t="n">
        <v>743539</v>
      </c>
      <c r="B682" s="31" t="n">
        <v>46238</v>
      </c>
      <c r="C682" s="19" t="inlineStr">
        <is>
          <t>OFFICE OF CITY CLERK</t>
        </is>
      </c>
      <c r="D682" s="19" t="inlineStr">
        <is>
          <t>Gaylord Bros Inc DBA Gaylord Archival</t>
        </is>
      </c>
      <c r="E682" s="20" t="inlineStr">
        <is>
          <t>Specialized supplies for preservation project of City Council archival materials.</t>
        </is>
      </c>
      <c r="F682" s="21" t="n">
        <v>7396.57</v>
      </c>
      <c r="G682" s="19" t="inlineStr">
        <is>
          <t>3. One Time Purchase</t>
        </is>
      </c>
      <c r="H682" s="19" t="inlineStr">
        <is>
          <t>H. One Time Purchase</t>
        </is>
      </c>
      <c r="I682" s="19" t="inlineStr">
        <is>
          <t>APPROVED</t>
        </is>
      </c>
      <c r="J682" s="19" t="inlineStr">
        <is>
          <t>No</t>
        </is>
      </c>
      <c r="K682" s="19" t="inlineStr">
        <is>
          <t>No</t>
        </is>
      </c>
      <c r="L682" s="19" t="inlineStr"/>
      <c r="M682" s="19" t="inlineStr">
        <is>
          <t>VDGAYLORD BROS DBA GAYLORD ARC</t>
        </is>
      </c>
      <c r="N682" s="19" t="inlineStr">
        <is>
          <t>E</t>
        </is>
      </c>
      <c r="O682" s="20" t="inlineStr">
        <is>
          <t>No linkage found in awarded contract file</t>
        </is>
      </c>
      <c r="P682" s="19" t="inlineStr"/>
      <c r="Q682" s="19" t="inlineStr"/>
      <c r="R682" s="31" t="inlineStr"/>
      <c r="S682" s="19" t="inlineStr"/>
      <c r="T682" s="19" t="inlineStr">
        <is>
          <t>No</t>
        </is>
      </c>
      <c r="U682" s="19" t="inlineStr">
        <is>
          <t>No</t>
        </is>
      </c>
      <c r="V682" s="19" t="inlineStr">
        <is>
          <t>No</t>
        </is>
      </c>
      <c r="W682" s="19" t="inlineStr">
        <is>
          <t>No</t>
        </is>
      </c>
    </row>
    <row r="683">
      <c r="A683" s="19" t="n">
        <v>720336</v>
      </c>
      <c r="B683" s="31" t="n">
        <v>46104</v>
      </c>
      <c r="C683" s="19" t="inlineStr">
        <is>
          <t>DEPARTMENT OF STREETS AND SANITATION</t>
        </is>
      </c>
      <c r="D683" s="19" t="inlineStr">
        <is>
          <t>BLUETRITON BRANDS INC</t>
        </is>
      </c>
      <c r="E683" s="20" t="inlineStr">
        <is>
          <t>WATER - DRINKING</t>
        </is>
      </c>
      <c r="F683" s="21" t="n">
        <v>844.3200000000001</v>
      </c>
      <c r="G683" s="19" t="inlineStr">
        <is>
          <t>1. Pending New Contract - Original Contract Expired. New Contract in Process</t>
        </is>
      </c>
      <c r="H683" s="19" t="inlineStr">
        <is>
          <t>A. Specification Development Phase</t>
        </is>
      </c>
      <c r="I683" s="19" t="inlineStr">
        <is>
          <t>DENIED</t>
        </is>
      </c>
      <c r="J683" s="19" t="inlineStr">
        <is>
          <t>Yes</t>
        </is>
      </c>
      <c r="K683" s="19" t="inlineStr">
        <is>
          <t>No</t>
        </is>
      </c>
      <c r="L683" s="19" t="inlineStr"/>
      <c r="M683" s="19" t="inlineStr">
        <is>
          <t>RX511569</t>
        </is>
      </c>
      <c r="N683" s="19" t="inlineStr">
        <is>
          <t>E</t>
        </is>
      </c>
      <c r="O683" s="20" t="inlineStr">
        <is>
          <t>No linkage found in awarded contract file</t>
        </is>
      </c>
      <c r="P683" s="19" t="inlineStr"/>
      <c r="Q683" s="19" t="inlineStr"/>
      <c r="R683" s="31" t="inlineStr"/>
      <c r="S683" s="19" t="inlineStr"/>
      <c r="T683" s="19" t="inlineStr">
        <is>
          <t>No</t>
        </is>
      </c>
      <c r="U683" s="19" t="inlineStr">
        <is>
          <t>No</t>
        </is>
      </c>
      <c r="V683" s="19" t="inlineStr">
        <is>
          <t>No</t>
        </is>
      </c>
      <c r="W683" s="19" t="inlineStr">
        <is>
          <t>Yes</t>
        </is>
      </c>
    </row>
    <row r="684">
      <c r="A684" s="19" t="n">
        <v>728897</v>
      </c>
      <c r="B684" s="31" t="n">
        <v>46147</v>
      </c>
      <c r="C684" s="19" t="inlineStr">
        <is>
          <t>DEPARTMENT OF FLEET AND FACILITY MANAGEMENT</t>
        </is>
      </c>
      <c r="D684" s="19" t="inlineStr">
        <is>
          <t>CAR WASH PARTNERS INC</t>
        </is>
      </c>
      <c r="E684" s="20" t="inlineStr">
        <is>
          <t>TB/2 INVOICES/$16,649.00</t>
        </is>
      </c>
      <c r="F684" s="21" t="n">
        <v>16649</v>
      </c>
      <c r="G684" s="19" t="inlineStr">
        <is>
          <t>1. Pending New Contract - Original Contract Expired. New Contract in Process</t>
        </is>
      </c>
      <c r="H684" s="19" t="inlineStr">
        <is>
          <t>A. Specification Development Phase</t>
        </is>
      </c>
      <c r="I684" s="19" t="inlineStr">
        <is>
          <t>APPROVED</t>
        </is>
      </c>
      <c r="J684" s="19" t="inlineStr">
        <is>
          <t>Yes</t>
        </is>
      </c>
      <c r="K684" s="19" t="inlineStr">
        <is>
          <t>No</t>
        </is>
      </c>
      <c r="L684" s="19" t="inlineStr"/>
      <c r="M684" s="19" t="inlineStr">
        <is>
          <t>RX710856</t>
        </is>
      </c>
      <c r="N684" s="19" t="inlineStr">
        <is>
          <t>E</t>
        </is>
      </c>
      <c r="O684" s="20" t="inlineStr">
        <is>
          <t>No linkage found in awarded contract file</t>
        </is>
      </c>
      <c r="P684" s="19" t="inlineStr"/>
      <c r="Q684" s="19" t="inlineStr"/>
      <c r="R684" s="31" t="inlineStr"/>
      <c r="S684" s="19" t="inlineStr"/>
      <c r="T684" s="19" t="inlineStr">
        <is>
          <t>No</t>
        </is>
      </c>
      <c r="U684" s="19" t="inlineStr">
        <is>
          <t>No</t>
        </is>
      </c>
      <c r="V684" s="19" t="inlineStr">
        <is>
          <t>No</t>
        </is>
      </c>
      <c r="W684" s="19" t="inlineStr">
        <is>
          <t>Yes</t>
        </is>
      </c>
    </row>
    <row r="685">
      <c r="A685" s="19" t="n">
        <v>727847</v>
      </c>
      <c r="B685" s="31" t="n">
        <v>46141</v>
      </c>
      <c r="C685" s="19" t="inlineStr">
        <is>
          <t>DEPARTMENT OF FLEET AND FACILITY MANAGEMENT</t>
        </is>
      </c>
      <c r="D685" s="19" t="inlineStr">
        <is>
          <t>C &amp; C COMMUNICATIONS IL</t>
        </is>
      </c>
      <c r="E685" s="20" t="inlineStr">
        <is>
          <t>TB/CC/INVOICE #3374/$4787.30</t>
        </is>
      </c>
      <c r="F685" s="21" t="n">
        <v>4787.3</v>
      </c>
      <c r="G685" s="19" t="inlineStr">
        <is>
          <t>2. Pending Amendment/Modification - Line Item Addition / Vendor Limit Increase / Scope Change</t>
        </is>
      </c>
      <c r="H685" s="19" t="inlineStr">
        <is>
          <t>A. Specification Development Phase</t>
        </is>
      </c>
      <c r="I685" s="19" t="inlineStr">
        <is>
          <t>APPROVED</t>
        </is>
      </c>
      <c r="J685" s="19" t="inlineStr">
        <is>
          <t>No</t>
        </is>
      </c>
      <c r="K685" s="19" t="inlineStr">
        <is>
          <t>No</t>
        </is>
      </c>
      <c r="L685" s="19" t="inlineStr"/>
      <c r="M685" s="19" t="inlineStr">
        <is>
          <t>RX710994</t>
        </is>
      </c>
      <c r="N685" s="19" t="inlineStr">
        <is>
          <t>E</t>
        </is>
      </c>
      <c r="O685" s="20" t="inlineStr">
        <is>
          <t>No linkage found in awarded contract file</t>
        </is>
      </c>
      <c r="P685" s="19" t="inlineStr"/>
      <c r="Q685" s="19" t="inlineStr"/>
      <c r="R685" s="31" t="inlineStr"/>
      <c r="S685" s="19" t="inlineStr"/>
      <c r="T685" s="19" t="inlineStr">
        <is>
          <t>No</t>
        </is>
      </c>
      <c r="U685" s="19" t="inlineStr">
        <is>
          <t>No</t>
        </is>
      </c>
      <c r="V685" s="19" t="inlineStr">
        <is>
          <t>No</t>
        </is>
      </c>
      <c r="W685" s="19" t="inlineStr">
        <is>
          <t>No</t>
        </is>
      </c>
    </row>
    <row r="686">
      <c r="A686" s="19" t="n">
        <v>711546</v>
      </c>
      <c r="B686" s="31" t="n">
        <v>46052</v>
      </c>
      <c r="C686" s="19" t="inlineStr">
        <is>
          <t>DEPARTMENT OF FLEET AND FACILITY MANAGEMENT</t>
        </is>
      </c>
      <c r="D686" s="19" t="inlineStr">
        <is>
          <t>ZIPCAR  INC</t>
        </is>
      </c>
      <c r="E686" s="20" t="inlineStr">
        <is>
          <t>TB/WW/8 INVOICES / $3010.09</t>
        </is>
      </c>
      <c r="F686" s="21" t="n">
        <v>3010.09</v>
      </c>
      <c r="G686" s="19" t="inlineStr">
        <is>
          <t>1. Pending New Contract - Original Contract Expired. New Contract in Process</t>
        </is>
      </c>
      <c r="H686" s="19" t="inlineStr">
        <is>
          <t>B. City Law Review</t>
        </is>
      </c>
      <c r="I686" s="19" t="inlineStr">
        <is>
          <t>APPROVED</t>
        </is>
      </c>
      <c r="J686" s="19" t="inlineStr">
        <is>
          <t>No</t>
        </is>
      </c>
      <c r="K686" s="19" t="inlineStr">
        <is>
          <t>No</t>
        </is>
      </c>
      <c r="L686" s="19" t="inlineStr"/>
      <c r="M686" s="19" t="inlineStr">
        <is>
          <t>RX529316</t>
        </is>
      </c>
      <c r="N686" s="19" t="inlineStr">
        <is>
          <t>E</t>
        </is>
      </c>
      <c r="O686" s="20" t="inlineStr">
        <is>
          <t>No linkage found in awarded contract file</t>
        </is>
      </c>
      <c r="P686" s="19" t="inlineStr"/>
      <c r="Q686" s="19" t="inlineStr"/>
      <c r="R686" s="31" t="inlineStr"/>
      <c r="S686" s="19" t="inlineStr"/>
      <c r="T686" s="19" t="inlineStr">
        <is>
          <t>No</t>
        </is>
      </c>
      <c r="U686" s="19" t="inlineStr">
        <is>
          <t>No</t>
        </is>
      </c>
      <c r="V686" s="19" t="inlineStr">
        <is>
          <t>No</t>
        </is>
      </c>
      <c r="W686" s="19" t="inlineStr">
        <is>
          <t>No</t>
        </is>
      </c>
    </row>
    <row r="687">
      <c r="A687" s="19" t="n">
        <v>716698</v>
      </c>
      <c r="B687" s="31" t="n">
        <v>46080</v>
      </c>
      <c r="C687" s="19" t="inlineStr">
        <is>
          <t>DEPARTMENT OF FLEET AND FACILITY MANAGEMENT</t>
        </is>
      </c>
      <c r="D687" s="19" t="inlineStr">
        <is>
          <t>INDUSTRIAL FENCE INC.</t>
        </is>
      </c>
      <c r="E687" s="20" t="inlineStr">
        <is>
          <t>TB/AH/3 INVOICES/$12,061.99</t>
        </is>
      </c>
      <c r="F687" s="21" t="n">
        <v>12061.99</v>
      </c>
      <c r="G687" s="19" t="inlineStr">
        <is>
          <t>1. Pending New Contract - Original Contract Expired. New Contract in Process</t>
        </is>
      </c>
      <c r="H687" s="19" t="inlineStr">
        <is>
          <t>A. Specification Development Phase</t>
        </is>
      </c>
      <c r="I687" s="19" t="inlineStr">
        <is>
          <t>APPROVED</t>
        </is>
      </c>
      <c r="J687" s="19" t="inlineStr">
        <is>
          <t>No</t>
        </is>
      </c>
      <c r="K687" s="19" t="inlineStr">
        <is>
          <t>No</t>
        </is>
      </c>
      <c r="L687" s="19" t="inlineStr">
        <is>
          <t>TBD</t>
        </is>
      </c>
      <c r="M687" s="19" t="inlineStr">
        <is>
          <t>RX596048</t>
        </is>
      </c>
      <c r="N687" s="19" t="inlineStr">
        <is>
          <t>E</t>
        </is>
      </c>
      <c r="O687" s="20" t="inlineStr">
        <is>
          <t>No linkage found in awarded contract file</t>
        </is>
      </c>
      <c r="P687" s="19" t="inlineStr"/>
      <c r="Q687" s="19" t="inlineStr"/>
      <c r="R687" s="31" t="inlineStr"/>
      <c r="S687" s="19" t="inlineStr"/>
      <c r="T687" s="19" t="inlineStr">
        <is>
          <t>No</t>
        </is>
      </c>
      <c r="U687" s="19" t="inlineStr">
        <is>
          <t>No</t>
        </is>
      </c>
      <c r="V687" s="19" t="inlineStr">
        <is>
          <t>No</t>
        </is>
      </c>
      <c r="W687" s="19" t="inlineStr">
        <is>
          <t>No</t>
        </is>
      </c>
    </row>
    <row r="688">
      <c r="A688" s="19" t="n">
        <v>711691</v>
      </c>
      <c r="B688" s="31" t="n">
        <v>46052</v>
      </c>
      <c r="C688" s="19" t="inlineStr">
        <is>
          <t>DEPARTMENT OF FLEET AND FACILITY MANAGEMENT</t>
        </is>
      </c>
      <c r="D688" s="19" t="inlineStr">
        <is>
          <t>JOHNSON CONTROLS FIRE PROTECTION LP</t>
        </is>
      </c>
      <c r="E688" s="20" t="inlineStr">
        <is>
          <t>TB/JG/INV#COCNL122025/$6402.87</t>
        </is>
      </c>
      <c r="F688" s="21" t="n">
        <v>6402.87</v>
      </c>
      <c r="G688" s="19" t="inlineStr">
        <is>
          <t>1. Pending New Contract - Original Contract Expired. New Contract in Process</t>
        </is>
      </c>
      <c r="H688" s="19" t="inlineStr">
        <is>
          <t>B. City Law Review</t>
        </is>
      </c>
      <c r="I688" s="19" t="inlineStr">
        <is>
          <t>APPROVED</t>
        </is>
      </c>
      <c r="J688" s="19" t="inlineStr">
        <is>
          <t>No</t>
        </is>
      </c>
      <c r="K688" s="19" t="inlineStr">
        <is>
          <t>No</t>
        </is>
      </c>
      <c r="L688" s="19" t="inlineStr">
        <is>
          <t>NO</t>
        </is>
      </c>
      <c r="M688" s="19" t="inlineStr">
        <is>
          <t>RX612805</t>
        </is>
      </c>
      <c r="N688" s="19" t="inlineStr">
        <is>
          <t>E</t>
        </is>
      </c>
      <c r="O688" s="20" t="inlineStr">
        <is>
          <t>No linkage found in awarded contract file</t>
        </is>
      </c>
      <c r="P688" s="19" t="inlineStr"/>
      <c r="Q688" s="19" t="inlineStr"/>
      <c r="R688" s="31" t="inlineStr"/>
      <c r="S688" s="19" t="inlineStr"/>
      <c r="T688" s="19" t="inlineStr">
        <is>
          <t>No</t>
        </is>
      </c>
      <c r="U688" s="19" t="inlineStr">
        <is>
          <t>No</t>
        </is>
      </c>
      <c r="V688" s="19" t="inlineStr">
        <is>
          <t>No</t>
        </is>
      </c>
      <c r="W688" s="19" t="inlineStr">
        <is>
          <t>No</t>
        </is>
      </c>
    </row>
    <row r="689">
      <c r="A689" s="19" t="n">
        <v>733066</v>
      </c>
      <c r="B689" s="31" t="n">
        <v>46171</v>
      </c>
      <c r="C689" s="19" t="inlineStr">
        <is>
          <t>DEPARTMENT OF FLEET AND FACILITY MANAGEMENT</t>
        </is>
      </c>
      <c r="D689" s="19" t="inlineStr">
        <is>
          <t>ABM INDUSTRY GROUPS, LLC</t>
        </is>
      </c>
      <c r="E689" s="20" t="inlineStr">
        <is>
          <t>TB/AH/6 INVOICES/$491,752.12</t>
        </is>
      </c>
      <c r="F689" s="21" t="n">
        <v>491752.12</v>
      </c>
      <c r="G689" s="19" t="inlineStr">
        <is>
          <t>1. Pending New Contract - Original Contract Expired. New Contract in Process</t>
        </is>
      </c>
      <c r="H689" s="19" t="inlineStr">
        <is>
          <t>A. Specification Development Phase</t>
        </is>
      </c>
      <c r="I689" s="19" t="inlineStr">
        <is>
          <t>APPROVED</t>
        </is>
      </c>
      <c r="J689" s="19" t="inlineStr">
        <is>
          <t>Yes</t>
        </is>
      </c>
      <c r="K689" s="19" t="inlineStr">
        <is>
          <t>No</t>
        </is>
      </c>
      <c r="L689" s="19" t="inlineStr"/>
      <c r="M689" s="19" t="inlineStr">
        <is>
          <t>RX624331</t>
        </is>
      </c>
      <c r="N689" s="19" t="inlineStr">
        <is>
          <t>E</t>
        </is>
      </c>
      <c r="O689" s="20" t="inlineStr">
        <is>
          <t>No linkage found in awarded contract file</t>
        </is>
      </c>
      <c r="P689" s="19" t="inlineStr"/>
      <c r="Q689" s="19" t="inlineStr"/>
      <c r="R689" s="31" t="inlineStr"/>
      <c r="S689" s="19" t="inlineStr"/>
      <c r="T689" s="19" t="inlineStr">
        <is>
          <t>No</t>
        </is>
      </c>
      <c r="U689" s="19" t="inlineStr">
        <is>
          <t>No</t>
        </is>
      </c>
      <c r="V689" s="19" t="inlineStr">
        <is>
          <t>No</t>
        </is>
      </c>
      <c r="W689" s="19" t="inlineStr">
        <is>
          <t>Yes</t>
        </is>
      </c>
    </row>
    <row r="690">
      <c r="A690" s="19" t="n">
        <v>717855</v>
      </c>
      <c r="B690" s="31" t="n">
        <v>46087</v>
      </c>
      <c r="C690" s="19" t="inlineStr">
        <is>
          <t>DEPARTMENT OF FLEET AND FACILITY MANAGEMENT</t>
        </is>
      </c>
      <c r="D690" s="19" t="inlineStr">
        <is>
          <t>WGN FLAG &amp; DECORATING CO</t>
        </is>
      </c>
      <c r="E690" s="20" t="inlineStr">
        <is>
          <t>TB/DC/INV#68384/$825.00</t>
        </is>
      </c>
      <c r="F690" s="21" t="n">
        <v>825</v>
      </c>
      <c r="G690" s="19" t="inlineStr">
        <is>
          <t>1. Pending New Contract - Original Contract Expired. New Contract in Process</t>
        </is>
      </c>
      <c r="H690" s="19" t="inlineStr">
        <is>
          <t>B. City Law Review</t>
        </is>
      </c>
      <c r="I690" s="19" t="inlineStr">
        <is>
          <t>APPROVED</t>
        </is>
      </c>
      <c r="J690" s="19" t="inlineStr">
        <is>
          <t>Yes</t>
        </is>
      </c>
      <c r="K690" s="19" t="inlineStr">
        <is>
          <t>No</t>
        </is>
      </c>
      <c r="L690" s="19" t="inlineStr"/>
      <c r="M690" s="19" t="inlineStr">
        <is>
          <t>RX660908</t>
        </is>
      </c>
      <c r="N690" s="19" t="inlineStr">
        <is>
          <t>E</t>
        </is>
      </c>
      <c r="O690" s="20" t="inlineStr">
        <is>
          <t>No linkage found in awarded contract file</t>
        </is>
      </c>
      <c r="P690" s="19" t="inlineStr"/>
      <c r="Q690" s="19" t="inlineStr"/>
      <c r="R690" s="31" t="inlineStr"/>
      <c r="S690" s="19" t="inlineStr"/>
      <c r="T690" s="19" t="inlineStr">
        <is>
          <t>No</t>
        </is>
      </c>
      <c r="U690" s="19" t="inlineStr">
        <is>
          <t>No</t>
        </is>
      </c>
      <c r="V690" s="19" t="inlineStr">
        <is>
          <t>No</t>
        </is>
      </c>
      <c r="W690" s="19" t="inlineStr">
        <is>
          <t>Yes</t>
        </is>
      </c>
    </row>
    <row r="691">
      <c r="A691" s="19" t="n">
        <v>737575</v>
      </c>
      <c r="B691" s="31" t="n">
        <v>46197</v>
      </c>
      <c r="C691" s="19" t="inlineStr">
        <is>
          <t>DEPARTMENT OF FLEET AND FACILITY MANAGEMENT</t>
        </is>
      </c>
      <c r="D691" s="19" t="inlineStr">
        <is>
          <t>WASTE MANAGEMENT - METRO 01</t>
        </is>
      </c>
      <c r="E691" s="20" t="inlineStr">
        <is>
          <t>TB/VJ/2 INVOICES/$10,963.92</t>
        </is>
      </c>
      <c r="F691" s="21" t="n">
        <v>10963.92</v>
      </c>
      <c r="G691" s="19" t="inlineStr">
        <is>
          <t>2. Pending Amendment/Modification - Line Item Addition / Vendor Limit Increase / Scope Change</t>
        </is>
      </c>
      <c r="H691" s="19" t="inlineStr">
        <is>
          <t>B. City Law Review</t>
        </is>
      </c>
      <c r="I691" s="19" t="inlineStr">
        <is>
          <t>APPROVED</t>
        </is>
      </c>
      <c r="J691" s="19" t="inlineStr">
        <is>
          <t>No</t>
        </is>
      </c>
      <c r="K691" s="19" t="inlineStr">
        <is>
          <t>No</t>
        </is>
      </c>
      <c r="L691" s="19" t="inlineStr"/>
      <c r="M691" s="19" t="inlineStr">
        <is>
          <t>RX606988</t>
        </is>
      </c>
      <c r="N691" s="19" t="inlineStr">
        <is>
          <t>E</t>
        </is>
      </c>
      <c r="O691" s="20" t="inlineStr">
        <is>
          <t>No linkage found in awarded contract file</t>
        </is>
      </c>
      <c r="P691" s="19" t="inlineStr"/>
      <c r="Q691" s="19" t="inlineStr"/>
      <c r="R691" s="31" t="inlineStr"/>
      <c r="S691" s="19" t="inlineStr"/>
      <c r="T691" s="19" t="inlineStr">
        <is>
          <t>No</t>
        </is>
      </c>
      <c r="U691" s="19" t="inlineStr">
        <is>
          <t>No</t>
        </is>
      </c>
      <c r="V691" s="19" t="inlineStr">
        <is>
          <t>No</t>
        </is>
      </c>
      <c r="W691" s="19" t="inlineStr">
        <is>
          <t>No</t>
        </is>
      </c>
    </row>
    <row r="692">
      <c r="A692" s="19" t="n">
        <v>734330</v>
      </c>
      <c r="B692" s="31" t="n">
        <v>46181</v>
      </c>
      <c r="C692" s="19" t="inlineStr">
        <is>
          <t>DEPARTMENT OF FLEET AND FACILITY MANAGEMENT</t>
        </is>
      </c>
      <c r="D692" s="19" t="inlineStr">
        <is>
          <t>ARLINGTON GLASS &amp; MIRROR</t>
        </is>
      </c>
      <c r="E692" s="20" t="inlineStr">
        <is>
          <t>TB/AO/9 INVOICES/$28,511.45</t>
        </is>
      </c>
      <c r="F692" s="21" t="n">
        <v>28511.45</v>
      </c>
      <c r="G692" s="19" t="inlineStr">
        <is>
          <t>1. Pending New Contract - Original Contract Expired. New Contract in Process</t>
        </is>
      </c>
      <c r="H692" s="19" t="inlineStr">
        <is>
          <t>A. Specification Development Phase</t>
        </is>
      </c>
      <c r="I692" s="19" t="inlineStr">
        <is>
          <t>APPROVED</t>
        </is>
      </c>
      <c r="J692" s="19" t="inlineStr">
        <is>
          <t>Yes</t>
        </is>
      </c>
      <c r="K692" s="19" t="inlineStr">
        <is>
          <t>No</t>
        </is>
      </c>
      <c r="L692" s="19" t="inlineStr"/>
      <c r="M692" s="19" t="inlineStr">
        <is>
          <t>RX647383</t>
        </is>
      </c>
      <c r="N692" s="19" t="inlineStr">
        <is>
          <t>E</t>
        </is>
      </c>
      <c r="O692" s="20" t="inlineStr">
        <is>
          <t>No linkage found in awarded contract file</t>
        </is>
      </c>
      <c r="P692" s="19" t="inlineStr"/>
      <c r="Q692" s="19" t="inlineStr"/>
      <c r="R692" s="31" t="inlineStr"/>
      <c r="S692" s="19" t="inlineStr"/>
      <c r="T692" s="19" t="inlineStr">
        <is>
          <t>No</t>
        </is>
      </c>
      <c r="U692" s="19" t="inlineStr">
        <is>
          <t>No</t>
        </is>
      </c>
      <c r="V692" s="19" t="inlineStr">
        <is>
          <t>No</t>
        </is>
      </c>
      <c r="W692" s="19" t="inlineStr">
        <is>
          <t>Yes</t>
        </is>
      </c>
    </row>
    <row r="693">
      <c r="A693" s="19" t="n">
        <v>711731</v>
      </c>
      <c r="B693" s="31" t="n">
        <v>46052</v>
      </c>
      <c r="C693" s="19" t="inlineStr">
        <is>
          <t>DEPARTMENT OF FLEET AND FACILITY MANAGEMENT</t>
        </is>
      </c>
      <c r="D693" s="19" t="inlineStr">
        <is>
          <t>HEIDELBERG USA INC.</t>
        </is>
      </c>
      <c r="E693" s="20" t="inlineStr">
        <is>
          <t>TB/GR/4 INVOICES / $727.43</t>
        </is>
      </c>
      <c r="F693" s="21" t="n">
        <v>727.4299999999999</v>
      </c>
      <c r="G693" s="19" t="inlineStr">
        <is>
          <t>1. Pending New Contract - Original Contract Expired. New Contract in Process</t>
        </is>
      </c>
      <c r="H693" s="19" t="inlineStr">
        <is>
          <t>B. City Law Review</t>
        </is>
      </c>
      <c r="I693" s="19" t="inlineStr">
        <is>
          <t>APPROVED</t>
        </is>
      </c>
      <c r="J693" s="19" t="inlineStr">
        <is>
          <t>Yes</t>
        </is>
      </c>
      <c r="K693" s="19" t="inlineStr">
        <is>
          <t>No</t>
        </is>
      </c>
      <c r="L693" s="19" t="inlineStr">
        <is>
          <t>TBD</t>
        </is>
      </c>
      <c r="M693" s="19" t="inlineStr">
        <is>
          <t>RX617991</t>
        </is>
      </c>
      <c r="N693" s="19" t="inlineStr">
        <is>
          <t>E</t>
        </is>
      </c>
      <c r="O693" s="20" t="inlineStr">
        <is>
          <t>No linkage found in awarded contract file</t>
        </is>
      </c>
      <c r="P693" s="19" t="inlineStr"/>
      <c r="Q693" s="19" t="inlineStr"/>
      <c r="R693" s="31" t="inlineStr"/>
      <c r="S693" s="19" t="inlineStr"/>
      <c r="T693" s="19" t="inlineStr">
        <is>
          <t>No</t>
        </is>
      </c>
      <c r="U693" s="19" t="inlineStr">
        <is>
          <t>No</t>
        </is>
      </c>
      <c r="V693" s="19" t="inlineStr">
        <is>
          <t>No</t>
        </is>
      </c>
      <c r="W693" s="19" t="inlineStr">
        <is>
          <t>Yes</t>
        </is>
      </c>
    </row>
    <row r="694">
      <c r="A694" s="19" t="n">
        <v>722930</v>
      </c>
      <c r="B694" s="31" t="n">
        <v>46119</v>
      </c>
      <c r="C694" s="19" t="inlineStr">
        <is>
          <t>DEPARTMENT OF FLEET AND FACILITY MANAGEMENT</t>
        </is>
      </c>
      <c r="D694" s="19" t="inlineStr">
        <is>
          <t>ABC Humane Wildlife Control &amp; Prevention, Inc.</t>
        </is>
      </c>
      <c r="E694" s="20" t="inlineStr">
        <is>
          <t>TB/AK/4 INVOICES/$17,394.79</t>
        </is>
      </c>
      <c r="F694" s="21" t="n">
        <v>17394.79</v>
      </c>
      <c r="G694" s="19" t="inlineStr">
        <is>
          <t>1. Pending New Contract - Original Contract Expired. New Contract in Process</t>
        </is>
      </c>
      <c r="H694" s="19" t="inlineStr">
        <is>
          <t>A. Specification Development Phase</t>
        </is>
      </c>
      <c r="I694" s="19" t="inlineStr">
        <is>
          <t>APPROVED</t>
        </is>
      </c>
      <c r="J694" s="19" t="inlineStr">
        <is>
          <t>No</t>
        </is>
      </c>
      <c r="K694" s="19" t="inlineStr">
        <is>
          <t>No</t>
        </is>
      </c>
      <c r="L694" s="19" t="inlineStr"/>
      <c r="M694" s="19" t="inlineStr">
        <is>
          <t>RX682957</t>
        </is>
      </c>
      <c r="N694" s="19" t="inlineStr">
        <is>
          <t>E</t>
        </is>
      </c>
      <c r="O694" s="20" t="inlineStr">
        <is>
          <t>No linkage found in awarded contract file</t>
        </is>
      </c>
      <c r="P694" s="19" t="inlineStr"/>
      <c r="Q694" s="19" t="inlineStr"/>
      <c r="R694" s="31" t="inlineStr"/>
      <c r="S694" s="19" t="inlineStr"/>
      <c r="T694" s="19" t="inlineStr">
        <is>
          <t>No</t>
        </is>
      </c>
      <c r="U694" s="19" t="inlineStr">
        <is>
          <t>No</t>
        </is>
      </c>
      <c r="V694" s="19" t="inlineStr">
        <is>
          <t>No</t>
        </is>
      </c>
      <c r="W694" s="19" t="inlineStr">
        <is>
          <t>No</t>
        </is>
      </c>
    </row>
    <row r="695">
      <c r="A695" s="19" t="n">
        <v>733101</v>
      </c>
      <c r="B695" s="31" t="n">
        <v>46171</v>
      </c>
      <c r="C695" s="19" t="inlineStr">
        <is>
          <t>DEPARTMENT OF FLEET AND FACILITY MANAGEMENT</t>
        </is>
      </c>
      <c r="D695" s="19" t="inlineStr">
        <is>
          <t>ABC Humane Wildlife Control &amp; Prevention, Inc.</t>
        </is>
      </c>
      <c r="E695" s="20" t="inlineStr">
        <is>
          <t>TB/AH/9 INVOICES/$24,181.48</t>
        </is>
      </c>
      <c r="F695" s="21" t="n">
        <v>24181.48</v>
      </c>
      <c r="G695" s="19" t="inlineStr">
        <is>
          <t>1. Pending New Contract - Original Contract Expired. New Contract in Process</t>
        </is>
      </c>
      <c r="H695" s="19" t="inlineStr">
        <is>
          <t>A. Specification Development Phase</t>
        </is>
      </c>
      <c r="I695" s="19" t="inlineStr">
        <is>
          <t>APPROVED</t>
        </is>
      </c>
      <c r="J695" s="19" t="inlineStr">
        <is>
          <t>No</t>
        </is>
      </c>
      <c r="K695" s="19" t="inlineStr">
        <is>
          <t>No</t>
        </is>
      </c>
      <c r="L695" s="19" t="inlineStr"/>
      <c r="M695" s="19" t="inlineStr">
        <is>
          <t>RX682957</t>
        </is>
      </c>
      <c r="N695" s="19" t="inlineStr">
        <is>
          <t>E</t>
        </is>
      </c>
      <c r="O695" s="20" t="inlineStr">
        <is>
          <t>No linkage found in awarded contract file</t>
        </is>
      </c>
      <c r="P695" s="19" t="inlineStr"/>
      <c r="Q695" s="19" t="inlineStr"/>
      <c r="R695" s="31" t="inlineStr"/>
      <c r="S695" s="19" t="inlineStr"/>
      <c r="T695" s="19" t="inlineStr">
        <is>
          <t>No</t>
        </is>
      </c>
      <c r="U695" s="19" t="inlineStr">
        <is>
          <t>No</t>
        </is>
      </c>
      <c r="V695" s="19" t="inlineStr">
        <is>
          <t>No</t>
        </is>
      </c>
      <c r="W695" s="19" t="inlineStr">
        <is>
          <t>No</t>
        </is>
      </c>
    </row>
    <row r="696">
      <c r="A696" s="19" t="n">
        <v>728983</v>
      </c>
      <c r="B696" s="31" t="n">
        <v>46147</v>
      </c>
      <c r="C696" s="19" t="inlineStr">
        <is>
          <t>DEPARTMENT OF FLEET AND FACILITY MANAGEMENT</t>
        </is>
      </c>
      <c r="D696" s="19" t="inlineStr">
        <is>
          <t>5410 Car Wash LLC</t>
        </is>
      </c>
      <c r="E696" s="20" t="inlineStr">
        <is>
          <t>TB/2 INVOICES/$4970.00</t>
        </is>
      </c>
      <c r="F696" s="21" t="n">
        <v>4970</v>
      </c>
      <c r="G696" s="19" t="inlineStr">
        <is>
          <t>1. Pending New Contract - Original Contract Expired. New Contract in Process</t>
        </is>
      </c>
      <c r="H696" s="19" t="inlineStr">
        <is>
          <t>A. Specification Development Phase</t>
        </is>
      </c>
      <c r="I696" s="19" t="inlineStr">
        <is>
          <t>APPROVED</t>
        </is>
      </c>
      <c r="J696" s="19" t="inlineStr">
        <is>
          <t>Yes</t>
        </is>
      </c>
      <c r="K696" s="19" t="inlineStr">
        <is>
          <t>No</t>
        </is>
      </c>
      <c r="L696" s="19" t="inlineStr"/>
      <c r="M696" s="19" t="inlineStr">
        <is>
          <t>RX710856</t>
        </is>
      </c>
      <c r="N696" s="19" t="inlineStr">
        <is>
          <t>E</t>
        </is>
      </c>
      <c r="O696" s="20" t="inlineStr">
        <is>
          <t>No linkage found in awarded contract file</t>
        </is>
      </c>
      <c r="P696" s="19" t="inlineStr"/>
      <c r="Q696" s="19" t="inlineStr"/>
      <c r="R696" s="31" t="inlineStr"/>
      <c r="S696" s="19" t="inlineStr"/>
      <c r="T696" s="19" t="inlineStr">
        <is>
          <t>No</t>
        </is>
      </c>
      <c r="U696" s="19" t="inlineStr">
        <is>
          <t>No</t>
        </is>
      </c>
      <c r="V696" s="19" t="inlineStr">
        <is>
          <t>No</t>
        </is>
      </c>
      <c r="W696" s="19" t="inlineStr">
        <is>
          <t>Yes</t>
        </is>
      </c>
    </row>
    <row r="697">
      <c r="A697" s="19" t="n">
        <v>709935</v>
      </c>
      <c r="B697" s="31" t="n">
        <v>46050</v>
      </c>
      <c r="C697" s="19" t="inlineStr">
        <is>
          <t>DEPARTMENT OF FLEET AND FACILITY MANAGEMENT</t>
        </is>
      </c>
      <c r="D697" s="19" t="inlineStr">
        <is>
          <t>POLACH APPRAISAL GROUP, INC</t>
        </is>
      </c>
      <c r="E697" s="20" t="inlineStr">
        <is>
          <t>TB/MS/INV #16467/$18,135.00</t>
        </is>
      </c>
      <c r="F697" s="21" t="n">
        <v>0</v>
      </c>
      <c r="G697" s="19" t="inlineStr">
        <is>
          <t>3. One Time Purchase</t>
        </is>
      </c>
      <c r="H697" s="19" t="inlineStr">
        <is>
          <t>H. One Time Purchase</t>
        </is>
      </c>
      <c r="I697" s="19" t="inlineStr"/>
      <c r="J697" s="19" t="inlineStr">
        <is>
          <t>Yes</t>
        </is>
      </c>
      <c r="K697" s="19" t="inlineStr">
        <is>
          <t>No</t>
        </is>
      </c>
      <c r="L697" s="19" t="inlineStr"/>
      <c r="M697" s="19" t="inlineStr">
        <is>
          <t>VDPOLACH APPRAISAL</t>
        </is>
      </c>
      <c r="N697" s="19" t="inlineStr">
        <is>
          <t>E</t>
        </is>
      </c>
      <c r="O697" s="20" t="inlineStr">
        <is>
          <t>No linkage found in awarded contract file</t>
        </is>
      </c>
      <c r="P697" s="19" t="inlineStr"/>
      <c r="Q697" s="19" t="inlineStr"/>
      <c r="R697" s="31" t="inlineStr"/>
      <c r="S697" s="19" t="inlineStr"/>
      <c r="T697" s="19" t="inlineStr">
        <is>
          <t>No</t>
        </is>
      </c>
      <c r="U697" s="19" t="inlineStr">
        <is>
          <t>No</t>
        </is>
      </c>
      <c r="V697" s="19" t="inlineStr">
        <is>
          <t>No</t>
        </is>
      </c>
      <c r="W697" s="19" t="inlineStr">
        <is>
          <t>No</t>
        </is>
      </c>
    </row>
    <row r="698">
      <c r="A698" s="19" t="n">
        <v>711901</v>
      </c>
      <c r="B698" s="31" t="n">
        <v>46141</v>
      </c>
      <c r="C698" s="19" t="inlineStr">
        <is>
          <t>DEPARTMENT OF FLEET AND FACILITY MANAGEMENT</t>
        </is>
      </c>
      <c r="D698" s="19" t="inlineStr">
        <is>
          <t>SPEEDY GONZALEZ LANDSCAPING INC</t>
        </is>
      </c>
      <c r="E698" s="20" t="inlineStr">
        <is>
          <t>TB/AH/8 INVOICES/$33,788.05</t>
        </is>
      </c>
      <c r="F698" s="21" t="n">
        <v>0</v>
      </c>
      <c r="G698" s="19" t="inlineStr">
        <is>
          <t>2. Pending Amendment/Modification - Line Item Addition / Vendor Limit Increase / Scope Change</t>
        </is>
      </c>
      <c r="H698" s="19" t="inlineStr">
        <is>
          <t>C. Solicitation or Bidding Phase</t>
        </is>
      </c>
      <c r="I698" s="19" t="inlineStr"/>
      <c r="J698" s="19" t="inlineStr">
        <is>
          <t>Yes</t>
        </is>
      </c>
      <c r="K698" s="19" t="inlineStr">
        <is>
          <t>No</t>
        </is>
      </c>
      <c r="L698" s="19" t="inlineStr"/>
      <c r="M698" s="19" t="inlineStr">
        <is>
          <t>RX690281</t>
        </is>
      </c>
      <c r="N698" s="19" t="inlineStr">
        <is>
          <t>E</t>
        </is>
      </c>
      <c r="O698" s="20" t="inlineStr">
        <is>
          <t>No linkage found in awarded contract file</t>
        </is>
      </c>
      <c r="P698" s="19" t="inlineStr"/>
      <c r="Q698" s="19" t="inlineStr"/>
      <c r="R698" s="31" t="inlineStr"/>
      <c r="S698" s="19" t="inlineStr"/>
      <c r="T698" s="19" t="inlineStr">
        <is>
          <t>No</t>
        </is>
      </c>
      <c r="U698" s="19" t="inlineStr">
        <is>
          <t>No</t>
        </is>
      </c>
      <c r="V698" s="19" t="inlineStr">
        <is>
          <t>No</t>
        </is>
      </c>
      <c r="W698" s="19" t="inlineStr">
        <is>
          <t>Yes</t>
        </is>
      </c>
    </row>
    <row r="699">
      <c r="A699" s="19" t="n">
        <v>711570</v>
      </c>
      <c r="B699" s="31" t="n">
        <v>46052</v>
      </c>
      <c r="C699" s="19" t="inlineStr">
        <is>
          <t>DEPARTMENT OF FLEET AND FACILITY MANAGEMENT</t>
        </is>
      </c>
      <c r="D699" s="19" t="inlineStr">
        <is>
          <t>QUALITY CAR WASH, INC.</t>
        </is>
      </c>
      <c r="E699" s="20" t="inlineStr">
        <is>
          <t>TB/9 INVOICES/$10,875.81</t>
        </is>
      </c>
      <c r="F699" s="21" t="n">
        <v>0</v>
      </c>
      <c r="G699" s="19" t="inlineStr">
        <is>
          <t>1. Pending New Contract - Original Contract Expired. New Contract in Process</t>
        </is>
      </c>
      <c r="H699" s="19" t="inlineStr">
        <is>
          <t>A. Specification Development Phase</t>
        </is>
      </c>
      <c r="I699" s="19" t="inlineStr"/>
      <c r="J699" s="19" t="inlineStr">
        <is>
          <t>Yes</t>
        </is>
      </c>
      <c r="K699" s="19" t="inlineStr">
        <is>
          <t>No</t>
        </is>
      </c>
      <c r="L699" s="19" t="inlineStr"/>
      <c r="M699" s="19" t="inlineStr">
        <is>
          <t>RX689540</t>
        </is>
      </c>
      <c r="N699" s="19" t="inlineStr">
        <is>
          <t>E</t>
        </is>
      </c>
      <c r="O699" s="20" t="inlineStr">
        <is>
          <t>No linkage found in awarded contract file</t>
        </is>
      </c>
      <c r="P699" s="19" t="inlineStr"/>
      <c r="Q699" s="19" t="inlineStr"/>
      <c r="R699" s="31" t="inlineStr"/>
      <c r="S699" s="19" t="inlineStr"/>
      <c r="T699" s="19" t="inlineStr">
        <is>
          <t>No</t>
        </is>
      </c>
      <c r="U699" s="19" t="inlineStr">
        <is>
          <t>No</t>
        </is>
      </c>
      <c r="V699" s="19" t="inlineStr">
        <is>
          <t>No</t>
        </is>
      </c>
      <c r="W699" s="19" t="inlineStr">
        <is>
          <t>Yes</t>
        </is>
      </c>
    </row>
    <row r="700">
      <c r="A700" s="19" t="n">
        <v>725167</v>
      </c>
      <c r="B700" s="31" t="n">
        <v>46135</v>
      </c>
      <c r="C700" s="19" t="inlineStr">
        <is>
          <t>DEPARTMENT OF FLEET AND FACILITY MANAGEMENT</t>
        </is>
      </c>
      <c r="D700" s="19" t="inlineStr">
        <is>
          <t>CAR WASH PARTNERS INC</t>
        </is>
      </c>
      <c r="E700" s="20" t="inlineStr">
        <is>
          <t>TB/INV#9007/$11,522.00</t>
        </is>
      </c>
      <c r="F700" s="21" t="n">
        <v>11522</v>
      </c>
      <c r="G700" s="19" t="inlineStr">
        <is>
          <t>1. Pending New Contract - Original Contract Expired. New Contract in Process</t>
        </is>
      </c>
      <c r="H700" s="19" t="inlineStr">
        <is>
          <t>A. Specification Development Phase</t>
        </is>
      </c>
      <c r="I700" s="19" t="inlineStr">
        <is>
          <t>APPROVED</t>
        </is>
      </c>
      <c r="J700" s="19" t="inlineStr">
        <is>
          <t>Yes</t>
        </is>
      </c>
      <c r="K700" s="19" t="inlineStr">
        <is>
          <t>No</t>
        </is>
      </c>
      <c r="L700" s="19" t="inlineStr"/>
      <c r="M700" s="19" t="inlineStr">
        <is>
          <t>RX710856</t>
        </is>
      </c>
      <c r="N700" s="19" t="inlineStr">
        <is>
          <t>E</t>
        </is>
      </c>
      <c r="O700" s="20" t="inlineStr">
        <is>
          <t>No linkage found in awarded contract file</t>
        </is>
      </c>
      <c r="P700" s="19" t="inlineStr"/>
      <c r="Q700" s="19" t="inlineStr"/>
      <c r="R700" s="31" t="inlineStr"/>
      <c r="S700" s="19" t="inlineStr"/>
      <c r="T700" s="19" t="inlineStr">
        <is>
          <t>No</t>
        </is>
      </c>
      <c r="U700" s="19" t="inlineStr">
        <is>
          <t>No</t>
        </is>
      </c>
      <c r="V700" s="19" t="inlineStr">
        <is>
          <t>No</t>
        </is>
      </c>
      <c r="W700" s="19" t="inlineStr">
        <is>
          <t>Yes</t>
        </is>
      </c>
    </row>
    <row r="701">
      <c r="A701" s="19" t="n">
        <v>731169</v>
      </c>
      <c r="B701" s="31" t="n">
        <v>46161</v>
      </c>
      <c r="C701" s="19" t="inlineStr">
        <is>
          <t>DEPARTMENT OF FLEET AND FACILITY MANAGEMENT</t>
        </is>
      </c>
      <c r="D701" s="19" t="inlineStr">
        <is>
          <t>QUALITY CAR WASH, INC.</t>
        </is>
      </c>
      <c r="E701" s="20" t="inlineStr">
        <is>
          <t>TB/10 INVOICES/$15,800.67</t>
        </is>
      </c>
      <c r="F701" s="21" t="n">
        <v>15800.67</v>
      </c>
      <c r="G701" s="19" t="inlineStr">
        <is>
          <t>1. Pending New Contract - Original Contract Expired. New Contract in Process</t>
        </is>
      </c>
      <c r="H701" s="19" t="inlineStr">
        <is>
          <t>B. City Law Review</t>
        </is>
      </c>
      <c r="I701" s="19" t="inlineStr">
        <is>
          <t>APPROVED</t>
        </is>
      </c>
      <c r="J701" s="19" t="inlineStr">
        <is>
          <t>Yes</t>
        </is>
      </c>
      <c r="K701" s="19" t="inlineStr">
        <is>
          <t>No</t>
        </is>
      </c>
      <c r="L701" s="19" t="inlineStr"/>
      <c r="M701" s="19" t="inlineStr">
        <is>
          <t>RX710856</t>
        </is>
      </c>
      <c r="N701" s="19" t="inlineStr">
        <is>
          <t>E</t>
        </is>
      </c>
      <c r="O701" s="20" t="inlineStr">
        <is>
          <t>No linkage found in awarded contract file</t>
        </is>
      </c>
      <c r="P701" s="19" t="inlineStr"/>
      <c r="Q701" s="19" t="inlineStr"/>
      <c r="R701" s="31" t="inlineStr"/>
      <c r="S701" s="19" t="inlineStr"/>
      <c r="T701" s="19" t="inlineStr">
        <is>
          <t>No</t>
        </is>
      </c>
      <c r="U701" s="19" t="inlineStr">
        <is>
          <t>No</t>
        </is>
      </c>
      <c r="V701" s="19" t="inlineStr">
        <is>
          <t>No</t>
        </is>
      </c>
      <c r="W701" s="19" t="inlineStr">
        <is>
          <t>Yes</t>
        </is>
      </c>
    </row>
    <row r="702">
      <c r="A702" s="19" t="n">
        <v>730543</v>
      </c>
      <c r="B702" s="31" t="n">
        <v>46163</v>
      </c>
      <c r="C702" s="19" t="inlineStr">
        <is>
          <t>DEPARTMENT OF FLEET AND FACILITY MANAGEMENT</t>
        </is>
      </c>
      <c r="D702" s="19" t="inlineStr">
        <is>
          <t>ABC Humane Wildlife Control &amp; Prevention, Inc.</t>
        </is>
      </c>
      <c r="E702" s="20" t="inlineStr">
        <is>
          <t>TB/VJ/10 INVOICES/$80,828.37</t>
        </is>
      </c>
      <c r="F702" s="21" t="n">
        <v>80828.37</v>
      </c>
      <c r="G702" s="19" t="inlineStr">
        <is>
          <t>1. Pending New Contract - Original Contract Expired. New Contract in Process</t>
        </is>
      </c>
      <c r="H702" s="19" t="inlineStr">
        <is>
          <t>A. Specification Development Phase</t>
        </is>
      </c>
      <c r="I702" s="19" t="inlineStr">
        <is>
          <t>APPROVED</t>
        </is>
      </c>
      <c r="J702" s="19" t="inlineStr">
        <is>
          <t>No</t>
        </is>
      </c>
      <c r="K702" s="19" t="inlineStr">
        <is>
          <t>No</t>
        </is>
      </c>
      <c r="L702" s="19" t="inlineStr"/>
      <c r="M702" s="19" t="inlineStr">
        <is>
          <t>RX682957</t>
        </is>
      </c>
      <c r="N702" s="19" t="inlineStr">
        <is>
          <t>E</t>
        </is>
      </c>
      <c r="O702" s="20" t="inlineStr">
        <is>
          <t>No linkage found in awarded contract file</t>
        </is>
      </c>
      <c r="P702" s="19" t="inlineStr"/>
      <c r="Q702" s="19" t="inlineStr"/>
      <c r="R702" s="31" t="inlineStr"/>
      <c r="S702" s="19" t="inlineStr"/>
      <c r="T702" s="19" t="inlineStr">
        <is>
          <t>No</t>
        </is>
      </c>
      <c r="U702" s="19" t="inlineStr">
        <is>
          <t>No</t>
        </is>
      </c>
      <c r="V702" s="19" t="inlineStr">
        <is>
          <t>No</t>
        </is>
      </c>
      <c r="W702" s="19" t="inlineStr">
        <is>
          <t>No</t>
        </is>
      </c>
    </row>
    <row r="703">
      <c r="A703" s="19" t="n">
        <v>731168</v>
      </c>
      <c r="B703" s="31" t="n">
        <v>46161</v>
      </c>
      <c r="C703" s="19" t="inlineStr">
        <is>
          <t>DEPARTMENT OF FLEET AND FACILITY MANAGEMENT</t>
        </is>
      </c>
      <c r="D703" s="19" t="inlineStr">
        <is>
          <t>5410 Car Wash LLC</t>
        </is>
      </c>
      <c r="E703" s="20" t="inlineStr">
        <is>
          <t>TB/INVOICE #04302026/$1189.00</t>
        </is>
      </c>
      <c r="F703" s="21" t="n">
        <v>1189</v>
      </c>
      <c r="G703" s="19" t="inlineStr">
        <is>
          <t>1. Pending New Contract - Original Contract Expired. New Contract in Process</t>
        </is>
      </c>
      <c r="H703" s="19" t="inlineStr">
        <is>
          <t>A. Specification Development Phase</t>
        </is>
      </c>
      <c r="I703" s="19" t="inlineStr">
        <is>
          <t>APPROVED</t>
        </is>
      </c>
      <c r="J703" s="19" t="inlineStr">
        <is>
          <t>Yes</t>
        </is>
      </c>
      <c r="K703" s="19" t="inlineStr">
        <is>
          <t>No</t>
        </is>
      </c>
      <c r="L703" s="19" t="inlineStr"/>
      <c r="M703" s="19" t="inlineStr">
        <is>
          <t>RX710856</t>
        </is>
      </c>
      <c r="N703" s="19" t="inlineStr">
        <is>
          <t>E</t>
        </is>
      </c>
      <c r="O703" s="20" t="inlineStr">
        <is>
          <t>No linkage found in awarded contract file</t>
        </is>
      </c>
      <c r="P703" s="19" t="inlineStr"/>
      <c r="Q703" s="19" t="inlineStr"/>
      <c r="R703" s="31" t="inlineStr"/>
      <c r="S703" s="19" t="inlineStr"/>
      <c r="T703" s="19" t="inlineStr">
        <is>
          <t>No</t>
        </is>
      </c>
      <c r="U703" s="19" t="inlineStr">
        <is>
          <t>No</t>
        </is>
      </c>
      <c r="V703" s="19" t="inlineStr">
        <is>
          <t>No</t>
        </is>
      </c>
      <c r="W703" s="19" t="inlineStr">
        <is>
          <t>Yes</t>
        </is>
      </c>
    </row>
    <row r="704">
      <c r="A704" s="19" t="n">
        <v>712309</v>
      </c>
      <c r="B704" s="31" t="n">
        <v>46058</v>
      </c>
      <c r="C704" s="19" t="inlineStr">
        <is>
          <t>CHICAGO DEPARTMENT OF PUBLIC HEALTH</t>
        </is>
      </c>
      <c r="D704" s="19" t="inlineStr">
        <is>
          <t>KIVVIT</t>
        </is>
      </c>
      <c r="E704" s="20" t="inlineStr">
        <is>
          <t>November 2023 Consulting Services - CDPH Crystal Meth</t>
        </is>
      </c>
      <c r="F704" s="21" t="n">
        <v>20000</v>
      </c>
      <c r="G704" s="19" t="inlineStr">
        <is>
          <t>3. One Time Purchase</t>
        </is>
      </c>
      <c r="H704" s="19" t="inlineStr">
        <is>
          <t>H. One Time Purchase</t>
        </is>
      </c>
      <c r="I704" s="19" t="inlineStr">
        <is>
          <t>APPROVED</t>
        </is>
      </c>
      <c r="J704" s="19" t="inlineStr">
        <is>
          <t>Yes</t>
        </is>
      </c>
      <c r="K704" s="19" t="inlineStr">
        <is>
          <t>No</t>
        </is>
      </c>
      <c r="L704" s="19" t="inlineStr"/>
      <c r="M704" s="19" t="inlineStr">
        <is>
          <t>VDKIVVIT</t>
        </is>
      </c>
      <c r="N704" s="19" t="inlineStr">
        <is>
          <t>E</t>
        </is>
      </c>
      <c r="O704" s="20" t="inlineStr">
        <is>
          <t>No linkage found in awarded contract file</t>
        </is>
      </c>
      <c r="P704" s="19" t="inlineStr"/>
      <c r="Q704" s="19" t="inlineStr"/>
      <c r="R704" s="31" t="inlineStr"/>
      <c r="S704" s="19" t="inlineStr"/>
      <c r="T704" s="19" t="inlineStr">
        <is>
          <t>No</t>
        </is>
      </c>
      <c r="U704" s="19" t="inlineStr">
        <is>
          <t>No</t>
        </is>
      </c>
      <c r="V704" s="19" t="inlineStr">
        <is>
          <t>No</t>
        </is>
      </c>
      <c r="W704" s="19" t="inlineStr">
        <is>
          <t>No</t>
        </is>
      </c>
    </row>
    <row r="705">
      <c r="A705" s="19" t="n">
        <v>734820</v>
      </c>
      <c r="B705" s="31" t="n">
        <v>46182</v>
      </c>
      <c r="C705" s="19" t="inlineStr">
        <is>
          <t>CHICAGO DEPARTMENT OF AVIATION</t>
        </is>
      </c>
      <c r="D705" s="19" t="inlineStr">
        <is>
          <t>SHERWIN INDUSTRIES</t>
        </is>
      </c>
      <c r="E705" s="20" t="inlineStr">
        <is>
          <t>Invoice# SS109523    Sherwin Industries FAA Part 139 Regulatory Compliance. Calibration of AFM2 (8 units) and labor for maintenance and one battery replacement of Bowmonk Decelerometers. Bowmonks require annual calibration and are used duri</t>
        </is>
      </c>
      <c r="F705" s="21" t="n">
        <v>3916</v>
      </c>
      <c r="G705" s="19" t="inlineStr">
        <is>
          <t>1. Pending New Contract - Original Contract Expired. New Contract in Process</t>
        </is>
      </c>
      <c r="H705" s="19" t="inlineStr">
        <is>
          <t>C. Solicitation or Bidding Phase</t>
        </is>
      </c>
      <c r="I705" s="19" t="inlineStr">
        <is>
          <t>APPROVED</t>
        </is>
      </c>
      <c r="J705" s="19" t="inlineStr">
        <is>
          <t>Yes</t>
        </is>
      </c>
      <c r="K705" s="19" t="inlineStr">
        <is>
          <t>No</t>
        </is>
      </c>
      <c r="L705" s="19" t="inlineStr"/>
      <c r="M705" s="19" t="inlineStr">
        <is>
          <t>RX530823</t>
        </is>
      </c>
      <c r="N705" s="19" t="inlineStr">
        <is>
          <t>A</t>
        </is>
      </c>
      <c r="O705" s="20" t="inlineStr">
        <is>
          <t>Requisition ID link: Exhibit B new-contract RX = awarded REQ</t>
        </is>
      </c>
      <c r="P705" s="19" t="inlineStr">
        <is>
          <t>375509</t>
        </is>
      </c>
      <c r="Q705" s="19" t="inlineStr">
        <is>
          <t>Halliday Technologies</t>
        </is>
      </c>
      <c r="R705" s="31" t="n">
        <v>46106</v>
      </c>
      <c r="S705" s="19" t="inlineStr">
        <is>
          <t>BID</t>
        </is>
      </c>
      <c r="T705" s="19" t="inlineStr">
        <is>
          <t>Yes</t>
        </is>
      </c>
      <c r="U705" s="19" t="inlineStr">
        <is>
          <t>No</t>
        </is>
      </c>
      <c r="V705" s="19" t="inlineStr">
        <is>
          <t>Yes</t>
        </is>
      </c>
      <c r="W705" s="19" t="inlineStr">
        <is>
          <t>Yes</t>
        </is>
      </c>
    </row>
    <row r="706">
      <c r="A706" s="19" t="n">
        <v>722271</v>
      </c>
      <c r="B706" s="31" t="n">
        <v>46118</v>
      </c>
      <c r="C706" s="19" t="inlineStr">
        <is>
          <t>DEPARTMENT OF FLEET AND FACILITY MANAGEMENT</t>
        </is>
      </c>
      <c r="D706" s="19" t="inlineStr">
        <is>
          <t>A &amp; R JANITORIAL SERVICE, INC.</t>
        </is>
      </c>
      <c r="E706" s="20" t="inlineStr">
        <is>
          <t>A&amp;R Janitorial Services 1027555 A  JS/ AH/ 7-INVOICES/ $5,348.06/ Monthly Miscellaneous</t>
        </is>
      </c>
      <c r="F706" s="21" t="n">
        <v>5348.06</v>
      </c>
      <c r="G706" s="19" t="inlineStr">
        <is>
          <t>1. Pending New Contract - Original Contract Expired. New Contract in Process</t>
        </is>
      </c>
      <c r="H706" s="19" t="inlineStr">
        <is>
          <t>A. Specification Development Phase</t>
        </is>
      </c>
      <c r="I706" s="19" t="inlineStr">
        <is>
          <t>APPROVED</t>
        </is>
      </c>
      <c r="J706" s="19" t="inlineStr">
        <is>
          <t>No</t>
        </is>
      </c>
      <c r="K706" s="19" t="inlineStr">
        <is>
          <t>No</t>
        </is>
      </c>
      <c r="L706" s="19" t="inlineStr"/>
      <c r="M706" s="19" t="inlineStr">
        <is>
          <t>RX624331</t>
        </is>
      </c>
      <c r="N706" s="19" t="inlineStr">
        <is>
          <t>E</t>
        </is>
      </c>
      <c r="O706" s="20" t="inlineStr">
        <is>
          <t>No linkage found in awarded contract file</t>
        </is>
      </c>
      <c r="P706" s="19" t="inlineStr"/>
      <c r="Q706" s="19" t="inlineStr"/>
      <c r="R706" s="31" t="inlineStr"/>
      <c r="S706" s="19" t="inlineStr"/>
      <c r="T706" s="19" t="inlineStr">
        <is>
          <t>No</t>
        </is>
      </c>
      <c r="U706" s="19" t="inlineStr">
        <is>
          <t>No</t>
        </is>
      </c>
      <c r="V706" s="19" t="inlineStr">
        <is>
          <t>No</t>
        </is>
      </c>
      <c r="W706" s="19" t="inlineStr">
        <is>
          <t>No</t>
        </is>
      </c>
    </row>
    <row r="707">
      <c r="A707" s="19" t="n">
        <v>737903</v>
      </c>
      <c r="B707" s="31" t="n">
        <v>46203</v>
      </c>
      <c r="C707" s="19" t="inlineStr">
        <is>
          <t>DEPARTMENT OF FLEET AND FACILITY MANAGEMENT</t>
        </is>
      </c>
      <c r="D707" s="19" t="inlineStr">
        <is>
          <t>MONROE TRUCK EQUIPMENT</t>
        </is>
      </c>
      <c r="E707" s="20" t="inlineStr">
        <is>
          <t>Monroe Truck Equipment  598821 A   JS/ MM/ Invoice  26MB04003/ $72,292.36/ AVS581/ WO 2566490/</t>
        </is>
      </c>
      <c r="F707" s="21" t="n">
        <v>72292.36</v>
      </c>
      <c r="G707" s="19" t="inlineStr">
        <is>
          <t>1. Pending New Contract - Original Contract Expired. New Contract in Process</t>
        </is>
      </c>
      <c r="H707" s="19" t="inlineStr">
        <is>
          <t>B. City Law Review</t>
        </is>
      </c>
      <c r="I707" s="19" t="inlineStr">
        <is>
          <t>APPROVED</t>
        </is>
      </c>
      <c r="J707" s="19" t="inlineStr">
        <is>
          <t>Yes</t>
        </is>
      </c>
      <c r="K707" s="19" t="inlineStr">
        <is>
          <t>No</t>
        </is>
      </c>
      <c r="L707" s="19" t="inlineStr"/>
      <c r="M707" s="19" t="inlineStr">
        <is>
          <t>RX590958</t>
        </is>
      </c>
      <c r="N707" s="19" t="inlineStr">
        <is>
          <t>E</t>
        </is>
      </c>
      <c r="O707" s="20" t="inlineStr">
        <is>
          <t>No linkage found in awarded contract file</t>
        </is>
      </c>
      <c r="P707" s="19" t="inlineStr"/>
      <c r="Q707" s="19" t="inlineStr"/>
      <c r="R707" s="31" t="inlineStr"/>
      <c r="S707" s="19" t="inlineStr"/>
      <c r="T707" s="19" t="inlineStr">
        <is>
          <t>No</t>
        </is>
      </c>
      <c r="U707" s="19" t="inlineStr">
        <is>
          <t>No</t>
        </is>
      </c>
      <c r="V707" s="19" t="inlineStr">
        <is>
          <t>No</t>
        </is>
      </c>
      <c r="W707" s="19" t="inlineStr">
        <is>
          <t>Yes</t>
        </is>
      </c>
    </row>
    <row r="708">
      <c r="A708" s="19" t="n">
        <v>742359</v>
      </c>
      <c r="B708" s="31" t="n">
        <v>46238</v>
      </c>
      <c r="C708" s="19" t="inlineStr">
        <is>
          <t>DEPARTMENT OF FLEET AND FACILITY MANAGEMENT</t>
        </is>
      </c>
      <c r="D708" s="19" t="inlineStr">
        <is>
          <t>P. R. STREICH &amp; SONS</t>
        </is>
      </c>
      <c r="E708" s="20" t="inlineStr">
        <is>
          <t>P.R. Streich 832755 A A JS/ MM/ Invoice # 57311/ $896.00/ DEPT38/ WO 2574982</t>
        </is>
      </c>
      <c r="F708" s="21" t="n">
        <v>896</v>
      </c>
      <c r="G708" s="19" t="inlineStr">
        <is>
          <t>1. Pending New Contract - Original Contract Expired. New Contract in Process</t>
        </is>
      </c>
      <c r="H708" s="19" t="inlineStr">
        <is>
          <t>B. City Law Review</t>
        </is>
      </c>
      <c r="I708" s="19" t="inlineStr">
        <is>
          <t>APPROVED</t>
        </is>
      </c>
      <c r="J708" s="19" t="inlineStr">
        <is>
          <t>Yes</t>
        </is>
      </c>
      <c r="K708" s="19" t="inlineStr">
        <is>
          <t>No</t>
        </is>
      </c>
      <c r="L708" s="19" t="inlineStr">
        <is>
          <t>TBD</t>
        </is>
      </c>
      <c r="M708" s="19" t="inlineStr">
        <is>
          <t>RX679901</t>
        </is>
      </c>
      <c r="N708" s="19" t="inlineStr">
        <is>
          <t>E</t>
        </is>
      </c>
      <c r="O708" s="20" t="inlineStr">
        <is>
          <t>No linkage found in awarded contract file</t>
        </is>
      </c>
      <c r="P708" s="19" t="inlineStr"/>
      <c r="Q708" s="19" t="inlineStr"/>
      <c r="R708" s="31" t="inlineStr"/>
      <c r="S708" s="19" t="inlineStr"/>
      <c r="T708" s="19" t="inlineStr">
        <is>
          <t>No</t>
        </is>
      </c>
      <c r="U708" s="19" t="inlineStr">
        <is>
          <t>No</t>
        </is>
      </c>
      <c r="V708" s="19" t="inlineStr">
        <is>
          <t>No</t>
        </is>
      </c>
      <c r="W708" s="19" t="inlineStr">
        <is>
          <t>Yes</t>
        </is>
      </c>
    </row>
    <row r="709">
      <c r="A709" s="19" t="n">
        <v>740659</v>
      </c>
      <c r="B709" s="31" t="n">
        <v>46217</v>
      </c>
      <c r="C709" s="19" t="inlineStr">
        <is>
          <t>DEPARTMENT OF FLEET AND FACILITY MANAGEMENT</t>
        </is>
      </c>
      <c r="D709" s="19" t="inlineStr">
        <is>
          <t>CHARLES EQUIPMENT ENERGY SYSTEMS LLC</t>
        </is>
      </c>
      <c r="E709" s="20" t="inlineStr">
        <is>
          <t>Charles Equipment  157247  A   JS/ CE/ 10-Invoices/ $19,296.78/  June 2026/ Repair and Maintenance</t>
        </is>
      </c>
      <c r="F709" s="21" t="n">
        <v>19296.78</v>
      </c>
      <c r="G709" s="19" t="inlineStr">
        <is>
          <t>1. Pending New Contract - Original Contract Expired. New Contract in Process</t>
        </is>
      </c>
      <c r="H709" s="19" t="inlineStr">
        <is>
          <t>A. Specification Development Phase</t>
        </is>
      </c>
      <c r="I709" s="19" t="inlineStr">
        <is>
          <t>APPROVED</t>
        </is>
      </c>
      <c r="J709" s="19" t="inlineStr">
        <is>
          <t>Yes</t>
        </is>
      </c>
      <c r="K709" s="19" t="inlineStr">
        <is>
          <t>No</t>
        </is>
      </c>
      <c r="L709" s="19" t="inlineStr"/>
      <c r="M709" s="19" t="inlineStr">
        <is>
          <t>RX622326</t>
        </is>
      </c>
      <c r="N709" s="19" t="inlineStr">
        <is>
          <t>E</t>
        </is>
      </c>
      <c r="O709" s="20" t="inlineStr">
        <is>
          <t>No linkage found in awarded contract file</t>
        </is>
      </c>
      <c r="P709" s="19" t="inlineStr"/>
      <c r="Q709" s="19" t="inlineStr"/>
      <c r="R709" s="31" t="inlineStr"/>
      <c r="S709" s="19" t="inlineStr"/>
      <c r="T709" s="19" t="inlineStr">
        <is>
          <t>No</t>
        </is>
      </c>
      <c r="U709" s="19" t="inlineStr">
        <is>
          <t>No</t>
        </is>
      </c>
      <c r="V709" s="19" t="inlineStr">
        <is>
          <t>No</t>
        </is>
      </c>
      <c r="W709" s="19" t="inlineStr">
        <is>
          <t>Yes</t>
        </is>
      </c>
    </row>
    <row r="710">
      <c r="A710" s="19" t="n">
        <v>711534</v>
      </c>
      <c r="B710" s="31" t="n">
        <v>46052</v>
      </c>
      <c r="C710" s="19" t="inlineStr">
        <is>
          <t>DEPARTMENT OF FLEET AND FACILITY MANAGEMENT</t>
        </is>
      </c>
      <c r="D710" s="19" t="inlineStr">
        <is>
          <t>CHARLES EQUIPMENT ENERGY SYSTEMS LLC</t>
        </is>
      </c>
      <c r="E710" s="20" t="inlineStr">
        <is>
          <t>Charles Equipment  157247  A   JS/ AH/ INVOICE # 19477/ $30,980.30/ APR 25/CPD AREA 1/ Q4532</t>
        </is>
      </c>
      <c r="F710" s="21" t="n">
        <v>30980.3</v>
      </c>
      <c r="G710" s="19" t="inlineStr">
        <is>
          <t>1. Pending New Contract - Original Contract Expired. New Contract in Process</t>
        </is>
      </c>
      <c r="H710" s="19" t="inlineStr">
        <is>
          <t>A. Specification Development Phase</t>
        </is>
      </c>
      <c r="I710" s="19" t="inlineStr">
        <is>
          <t>APPROVED</t>
        </is>
      </c>
      <c r="J710" s="19" t="inlineStr">
        <is>
          <t>Yes</t>
        </is>
      </c>
      <c r="K710" s="19" t="inlineStr">
        <is>
          <t>No</t>
        </is>
      </c>
      <c r="L710" s="19" t="inlineStr"/>
      <c r="M710" s="19" t="inlineStr">
        <is>
          <t>RX622326</t>
        </is>
      </c>
      <c r="N710" s="19" t="inlineStr">
        <is>
          <t>E</t>
        </is>
      </c>
      <c r="O710" s="20" t="inlineStr">
        <is>
          <t>No linkage found in awarded contract file</t>
        </is>
      </c>
      <c r="P710" s="19" t="inlineStr"/>
      <c r="Q710" s="19" t="inlineStr"/>
      <c r="R710" s="31" t="inlineStr"/>
      <c r="S710" s="19" t="inlineStr"/>
      <c r="T710" s="19" t="inlineStr">
        <is>
          <t>No</t>
        </is>
      </c>
      <c r="U710" s="19" t="inlineStr">
        <is>
          <t>No</t>
        </is>
      </c>
      <c r="V710" s="19" t="inlineStr">
        <is>
          <t>No</t>
        </is>
      </c>
      <c r="W710" s="19" t="inlineStr">
        <is>
          <t>Yes</t>
        </is>
      </c>
    </row>
    <row r="711">
      <c r="A711" s="19" t="n">
        <v>712265</v>
      </c>
      <c r="B711" s="31" t="n">
        <v>46058</v>
      </c>
      <c r="C711" s="19" t="inlineStr">
        <is>
          <t>DEPARTMENT OF FLEET AND FACILITY MANAGEMENT</t>
        </is>
      </c>
      <c r="D711" s="19" t="inlineStr">
        <is>
          <t>ABM INDUSTRY GROUPS, LLC</t>
        </is>
      </c>
      <c r="E711" s="20" t="inlineStr">
        <is>
          <t>ABM 1062984 A   JS/ AH/ 5-Invoices/ $191,693.04/ October CPL &amp; Snow CPL</t>
        </is>
      </c>
      <c r="F711" s="21" t="n">
        <v>191693.04</v>
      </c>
      <c r="G711" s="19" t="inlineStr">
        <is>
          <t>1. Pending New Contract - Original Contract Expired. New Contract in Process</t>
        </is>
      </c>
      <c r="H711" s="19" t="inlineStr">
        <is>
          <t>A. Specification Development Phase</t>
        </is>
      </c>
      <c r="I711" s="19" t="inlineStr">
        <is>
          <t>APPROVED</t>
        </is>
      </c>
      <c r="J711" s="19" t="inlineStr">
        <is>
          <t>Yes</t>
        </is>
      </c>
      <c r="K711" s="19" t="inlineStr">
        <is>
          <t>No</t>
        </is>
      </c>
      <c r="L711" s="19" t="inlineStr">
        <is>
          <t>No</t>
        </is>
      </c>
      <c r="M711" s="19" t="inlineStr">
        <is>
          <t>RX624331</t>
        </is>
      </c>
      <c r="N711" s="19" t="inlineStr">
        <is>
          <t>E</t>
        </is>
      </c>
      <c r="O711" s="20" t="inlineStr">
        <is>
          <t>No linkage found in awarded contract file</t>
        </is>
      </c>
      <c r="P711" s="19" t="inlineStr"/>
      <c r="Q711" s="19" t="inlineStr"/>
      <c r="R711" s="31" t="inlineStr"/>
      <c r="S711" s="19" t="inlineStr"/>
      <c r="T711" s="19" t="inlineStr">
        <is>
          <t>No</t>
        </is>
      </c>
      <c r="U711" s="19" t="inlineStr">
        <is>
          <t>No</t>
        </is>
      </c>
      <c r="V711" s="19" t="inlineStr">
        <is>
          <t>No</t>
        </is>
      </c>
      <c r="W711" s="19" t="inlineStr">
        <is>
          <t>Yes</t>
        </is>
      </c>
    </row>
    <row r="712">
      <c r="A712" s="19" t="n">
        <v>734220</v>
      </c>
      <c r="B712" s="31" t="n">
        <v>46177</v>
      </c>
      <c r="C712" s="19" t="inlineStr">
        <is>
          <t>DEPARTMENT OF FLEET AND FACILITY MANAGEMENT</t>
        </is>
      </c>
      <c r="D712" s="19" t="inlineStr">
        <is>
          <t>WAREHOUSE DIRECT, INC.</t>
        </is>
      </c>
      <c r="E712" s="20" t="inlineStr">
        <is>
          <t>Warehouse Direct 390270 E  JS/ JM/ Invoice # IN633620/ $5,992.92/ Bindery Supplies</t>
        </is>
      </c>
      <c r="F712" s="21" t="n">
        <v>5992.92</v>
      </c>
      <c r="G712" s="19" t="inlineStr">
        <is>
          <t>1. Pending New Contract - Original Contract Expired. New Contract in Process</t>
        </is>
      </c>
      <c r="H712" s="19" t="inlineStr">
        <is>
          <t>A. Specification Development Phase</t>
        </is>
      </c>
      <c r="I712" s="19" t="inlineStr">
        <is>
          <t>APPROVED</t>
        </is>
      </c>
      <c r="J712" s="19" t="inlineStr">
        <is>
          <t>Yes</t>
        </is>
      </c>
      <c r="K712" s="19" t="inlineStr">
        <is>
          <t>No</t>
        </is>
      </c>
      <c r="L712" s="19" t="inlineStr"/>
      <c r="M712" s="19" t="inlineStr">
        <is>
          <t>RX677490</t>
        </is>
      </c>
      <c r="N712" s="19" t="inlineStr">
        <is>
          <t>E</t>
        </is>
      </c>
      <c r="O712" s="20" t="inlineStr">
        <is>
          <t>No linkage found in awarded contract file</t>
        </is>
      </c>
      <c r="P712" s="19" t="inlineStr"/>
      <c r="Q712" s="19" t="inlineStr"/>
      <c r="R712" s="31" t="inlineStr"/>
      <c r="S712" s="19" t="inlineStr"/>
      <c r="T712" s="19" t="inlineStr">
        <is>
          <t>No</t>
        </is>
      </c>
      <c r="U712" s="19" t="inlineStr">
        <is>
          <t>No</t>
        </is>
      </c>
      <c r="V712" s="19" t="inlineStr">
        <is>
          <t>No</t>
        </is>
      </c>
      <c r="W712" s="19" t="inlineStr">
        <is>
          <t>Yes</t>
        </is>
      </c>
    </row>
    <row r="713">
      <c r="A713" s="19" t="n">
        <v>722204</v>
      </c>
      <c r="B713" s="31" t="n">
        <v>46119</v>
      </c>
      <c r="C713" s="19" t="inlineStr">
        <is>
          <t>DEPARTMENT OF FLEET AND FACILITY MANAGEMENT</t>
        </is>
      </c>
      <c r="D713" s="19" t="inlineStr">
        <is>
          <t>PRESSURE WASHING SYSTEMS</t>
        </is>
      </c>
      <c r="E713" s="20" t="inlineStr">
        <is>
          <t>PWS 1064296 B  JS/ FR/ 12-INVOICES/ $11,796.00/ DEPT81/ WO 2616069/ EWOOD 2FM</t>
        </is>
      </c>
      <c r="F713" s="21" t="n">
        <v>11796</v>
      </c>
      <c r="G713" s="19" t="inlineStr">
        <is>
          <t>1. Pending New Contract - Original Contract Expired. New Contract in Process</t>
        </is>
      </c>
      <c r="H713" s="19" t="inlineStr">
        <is>
          <t>A. Specification Development Phase</t>
        </is>
      </c>
      <c r="I713" s="19" t="inlineStr">
        <is>
          <t>APPROVED</t>
        </is>
      </c>
      <c r="J713" s="19" t="inlineStr">
        <is>
          <t>Yes</t>
        </is>
      </c>
      <c r="K713" s="19" t="inlineStr">
        <is>
          <t>No</t>
        </is>
      </c>
      <c r="L713" s="19" t="inlineStr"/>
      <c r="M713" s="19" t="inlineStr">
        <is>
          <t>RX708700</t>
        </is>
      </c>
      <c r="N713" s="19" t="inlineStr">
        <is>
          <t>E</t>
        </is>
      </c>
      <c r="O713" s="20" t="inlineStr">
        <is>
          <t>No linkage found in awarded contract file</t>
        </is>
      </c>
      <c r="P713" s="19" t="inlineStr"/>
      <c r="Q713" s="19" t="inlineStr"/>
      <c r="R713" s="31" t="inlineStr"/>
      <c r="S713" s="19" t="inlineStr"/>
      <c r="T713" s="19" t="inlineStr">
        <is>
          <t>No</t>
        </is>
      </c>
      <c r="U713" s="19" t="inlineStr">
        <is>
          <t>No</t>
        </is>
      </c>
      <c r="V713" s="19" t="inlineStr">
        <is>
          <t>No</t>
        </is>
      </c>
      <c r="W713" s="19" t="inlineStr">
        <is>
          <t>Yes</t>
        </is>
      </c>
    </row>
    <row r="714">
      <c r="A714" s="19" t="n">
        <v>709941</v>
      </c>
      <c r="B714" s="31" t="n">
        <v>46048</v>
      </c>
      <c r="C714" s="19" t="inlineStr">
        <is>
          <t>DEPARTMENT OF FLEET AND FACILITY MANAGEMENT</t>
        </is>
      </c>
      <c r="D714" s="19" t="inlineStr">
        <is>
          <t>MURNANE PAPER COMPANY</t>
        </is>
      </c>
      <c r="E714" s="20" t="inlineStr">
        <is>
          <t>Murnane Paper 57163729 A  JS/ JM/ Invoice 231638 &amp; 231551/ $22,664.00</t>
        </is>
      </c>
      <c r="F714" s="21" t="n">
        <v>22664</v>
      </c>
      <c r="G714" s="19" t="inlineStr">
        <is>
          <t>1. Pending New Contract - Original Contract Expired. New Contract in Process</t>
        </is>
      </c>
      <c r="H714" s="19" t="inlineStr">
        <is>
          <t>A. Specification Development Phase</t>
        </is>
      </c>
      <c r="I714" s="19" t="inlineStr">
        <is>
          <t>APPROVED</t>
        </is>
      </c>
      <c r="J714" s="19" t="inlineStr">
        <is>
          <t>No</t>
        </is>
      </c>
      <c r="K714" s="19" t="inlineStr">
        <is>
          <t>No</t>
        </is>
      </c>
      <c r="L714" s="19" t="inlineStr"/>
      <c r="M714" s="19" t="inlineStr">
        <is>
          <t>RX600854</t>
        </is>
      </c>
      <c r="N714" s="19" t="inlineStr">
        <is>
          <t>E</t>
        </is>
      </c>
      <c r="O714" s="20" t="inlineStr">
        <is>
          <t>No linkage found in awarded contract file</t>
        </is>
      </c>
      <c r="P714" s="19" t="inlineStr"/>
      <c r="Q714" s="19" t="inlineStr"/>
      <c r="R714" s="31" t="inlineStr"/>
      <c r="S714" s="19" t="inlineStr"/>
      <c r="T714" s="19" t="inlineStr">
        <is>
          <t>No</t>
        </is>
      </c>
      <c r="U714" s="19" t="inlineStr">
        <is>
          <t>No</t>
        </is>
      </c>
      <c r="V714" s="19" t="inlineStr">
        <is>
          <t>No</t>
        </is>
      </c>
      <c r="W714" s="19" t="inlineStr">
        <is>
          <t>No</t>
        </is>
      </c>
    </row>
    <row r="715">
      <c r="A715" s="19" t="n">
        <v>727149</v>
      </c>
      <c r="B715" s="31" t="n">
        <v>46147</v>
      </c>
      <c r="C715" s="19" t="inlineStr">
        <is>
          <t>DEPARTMENT OF FLEET AND FACILITY MANAGEMENT</t>
        </is>
      </c>
      <c r="D715" s="19" t="inlineStr">
        <is>
          <t>HASTINGS AIR ENERGY CONTROL</t>
        </is>
      </c>
      <c r="E715" s="20" t="inlineStr">
        <is>
          <t>Hastings 1033282 B  JS/ JG/ Invoice # O38604D103/ $71,534.69/ February / Exhaust System Maintenance</t>
        </is>
      </c>
      <c r="F715" s="21" t="n">
        <v>71534.69</v>
      </c>
      <c r="G715" s="19" t="inlineStr">
        <is>
          <t>2. Pending Amendment/Modification - Line Item Addition / Vendor Limit Increase / Scope Change</t>
        </is>
      </c>
      <c r="H715" s="19" t="inlineStr">
        <is>
          <t>A. Specification Development Phase</t>
        </is>
      </c>
      <c r="I715" s="19" t="inlineStr">
        <is>
          <t>APPROVED</t>
        </is>
      </c>
      <c r="J715" s="19" t="inlineStr">
        <is>
          <t>No</t>
        </is>
      </c>
      <c r="K715" s="19" t="inlineStr">
        <is>
          <t>Yes</t>
        </is>
      </c>
      <c r="L715" s="19" t="n">
        <v>112351</v>
      </c>
      <c r="M715" s="19" t="inlineStr">
        <is>
          <t>RX724184</t>
        </is>
      </c>
      <c r="N715" s="19" t="inlineStr">
        <is>
          <t>E</t>
        </is>
      </c>
      <c r="O715" s="20" t="inlineStr">
        <is>
          <t>No linkage found in awarded contract file</t>
        </is>
      </c>
      <c r="P715" s="19" t="inlineStr"/>
      <c r="Q715" s="19" t="inlineStr"/>
      <c r="R715" s="31" t="inlineStr"/>
      <c r="S715" s="19" t="inlineStr"/>
      <c r="T715" s="19" t="inlineStr">
        <is>
          <t>No</t>
        </is>
      </c>
      <c r="U715" s="19" t="inlineStr">
        <is>
          <t>No</t>
        </is>
      </c>
      <c r="V715" s="19" t="inlineStr">
        <is>
          <t>No</t>
        </is>
      </c>
      <c r="W715" s="19" t="inlineStr">
        <is>
          <t>No</t>
        </is>
      </c>
    </row>
    <row r="716">
      <c r="A716" s="19" t="n">
        <v>723807</v>
      </c>
      <c r="B716" s="31" t="n">
        <v>46133</v>
      </c>
      <c r="C716" s="19" t="inlineStr">
        <is>
          <t>DEPARTMENT OF FLEET AND FACILITY MANAGEMENT</t>
        </is>
      </c>
      <c r="D716" s="19" t="inlineStr">
        <is>
          <t>ARLINGTON GLASS &amp; MIRROR</t>
        </is>
      </c>
      <c r="E716" s="20" t="inlineStr">
        <is>
          <t>Arlington Glass 50089341 A  JS/ WA/ Invoice 75142/ $111.54/ Fire Academy - South</t>
        </is>
      </c>
      <c r="F716" s="21" t="n">
        <v>111.54</v>
      </c>
      <c r="G716" s="19" t="inlineStr">
        <is>
          <t>1. Pending New Contract - Original Contract Expired. New Contract in Process</t>
        </is>
      </c>
      <c r="H716" s="19" t="inlineStr">
        <is>
          <t>A. Specification Development Phase</t>
        </is>
      </c>
      <c r="I716" s="19" t="inlineStr">
        <is>
          <t>APPROVED</t>
        </is>
      </c>
      <c r="J716" s="19" t="inlineStr">
        <is>
          <t>Yes</t>
        </is>
      </c>
      <c r="K716" s="19" t="inlineStr">
        <is>
          <t>No</t>
        </is>
      </c>
      <c r="L716" s="19" t="inlineStr"/>
      <c r="M716" s="19" t="inlineStr">
        <is>
          <t>RX647383</t>
        </is>
      </c>
      <c r="N716" s="19" t="inlineStr">
        <is>
          <t>E</t>
        </is>
      </c>
      <c r="O716" s="20" t="inlineStr">
        <is>
          <t>No linkage found in awarded contract file</t>
        </is>
      </c>
      <c r="P716" s="19" t="inlineStr"/>
      <c r="Q716" s="19" t="inlineStr"/>
      <c r="R716" s="31" t="inlineStr"/>
      <c r="S716" s="19" t="inlineStr"/>
      <c r="T716" s="19" t="inlineStr">
        <is>
          <t>No</t>
        </is>
      </c>
      <c r="U716" s="19" t="inlineStr">
        <is>
          <t>No</t>
        </is>
      </c>
      <c r="V716" s="19" t="inlineStr">
        <is>
          <t>No</t>
        </is>
      </c>
      <c r="W716" s="19" t="inlineStr">
        <is>
          <t>Yes</t>
        </is>
      </c>
    </row>
    <row r="717">
      <c r="A717" s="19" t="n">
        <v>730917</v>
      </c>
      <c r="B717" s="31" t="n">
        <v>46161</v>
      </c>
      <c r="C717" s="19" t="inlineStr">
        <is>
          <t>DEPARTMENT OF FLEET AND FACILITY MANAGEMENT</t>
        </is>
      </c>
      <c r="D717" s="19" t="inlineStr">
        <is>
          <t>PRESSURE WASHING SYSTEMS</t>
        </is>
      </c>
      <c r="E717" s="20" t="inlineStr">
        <is>
          <t>Pressure Washing Systems 1064296 B  JS/ FR/ 2-Invoices/ $1,116.00/ DEPT81/ WO 2616057/ EWOOD 2FM</t>
        </is>
      </c>
      <c r="F717" s="21" t="n">
        <v>1116</v>
      </c>
      <c r="G717" s="19" t="inlineStr">
        <is>
          <t>1. Pending New Contract - Original Contract Expired. New Contract in Process</t>
        </is>
      </c>
      <c r="H717" s="19" t="inlineStr">
        <is>
          <t>B. City Law Review</t>
        </is>
      </c>
      <c r="I717" s="19" t="inlineStr">
        <is>
          <t>APPROVED</t>
        </is>
      </c>
      <c r="J717" s="19" t="inlineStr">
        <is>
          <t>Yes</t>
        </is>
      </c>
      <c r="K717" s="19" t="inlineStr">
        <is>
          <t>No</t>
        </is>
      </c>
      <c r="L717" s="19" t="inlineStr"/>
      <c r="M717" s="19" t="inlineStr">
        <is>
          <t>RX717990</t>
        </is>
      </c>
      <c r="N717" s="19" t="inlineStr">
        <is>
          <t>E</t>
        </is>
      </c>
      <c r="O717" s="20" t="inlineStr">
        <is>
          <t>No linkage found in awarded contract file</t>
        </is>
      </c>
      <c r="P717" s="19" t="inlineStr"/>
      <c r="Q717" s="19" t="inlineStr"/>
      <c r="R717" s="31" t="inlineStr"/>
      <c r="S717" s="19" t="inlineStr"/>
      <c r="T717" s="19" t="inlineStr">
        <is>
          <t>No</t>
        </is>
      </c>
      <c r="U717" s="19" t="inlineStr">
        <is>
          <t>No</t>
        </is>
      </c>
      <c r="V717" s="19" t="inlineStr">
        <is>
          <t>No</t>
        </is>
      </c>
      <c r="W717" s="19" t="inlineStr">
        <is>
          <t>Yes</t>
        </is>
      </c>
    </row>
    <row r="718">
      <c r="A718" s="19" t="n">
        <v>726161</v>
      </c>
      <c r="B718" s="31" t="n">
        <v>46164</v>
      </c>
      <c r="C718" s="19" t="inlineStr">
        <is>
          <t>DEPARTMENT OF FLEET AND FACILITY MANAGEMENT</t>
        </is>
      </c>
      <c r="D718" s="19" t="inlineStr">
        <is>
          <t>RAE PRODUCTS &amp; CHEMICALS CORP.</t>
        </is>
      </c>
      <c r="E718" s="20" t="inlineStr">
        <is>
          <t>RAE Products 708377 A JS/ PM/ Invoice # 204945/ $11,277.00</t>
        </is>
      </c>
      <c r="F718" s="21" t="n">
        <v>11277</v>
      </c>
      <c r="G718" s="19" t="inlineStr">
        <is>
          <t>1. Pending New Contract - Original Contract Expired. New Contract in Process</t>
        </is>
      </c>
      <c r="H718" s="19" t="inlineStr">
        <is>
          <t>A. Specification Development Phase</t>
        </is>
      </c>
      <c r="I718" s="19" t="inlineStr">
        <is>
          <t>APPROVED</t>
        </is>
      </c>
      <c r="J718" s="19" t="inlineStr">
        <is>
          <t>Yes</t>
        </is>
      </c>
      <c r="K718" s="19" t="inlineStr">
        <is>
          <t>No</t>
        </is>
      </c>
      <c r="L718" s="19" t="inlineStr">
        <is>
          <t>TBD</t>
        </is>
      </c>
      <c r="M718" s="19" t="inlineStr">
        <is>
          <t>RX724825</t>
        </is>
      </c>
      <c r="N718" s="19" t="inlineStr">
        <is>
          <t>E</t>
        </is>
      </c>
      <c r="O718" s="20" t="inlineStr">
        <is>
          <t>No linkage found in awarded contract file</t>
        </is>
      </c>
      <c r="P718" s="19" t="inlineStr"/>
      <c r="Q718" s="19" t="inlineStr"/>
      <c r="R718" s="31" t="inlineStr"/>
      <c r="S718" s="19" t="inlineStr"/>
      <c r="T718" s="19" t="inlineStr">
        <is>
          <t>No</t>
        </is>
      </c>
      <c r="U718" s="19" t="inlineStr">
        <is>
          <t>No</t>
        </is>
      </c>
      <c r="V718" s="19" t="inlineStr">
        <is>
          <t>No</t>
        </is>
      </c>
      <c r="W718" s="19" t="inlineStr">
        <is>
          <t>Yes</t>
        </is>
      </c>
    </row>
    <row r="719">
      <c r="A719" s="19" t="n">
        <v>726304</v>
      </c>
      <c r="B719" s="31" t="n">
        <v>46146</v>
      </c>
      <c r="C719" s="19" t="inlineStr">
        <is>
          <t>DEPARTMENT OF FLEET AND FACILITY MANAGEMENT</t>
        </is>
      </c>
      <c r="D719" s="19" t="inlineStr">
        <is>
          <t>MURNANE PAPER COMPANY</t>
        </is>
      </c>
      <c r="E719" s="20" t="inlineStr">
        <is>
          <t>Murnane Paper 57163729 A  JS/ JM/ Invoice No. 232318/ $21,720.00/</t>
        </is>
      </c>
      <c r="F719" s="21" t="n">
        <v>21720</v>
      </c>
      <c r="G719" s="19" t="inlineStr">
        <is>
          <t>1. Pending New Contract - Original Contract Expired. New Contract in Process</t>
        </is>
      </c>
      <c r="H719" s="19" t="inlineStr">
        <is>
          <t>A. Specification Development Phase</t>
        </is>
      </c>
      <c r="I719" s="19" t="inlineStr">
        <is>
          <t>APPROVED</t>
        </is>
      </c>
      <c r="J719" s="19" t="inlineStr">
        <is>
          <t>No</t>
        </is>
      </c>
      <c r="K719" s="19" t="inlineStr">
        <is>
          <t>No</t>
        </is>
      </c>
      <c r="L719" s="19" t="inlineStr"/>
      <c r="M719" s="19" t="inlineStr">
        <is>
          <t>RX600854</t>
        </is>
      </c>
      <c r="N719" s="19" t="inlineStr">
        <is>
          <t>E</t>
        </is>
      </c>
      <c r="O719" s="20" t="inlineStr">
        <is>
          <t>No linkage found in awarded contract file</t>
        </is>
      </c>
      <c r="P719" s="19" t="inlineStr"/>
      <c r="Q719" s="19" t="inlineStr"/>
      <c r="R719" s="31" t="inlineStr"/>
      <c r="S719" s="19" t="inlineStr"/>
      <c r="T719" s="19" t="inlineStr">
        <is>
          <t>No</t>
        </is>
      </c>
      <c r="U719" s="19" t="inlineStr">
        <is>
          <t>No</t>
        </is>
      </c>
      <c r="V719" s="19" t="inlineStr">
        <is>
          <t>No</t>
        </is>
      </c>
      <c r="W719" s="19" t="inlineStr">
        <is>
          <t>No</t>
        </is>
      </c>
    </row>
    <row r="720">
      <c r="A720" s="19" t="n">
        <v>718031</v>
      </c>
      <c r="B720" s="31" t="n">
        <v>46087</v>
      </c>
      <c r="C720" s="19" t="inlineStr">
        <is>
          <t>DEPARTMENT OF WATER MANAGEMENT</t>
        </is>
      </c>
      <c r="D720" s="19" t="inlineStr">
        <is>
          <t>Service Sanitation Inc.</t>
        </is>
      </c>
      <c r="E720" s="20" t="inlineStr">
        <is>
          <t>A REQ#700212 HAS SUBMITED TO DPS FOR 181-DAY EXTENSION AND IS PENDING DOCUSIGN APPROVAL AS OF 2/9/26. A NEW CONTRACT IS IN PROCESS UNDER REQ#613315 WHICH WAS SUBMITED TO DPS 8/4/24  AND HAS BEEN ADVERTISED AND SUBMITTED BID IS BEING CHECKED</t>
        </is>
      </c>
      <c r="F720" s="21" t="n">
        <v>6325</v>
      </c>
      <c r="G720" s="19" t="inlineStr">
        <is>
          <t>1. Pending New Contract - Original Contract Expired. New Contract in Process</t>
        </is>
      </c>
      <c r="H720" s="19" t="inlineStr">
        <is>
          <t>H. One Time Purchase</t>
        </is>
      </c>
      <c r="I720" s="19" t="inlineStr">
        <is>
          <t>APPROVED</t>
        </is>
      </c>
      <c r="J720" s="19" t="inlineStr">
        <is>
          <t>Yes</t>
        </is>
      </c>
      <c r="K720" s="19" t="inlineStr">
        <is>
          <t>Yes</t>
        </is>
      </c>
      <c r="L720" s="19" t="n">
        <v>700212</v>
      </c>
      <c r="M720" s="19" t="inlineStr">
        <is>
          <t>RX700212</t>
        </is>
      </c>
      <c r="N720" s="19" t="inlineStr">
        <is>
          <t>C</t>
        </is>
      </c>
      <c r="O720" s="20" t="inlineStr">
        <is>
          <t>Vendor name match only (similarity 0.00)</t>
        </is>
      </c>
      <c r="P720" s="19" t="inlineStr">
        <is>
          <t>381051</t>
        </is>
      </c>
      <c r="Q720" s="19" t="inlineStr">
        <is>
          <t>Service Sanitation Inc.</t>
        </is>
      </c>
      <c r="R720" s="31" t="n">
        <v>46203</v>
      </c>
      <c r="S720" s="19" t="inlineStr">
        <is>
          <t>BID</t>
        </is>
      </c>
      <c r="T720" s="19" t="inlineStr">
        <is>
          <t>Yes</t>
        </is>
      </c>
      <c r="U720" s="19" t="inlineStr">
        <is>
          <t>No</t>
        </is>
      </c>
      <c r="V720" s="19" t="inlineStr">
        <is>
          <t>No</t>
        </is>
      </c>
      <c r="W720" s="19" t="inlineStr">
        <is>
          <t>Yes</t>
        </is>
      </c>
    </row>
    <row r="721">
      <c r="A721" s="19" t="n">
        <v>714112</v>
      </c>
      <c r="B721" s="31" t="n">
        <v>46077</v>
      </c>
      <c r="C721" s="19" t="inlineStr">
        <is>
          <t>DEPARTMENT OF WATER MANAGEMENT</t>
        </is>
      </c>
      <c r="D721" s="19" t="inlineStr">
        <is>
          <t>Service Sanitation Inc.</t>
        </is>
      </c>
      <c r="E721" s="20" t="inlineStr">
        <is>
          <t>THIS SERVICE SANITATION ORDER NEEDED A NEW CONTRACT FOR THE PREVIOUS ONE HAS EXPIRED AND HAD BEEN WAITING FOR A RESPONSE FROM COMPLIANCE AND DPS LEGAL TO GET APPROVAL FOR A 181 -DAY TIME.</t>
        </is>
      </c>
      <c r="F721" s="21" t="n">
        <v>6325</v>
      </c>
      <c r="G721" s="19" t="inlineStr">
        <is>
          <t>1. Pending New Contract - Original Contract Expired. New Contract in Process</t>
        </is>
      </c>
      <c r="H721" s="19" t="inlineStr">
        <is>
          <t>H. One Time Purchase</t>
        </is>
      </c>
      <c r="I721" s="19" t="inlineStr">
        <is>
          <t>APPROVED</t>
        </is>
      </c>
      <c r="J721" s="19" t="inlineStr">
        <is>
          <t>Yes</t>
        </is>
      </c>
      <c r="K721" s="19" t="inlineStr">
        <is>
          <t>Yes</t>
        </is>
      </c>
      <c r="L721" s="19" t="n">
        <v>613315</v>
      </c>
      <c r="M721" s="19" t="inlineStr">
        <is>
          <t>RX700212</t>
        </is>
      </c>
      <c r="N721" s="19" t="inlineStr">
        <is>
          <t>C</t>
        </is>
      </c>
      <c r="O721" s="20" t="inlineStr">
        <is>
          <t>Vendor name match only (similarity 0.00)</t>
        </is>
      </c>
      <c r="P721" s="19" t="inlineStr">
        <is>
          <t>381051</t>
        </is>
      </c>
      <c r="Q721" s="19" t="inlineStr">
        <is>
          <t>Service Sanitation Inc.</t>
        </is>
      </c>
      <c r="R721" s="31" t="n">
        <v>46203</v>
      </c>
      <c r="S721" s="19" t="inlineStr">
        <is>
          <t>BID</t>
        </is>
      </c>
      <c r="T721" s="19" t="inlineStr">
        <is>
          <t>Yes</t>
        </is>
      </c>
      <c r="U721" s="19" t="inlineStr">
        <is>
          <t>No</t>
        </is>
      </c>
      <c r="V721" s="19" t="inlineStr">
        <is>
          <t>No</t>
        </is>
      </c>
      <c r="W721" s="19" t="inlineStr">
        <is>
          <t>Yes</t>
        </is>
      </c>
    </row>
    <row r="722">
      <c r="A722" s="19" t="n">
        <v>735049</v>
      </c>
      <c r="B722" s="31" t="n">
        <v>46183</v>
      </c>
      <c r="C722" s="19" t="inlineStr">
        <is>
          <t>CHICAGO DEPARTMENT OF AVIATION</t>
        </is>
      </c>
      <c r="D722" s="19" t="inlineStr">
        <is>
          <t>ARLINGTON GLASS &amp; MIRROR</t>
        </is>
      </c>
      <c r="E722" s="20" t="inlineStr">
        <is>
          <t>The Glass and Glazier contract expired in 2024 and contractor declined time extension.  A new solicitation RFQ 60196 had bid opening on February 25, 2026 and bids are under DPS review.  Glass repair service needs to continue to keep Termina</t>
        </is>
      </c>
      <c r="F722" s="21" t="n">
        <v>143722.22</v>
      </c>
      <c r="G722" s="19" t="inlineStr">
        <is>
          <t>1. Pending New Contract - Original Contract Expired. New Contract in Process</t>
        </is>
      </c>
      <c r="H722" s="19" t="inlineStr">
        <is>
          <t>D. Solicitation Response Under Evaluation</t>
        </is>
      </c>
      <c r="I722" s="19" t="inlineStr">
        <is>
          <t>APPROVED</t>
        </is>
      </c>
      <c r="J722" s="19" t="inlineStr">
        <is>
          <t>Yes</t>
        </is>
      </c>
      <c r="K722" s="19" t="inlineStr">
        <is>
          <t>No</t>
        </is>
      </c>
      <c r="L722" s="19" t="inlineStr">
        <is>
          <t>NO</t>
        </is>
      </c>
      <c r="M722" s="19" t="inlineStr">
        <is>
          <t>VDARLINGTON GLASS MIRROR</t>
        </is>
      </c>
      <c r="N722" s="19" t="inlineStr">
        <is>
          <t>E</t>
        </is>
      </c>
      <c r="O722" s="20" t="inlineStr">
        <is>
          <t>No linkage found in awarded contract file</t>
        </is>
      </c>
      <c r="P722" s="19" t="inlineStr"/>
      <c r="Q722" s="19" t="inlineStr"/>
      <c r="R722" s="31" t="inlineStr"/>
      <c r="S722" s="19" t="inlineStr"/>
      <c r="T722" s="19" t="inlineStr">
        <is>
          <t>No</t>
        </is>
      </c>
      <c r="U722" s="19" t="inlineStr">
        <is>
          <t>No</t>
        </is>
      </c>
      <c r="V722" s="19" t="inlineStr">
        <is>
          <t>No</t>
        </is>
      </c>
      <c r="W722" s="19" t="inlineStr">
        <is>
          <t>Yes</t>
        </is>
      </c>
    </row>
    <row r="723">
      <c r="A723" s="19" t="n">
        <v>740362</v>
      </c>
      <c r="B723" s="31" t="n">
        <v>46217</v>
      </c>
      <c r="C723" s="19" t="inlineStr">
        <is>
          <t>CHICAGO POLICE DEPARTMENT</t>
        </is>
      </c>
      <c r="D723" s="19" t="inlineStr">
        <is>
          <t xml:space="preserve">REPUBLIC SERVICES INC </t>
        </is>
      </c>
      <c r="E723" s="20" t="inlineStr">
        <is>
          <t>Republic Services Inv# 0710-005882530</t>
        </is>
      </c>
      <c r="F723" s="21" t="n">
        <v>4806.67</v>
      </c>
      <c r="G723" s="19" t="inlineStr">
        <is>
          <t>1. Pending New Contract - Original Contract Expired. New Contract in Process</t>
        </is>
      </c>
      <c r="H723" s="19" t="inlineStr">
        <is>
          <t>A. Specification Development Phase</t>
        </is>
      </c>
      <c r="I723" s="19" t="inlineStr">
        <is>
          <t>APPROVED</t>
        </is>
      </c>
      <c r="J723" s="19" t="inlineStr">
        <is>
          <t>Yes</t>
        </is>
      </c>
      <c r="K723" s="19" t="inlineStr">
        <is>
          <t>No</t>
        </is>
      </c>
      <c r="L723" s="19" t="inlineStr"/>
      <c r="M723" s="19" t="inlineStr">
        <is>
          <t>RX669739</t>
        </is>
      </c>
      <c r="N723" s="19" t="inlineStr">
        <is>
          <t>E</t>
        </is>
      </c>
      <c r="O723" s="20" t="inlineStr">
        <is>
          <t>No linkage found in awarded contract file</t>
        </is>
      </c>
      <c r="P723" s="19" t="inlineStr"/>
      <c r="Q723" s="19" t="inlineStr"/>
      <c r="R723" s="31" t="inlineStr"/>
      <c r="S723" s="19" t="inlineStr"/>
      <c r="T723" s="19" t="inlineStr">
        <is>
          <t>No</t>
        </is>
      </c>
      <c r="U723" s="19" t="inlineStr">
        <is>
          <t>No</t>
        </is>
      </c>
      <c r="V723" s="19" t="inlineStr">
        <is>
          <t>No</t>
        </is>
      </c>
      <c r="W723" s="19" t="inlineStr">
        <is>
          <t>Yes</t>
        </is>
      </c>
    </row>
    <row r="724">
      <c r="A724" s="19" t="n">
        <v>717423</v>
      </c>
      <c r="B724" s="31" t="n">
        <v>46085</v>
      </c>
      <c r="C724" s="19" t="inlineStr">
        <is>
          <t>CHICAGO POLICE DEPARTMENT</t>
        </is>
      </c>
      <c r="D724" s="19" t="inlineStr">
        <is>
          <t xml:space="preserve">REPUBLIC SERVICES INC </t>
        </is>
      </c>
      <c r="E724" s="20" t="inlineStr">
        <is>
          <t>Republic Services Inv# 0710-005818787</t>
        </is>
      </c>
      <c r="F724" s="21" t="n">
        <v>4154.84</v>
      </c>
      <c r="G724" s="19" t="inlineStr">
        <is>
          <t>1. Pending New Contract - Original Contract Expired. New Contract in Process</t>
        </is>
      </c>
      <c r="H724" s="19" t="inlineStr">
        <is>
          <t>A. Specification Development Phase</t>
        </is>
      </c>
      <c r="I724" s="19" t="inlineStr">
        <is>
          <t>APPROVED</t>
        </is>
      </c>
      <c r="J724" s="19" t="inlineStr">
        <is>
          <t>Yes</t>
        </is>
      </c>
      <c r="K724" s="19" t="inlineStr">
        <is>
          <t>No</t>
        </is>
      </c>
      <c r="L724" s="19" t="inlineStr"/>
      <c r="M724" s="19" t="inlineStr">
        <is>
          <t>RX669739</t>
        </is>
      </c>
      <c r="N724" s="19" t="inlineStr">
        <is>
          <t>E</t>
        </is>
      </c>
      <c r="O724" s="20" t="inlineStr">
        <is>
          <t>No linkage found in awarded contract file</t>
        </is>
      </c>
      <c r="P724" s="19" t="inlineStr"/>
      <c r="Q724" s="19" t="inlineStr"/>
      <c r="R724" s="31" t="inlineStr"/>
      <c r="S724" s="19" t="inlineStr"/>
      <c r="T724" s="19" t="inlineStr">
        <is>
          <t>No</t>
        </is>
      </c>
      <c r="U724" s="19" t="inlineStr">
        <is>
          <t>No</t>
        </is>
      </c>
      <c r="V724" s="19" t="inlineStr">
        <is>
          <t>No</t>
        </is>
      </c>
      <c r="W724" s="19" t="inlineStr">
        <is>
          <t>Yes</t>
        </is>
      </c>
    </row>
    <row r="725">
      <c r="A725" s="19" t="n">
        <v>737650</v>
      </c>
      <c r="B725" s="31" t="n">
        <v>46220</v>
      </c>
      <c r="C725" s="19" t="inlineStr">
        <is>
          <t>DEPARTMENT OF PLANNING AND DEVELOPMENT</t>
        </is>
      </c>
      <c r="D725" s="19" t="inlineStr">
        <is>
          <t>GREATER ILLINOIS TITLE CO. INC.</t>
        </is>
      </c>
      <c r="E725" s="20" t="inlineStr">
        <is>
          <t>Greater Illinois Title Company Invoices from Mar 2026 to May 2026</t>
        </is>
      </c>
      <c r="F725" s="21" t="n">
        <v>7400</v>
      </c>
      <c r="G725" s="19" t="inlineStr"/>
      <c r="H725" s="19" t="inlineStr"/>
      <c r="I725" s="19" t="inlineStr">
        <is>
          <t>APPROVED</t>
        </is>
      </c>
      <c r="J725" s="19" t="inlineStr"/>
      <c r="K725" s="19" t="inlineStr">
        <is>
          <t>No</t>
        </is>
      </c>
      <c r="L725" s="19" t="inlineStr"/>
      <c r="M725" s="19" t="inlineStr">
        <is>
          <t>VDGREATER ILLINOIS TITLE</t>
        </is>
      </c>
      <c r="N725" s="19" t="inlineStr">
        <is>
          <t>E</t>
        </is>
      </c>
      <c r="O725" s="20" t="inlineStr">
        <is>
          <t>No linkage found in awarded contract file</t>
        </is>
      </c>
      <c r="P725" s="19" t="inlineStr"/>
      <c r="Q725" s="19" t="inlineStr"/>
      <c r="R725" s="31" t="inlineStr"/>
      <c r="S725" s="19" t="inlineStr"/>
      <c r="T725" s="19" t="inlineStr">
        <is>
          <t>No</t>
        </is>
      </c>
      <c r="U725" s="19" t="inlineStr">
        <is>
          <t>No</t>
        </is>
      </c>
      <c r="V725" s="19" t="inlineStr">
        <is>
          <t>No</t>
        </is>
      </c>
      <c r="W725" s="19" t="inlineStr">
        <is>
          <t>No</t>
        </is>
      </c>
    </row>
    <row r="726">
      <c r="A726" s="19" t="n">
        <v>739038</v>
      </c>
      <c r="B726" s="31" t="n">
        <v>46209</v>
      </c>
      <c r="C726" s="19" t="inlineStr">
        <is>
          <t>DEPARTMENT OF FLEET AND FACILITY MANAGEMENT</t>
        </is>
      </c>
      <c r="D726" s="19" t="inlineStr">
        <is>
          <t>DIVERSE FACILITY SOLUTION INC.</t>
        </is>
      </c>
      <c r="E726" s="20" t="inlineStr">
        <is>
          <t>DFS / JK/ VJ/ INV# 16505/16502/16504/16503/16411/ $64,618.40</t>
        </is>
      </c>
      <c r="F726" s="21" t="n">
        <v>64618.4</v>
      </c>
      <c r="G726" s="19" t="inlineStr">
        <is>
          <t>1. Pending New Contract - Original Contract Expired. New Contract in Process</t>
        </is>
      </c>
      <c r="H726" s="19" t="inlineStr">
        <is>
          <t>A. Specification Development Phase</t>
        </is>
      </c>
      <c r="I726" s="19" t="inlineStr">
        <is>
          <t>APPROVED</t>
        </is>
      </c>
      <c r="J726" s="19" t="inlineStr">
        <is>
          <t>Yes</t>
        </is>
      </c>
      <c r="K726" s="19" t="inlineStr">
        <is>
          <t>No</t>
        </is>
      </c>
      <c r="L726" s="19" t="inlineStr"/>
      <c r="M726" s="19" t="inlineStr">
        <is>
          <t>RX624331</t>
        </is>
      </c>
      <c r="N726" s="19" t="inlineStr">
        <is>
          <t>E</t>
        </is>
      </c>
      <c r="O726" s="20" t="inlineStr">
        <is>
          <t>No linkage found in awarded contract file</t>
        </is>
      </c>
      <c r="P726" s="19" t="inlineStr"/>
      <c r="Q726" s="19" t="inlineStr"/>
      <c r="R726" s="31" t="inlineStr"/>
      <c r="S726" s="19" t="inlineStr"/>
      <c r="T726" s="19" t="inlineStr">
        <is>
          <t>No</t>
        </is>
      </c>
      <c r="U726" s="19" t="inlineStr">
        <is>
          <t>No</t>
        </is>
      </c>
      <c r="V726" s="19" t="inlineStr">
        <is>
          <t>No</t>
        </is>
      </c>
      <c r="W726" s="19" t="inlineStr">
        <is>
          <t>Yes</t>
        </is>
      </c>
    </row>
    <row r="727">
      <c r="A727" s="19" t="n">
        <v>743020</v>
      </c>
      <c r="B727" s="31" t="n">
        <v>46231</v>
      </c>
      <c r="C727" s="19" t="inlineStr">
        <is>
          <t>DEPARTMENT OF FLEET AND FACILITY MANAGEMENT</t>
        </is>
      </c>
      <c r="D727" s="19" t="inlineStr">
        <is>
          <t>MONROE TRUCK EQUIPMENT</t>
        </is>
      </c>
      <c r="E727" s="20" t="inlineStr">
        <is>
          <t>JK /CA /7-invoices /$178,947.06 /AVS594/ WO2563629</t>
        </is>
      </c>
      <c r="F727" s="21" t="n">
        <v>178947.06</v>
      </c>
      <c r="G727" s="19" t="inlineStr">
        <is>
          <t>1. Pending New Contract - Original Contract Expired. New Contract in Process</t>
        </is>
      </c>
      <c r="H727" s="19" t="inlineStr">
        <is>
          <t>B. City Law Review</t>
        </is>
      </c>
      <c r="I727" s="19" t="inlineStr">
        <is>
          <t>APPROVED</t>
        </is>
      </c>
      <c r="J727" s="19" t="inlineStr">
        <is>
          <t>Yes</t>
        </is>
      </c>
      <c r="K727" s="19" t="inlineStr">
        <is>
          <t>No</t>
        </is>
      </c>
      <c r="L727" s="19" t="inlineStr"/>
      <c r="M727" s="19" t="inlineStr">
        <is>
          <t>RX590958</t>
        </is>
      </c>
      <c r="N727" s="19" t="inlineStr">
        <is>
          <t>E</t>
        </is>
      </c>
      <c r="O727" s="20" t="inlineStr">
        <is>
          <t>No linkage found in awarded contract file</t>
        </is>
      </c>
      <c r="P727" s="19" t="inlineStr"/>
      <c r="Q727" s="19" t="inlineStr"/>
      <c r="R727" s="31" t="inlineStr"/>
      <c r="S727" s="19" t="inlineStr"/>
      <c r="T727" s="19" t="inlineStr">
        <is>
          <t>No</t>
        </is>
      </c>
      <c r="U727" s="19" t="inlineStr">
        <is>
          <t>No</t>
        </is>
      </c>
      <c r="V727" s="19" t="inlineStr">
        <is>
          <t>No</t>
        </is>
      </c>
      <c r="W727" s="19" t="inlineStr">
        <is>
          <t>Yes</t>
        </is>
      </c>
    </row>
    <row r="728">
      <c r="A728" s="19" t="n">
        <v>741748</v>
      </c>
      <c r="B728" s="31" t="n">
        <v>46223</v>
      </c>
      <c r="C728" s="19" t="inlineStr">
        <is>
          <t>DEPARTMENT OF FLEET AND FACILITY MANAGEMENT</t>
        </is>
      </c>
      <c r="D728" s="19" t="inlineStr">
        <is>
          <t>ARLINGTON GLASS &amp; MIRROR</t>
        </is>
      </c>
      <c r="E728" s="20" t="inlineStr">
        <is>
          <t>Arlington Glass/ JK/ WA/ 8-Invoices/ $38,605.00</t>
        </is>
      </c>
      <c r="F728" s="21" t="n">
        <v>38605</v>
      </c>
      <c r="G728" s="19" t="inlineStr">
        <is>
          <t>1. Pending New Contract - Original Contract Expired. New Contract in Process</t>
        </is>
      </c>
      <c r="H728" s="19" t="inlineStr">
        <is>
          <t>A. Specification Development Phase</t>
        </is>
      </c>
      <c r="I728" s="19" t="inlineStr">
        <is>
          <t>APPROVED</t>
        </is>
      </c>
      <c r="J728" s="19" t="inlineStr">
        <is>
          <t>Yes</t>
        </is>
      </c>
      <c r="K728" s="19" t="inlineStr">
        <is>
          <t>No</t>
        </is>
      </c>
      <c r="L728" s="19" t="inlineStr"/>
      <c r="M728" s="19" t="inlineStr">
        <is>
          <t>RX647383</t>
        </is>
      </c>
      <c r="N728" s="19" t="inlineStr">
        <is>
          <t>E</t>
        </is>
      </c>
      <c r="O728" s="20" t="inlineStr">
        <is>
          <t>No linkage found in awarded contract file</t>
        </is>
      </c>
      <c r="P728" s="19" t="inlineStr"/>
      <c r="Q728" s="19" t="inlineStr"/>
      <c r="R728" s="31" t="inlineStr"/>
      <c r="S728" s="19" t="inlineStr"/>
      <c r="T728" s="19" t="inlineStr">
        <is>
          <t>No</t>
        </is>
      </c>
      <c r="U728" s="19" t="inlineStr">
        <is>
          <t>No</t>
        </is>
      </c>
      <c r="V728" s="19" t="inlineStr">
        <is>
          <t>No</t>
        </is>
      </c>
      <c r="W728" s="19" t="inlineStr">
        <is>
          <t>Yes</t>
        </is>
      </c>
    </row>
    <row r="729">
      <c r="A729" s="19" t="n">
        <v>709592</v>
      </c>
      <c r="B729" s="31" t="n">
        <v>46044</v>
      </c>
      <c r="C729" s="19" t="inlineStr">
        <is>
          <t>CHICAGO DEPARTMENT OF PUBLIC HEALTH</t>
        </is>
      </c>
      <c r="D729" s="19" t="inlineStr">
        <is>
          <t>LUSE ENVIRONMENTAL SERVICES, INC.</t>
        </is>
      </c>
      <c r="E729" s="20" t="inlineStr">
        <is>
          <t>ENVIRONMENTAL SERVICES</t>
        </is>
      </c>
      <c r="F729" s="21" t="n">
        <v>370.7</v>
      </c>
      <c r="G729" s="19" t="inlineStr">
        <is>
          <t>2. Pending Amendment/Modification - Line Item Addition / Vendor Limit Increase / Scope Change</t>
        </is>
      </c>
      <c r="H729" s="19" t="inlineStr">
        <is>
          <t>G. Not Applicable (Office Depot use Only)</t>
        </is>
      </c>
      <c r="I729" s="19" t="inlineStr"/>
      <c r="J729" s="19" t="inlineStr">
        <is>
          <t>No</t>
        </is>
      </c>
      <c r="K729" s="19" t="inlineStr">
        <is>
          <t>No</t>
        </is>
      </c>
      <c r="L729" s="19" t="inlineStr">
        <is>
          <t>na</t>
        </is>
      </c>
      <c r="M729" s="19" t="inlineStr">
        <is>
          <t>VDLUSE ENVIRONMENTAL</t>
        </is>
      </c>
      <c r="N729" s="19" t="inlineStr">
        <is>
          <t>E</t>
        </is>
      </c>
      <c r="O729" s="20" t="inlineStr">
        <is>
          <t>No linkage found in awarded contract file</t>
        </is>
      </c>
      <c r="P729" s="19" t="inlineStr"/>
      <c r="Q729" s="19" t="inlineStr"/>
      <c r="R729" s="31" t="inlineStr"/>
      <c r="S729" s="19" t="inlineStr"/>
      <c r="T729" s="19" t="inlineStr">
        <is>
          <t>No</t>
        </is>
      </c>
      <c r="U729" s="19" t="inlineStr">
        <is>
          <t>No</t>
        </is>
      </c>
      <c r="V729" s="19" t="inlineStr">
        <is>
          <t>No</t>
        </is>
      </c>
      <c r="W729" s="19" t="inlineStr">
        <is>
          <t>No</t>
        </is>
      </c>
    </row>
    <row r="730">
      <c r="A730" s="19" t="n">
        <v>722262</v>
      </c>
      <c r="B730" s="31" t="n">
        <v>46118</v>
      </c>
      <c r="C730" s="19" t="inlineStr">
        <is>
          <t>CHICAGO FIRE DEPARTMENT</t>
        </is>
      </c>
      <c r="D730" s="19" t="inlineStr">
        <is>
          <t>ACORN GARAGE INC</t>
        </is>
      </c>
      <c r="E730" s="20" t="inlineStr">
        <is>
          <t>State Required Safety Lane Inspections for Public Safety Vehicles</t>
        </is>
      </c>
      <c r="F730" s="21" t="n">
        <v>2262</v>
      </c>
      <c r="G730" s="19" t="inlineStr">
        <is>
          <t>1. Pending New Contract - Original Contract Expired. New Contract in Process</t>
        </is>
      </c>
      <c r="H730" s="19" t="inlineStr">
        <is>
          <t>A. Specification Development Phase</t>
        </is>
      </c>
      <c r="I730" s="19" t="inlineStr">
        <is>
          <t>APPROVED</t>
        </is>
      </c>
      <c r="J730" s="19" t="inlineStr">
        <is>
          <t>Yes</t>
        </is>
      </c>
      <c r="K730" s="19" t="inlineStr">
        <is>
          <t>No</t>
        </is>
      </c>
      <c r="L730" s="19" t="inlineStr"/>
      <c r="M730" s="19" t="inlineStr">
        <is>
          <t>RX636139</t>
        </is>
      </c>
      <c r="N730" s="19" t="inlineStr">
        <is>
          <t>E</t>
        </is>
      </c>
      <c r="O730" s="20" t="inlineStr">
        <is>
          <t>No linkage found in awarded contract file</t>
        </is>
      </c>
      <c r="P730" s="19" t="inlineStr"/>
      <c r="Q730" s="19" t="inlineStr"/>
      <c r="R730" s="31" t="inlineStr"/>
      <c r="S730" s="19" t="inlineStr"/>
      <c r="T730" s="19" t="inlineStr">
        <is>
          <t>No</t>
        </is>
      </c>
      <c r="U730" s="19" t="inlineStr">
        <is>
          <t>No</t>
        </is>
      </c>
      <c r="V730" s="19" t="inlineStr">
        <is>
          <t>No</t>
        </is>
      </c>
      <c r="W730" s="19" t="inlineStr">
        <is>
          <t>Yes</t>
        </is>
      </c>
    </row>
    <row r="731">
      <c r="A731" s="19" t="n">
        <v>710359</v>
      </c>
      <c r="B731" s="31" t="n">
        <v>46048</v>
      </c>
      <c r="C731" s="19" t="inlineStr">
        <is>
          <t>CHICAGO FIRE DEPARTMENT</t>
        </is>
      </c>
      <c r="D731" s="19" t="inlineStr">
        <is>
          <t>ACORN GARAGE INC</t>
        </is>
      </c>
      <c r="E731" s="20" t="inlineStr">
        <is>
          <t>State Required Safety Lane Inspections for Public Safety Vehicles</t>
        </is>
      </c>
      <c r="F731" s="21" t="n">
        <v>624</v>
      </c>
      <c r="G731" s="19" t="inlineStr">
        <is>
          <t>1. Pending New Contract - Original Contract Expired. New Contract in Process</t>
        </is>
      </c>
      <c r="H731" s="19" t="inlineStr">
        <is>
          <t>A. Specification Development Phase</t>
        </is>
      </c>
      <c r="I731" s="19" t="inlineStr">
        <is>
          <t>APPROVED</t>
        </is>
      </c>
      <c r="J731" s="19" t="inlineStr">
        <is>
          <t>Yes</t>
        </is>
      </c>
      <c r="K731" s="19" t="inlineStr">
        <is>
          <t>No</t>
        </is>
      </c>
      <c r="L731" s="19" t="inlineStr"/>
      <c r="M731" s="19" t="inlineStr">
        <is>
          <t>RX636139</t>
        </is>
      </c>
      <c r="N731" s="19" t="inlineStr">
        <is>
          <t>E</t>
        </is>
      </c>
      <c r="O731" s="20" t="inlineStr">
        <is>
          <t>No linkage found in awarded contract file</t>
        </is>
      </c>
      <c r="P731" s="19" t="inlineStr"/>
      <c r="Q731" s="19" t="inlineStr"/>
      <c r="R731" s="31" t="inlineStr"/>
      <c r="S731" s="19" t="inlineStr"/>
      <c r="T731" s="19" t="inlineStr">
        <is>
          <t>No</t>
        </is>
      </c>
      <c r="U731" s="19" t="inlineStr">
        <is>
          <t>No</t>
        </is>
      </c>
      <c r="V731" s="19" t="inlineStr">
        <is>
          <t>No</t>
        </is>
      </c>
      <c r="W731" s="19" t="inlineStr">
        <is>
          <t>Yes</t>
        </is>
      </c>
    </row>
  </sheetData>
  <autoFilter ref="A1:W7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1" customWidth="1" min="4" max="4"/>
    <col width="58" customWidth="1" min="5" max="5"/>
    <col width="34" customWidth="1" min="6" max="6"/>
    <col width="34" customWidth="1" min="7" max="7"/>
    <col width="26" customWidth="1" min="8" max="8"/>
    <col width="13" customWidth="1" min="9" max="9"/>
    <col width="12" customWidth="1" min="10" max="10"/>
    <col width="16" customWidth="1" min="11" max="11"/>
    <col width="22" customWidth="1" min="12" max="12"/>
    <col width="12" customWidth="1" min="13" max="13"/>
    <col width="34" customWidth="1" min="14" max="14"/>
    <col width="12" customWidth="1" min="15" max="15"/>
    <col width="22" customWidth="1" min="16" max="16"/>
    <col width="13" customWidth="1" min="17" max="17"/>
  </cols>
  <sheetData>
    <row r="1" ht="30" customHeight="1">
      <c r="A1" s="6" t="inlineStr">
        <is>
          <t>Contract ID</t>
        </is>
      </c>
      <c r="B1" s="6" t="inlineStr">
        <is>
          <t>PO</t>
        </is>
      </c>
      <c r="C1" s="6" t="inlineStr">
        <is>
          <t>Requisition</t>
        </is>
      </c>
      <c r="D1" s="6" t="inlineStr">
        <is>
          <t>Spec</t>
        </is>
      </c>
      <c r="E1" s="6" t="inlineStr">
        <is>
          <t>Description</t>
        </is>
      </c>
      <c r="F1" s="6" t="inlineStr">
        <is>
          <t>Vendor</t>
        </is>
      </c>
      <c r="G1" s="6" t="inlineStr">
        <is>
          <t>Department</t>
        </is>
      </c>
      <c r="H1" s="6" t="inlineStr">
        <is>
          <t>Unit</t>
        </is>
      </c>
      <c r="I1" s="6" t="inlineStr">
        <is>
          <t>Award Date</t>
        </is>
      </c>
      <c r="J1" s="6" t="inlineStr">
        <is>
          <t>Start Date</t>
        </is>
      </c>
      <c r="K1" s="6" t="inlineStr">
        <is>
          <t>Award Amount</t>
        </is>
      </c>
      <c r="L1" s="6" t="inlineStr">
        <is>
          <t>Procurement Type</t>
        </is>
      </c>
      <c r="M1" s="6" t="inlineStr">
        <is>
          <t>Competitive</t>
        </is>
      </c>
      <c r="N1" s="6" t="inlineStr">
        <is>
          <t>Contract Type</t>
        </is>
      </c>
      <c r="O1" s="6" t="inlineStr">
        <is>
          <t>Type</t>
        </is>
      </c>
      <c r="P1" s="6" t="inlineStr">
        <is>
          <t>Buyer</t>
        </is>
      </c>
      <c r="Q1" s="6" t="inlineStr">
        <is>
          <t>Days to Award</t>
        </is>
      </c>
    </row>
    <row r="2">
      <c r="A2" s="19" t="n">
        <v>358966</v>
      </c>
      <c r="B2" s="19" t="n">
        <v>311043</v>
      </c>
      <c r="C2" s="19" t="n">
        <v>305813</v>
      </c>
      <c r="D2" s="19" t="n">
        <v>1191270</v>
      </c>
      <c r="E2" s="20" t="inlineStr">
        <is>
          <t>Radio Communications Equipment and Compatibility for Parts, Repairs, Software, Installation Services and Accessories</t>
        </is>
      </c>
      <c r="F2" s="19" t="inlineStr">
        <is>
          <t>MOTOROLA SOLUTIONS INC</t>
        </is>
      </c>
      <c r="G2" s="19" t="inlineStr">
        <is>
          <t>51 - OFFICE OF PUBLIC SAFETY ADMINISTRATION</t>
        </is>
      </c>
      <c r="H2" s="19" t="inlineStr">
        <is>
          <t>PROFESSIONAL SERVICES</t>
        </is>
      </c>
      <c r="I2" s="31" t="n">
        <v>46052</v>
      </c>
      <c r="J2" s="19" t="inlineStr">
        <is>
          <t>2019-10-22</t>
        </is>
      </c>
      <c r="K2" s="21" t="n">
        <v>65000000</v>
      </c>
      <c r="L2" s="19" t="inlineStr">
        <is>
          <t>RFP</t>
        </is>
      </c>
      <c r="M2" s="19" t="inlineStr">
        <is>
          <t>Yes</t>
        </is>
      </c>
      <c r="N2" s="19" t="inlineStr">
        <is>
          <t>PRO SERV CONSULTING $250,000orABOVE</t>
        </is>
      </c>
      <c r="O2" s="19" t="inlineStr">
        <is>
          <t>BLANKET</t>
        </is>
      </c>
      <c r="P2" s="19" t="inlineStr">
        <is>
          <t>CLARK, LISA M</t>
        </is>
      </c>
      <c r="Q2" s="19" t="n">
        <v>2292</v>
      </c>
    </row>
    <row r="3">
      <c r="A3" s="19" t="n">
        <v>385229</v>
      </c>
      <c r="B3" s="19" t="n">
        <v>317980</v>
      </c>
      <c r="C3" s="19" t="n">
        <v>676037</v>
      </c>
      <c r="D3" s="19" t="n">
        <v>1328245</v>
      </c>
      <c r="E3" s="20" t="inlineStr">
        <is>
          <t>Travel Management Services</t>
        </is>
      </c>
      <c r="F3" s="19" t="inlineStr">
        <is>
          <t>Corporate Travel Management North America, Inc.</t>
        </is>
      </c>
      <c r="G3" s="19" t="inlineStr">
        <is>
          <t>05 - OFFICE OF BUDGET &amp; MANAGEMENT</t>
        </is>
      </c>
      <c r="H3" s="19" t="inlineStr">
        <is>
          <t>PROFESSIONAL SERVICES</t>
        </is>
      </c>
      <c r="I3" s="31" t="n">
        <v>46247</v>
      </c>
      <c r="J3" s="19" t="inlineStr">
        <is>
          <t>2025-07-02</t>
        </is>
      </c>
      <c r="K3" s="21" t="n">
        <v>60000</v>
      </c>
      <c r="L3" s="19" t="inlineStr">
        <is>
          <t>REFERENCE CONTRACT</t>
        </is>
      </c>
      <c r="M3" s="19" t="inlineStr">
        <is>
          <t>No</t>
        </is>
      </c>
      <c r="N3" s="19" t="inlineStr">
        <is>
          <t>PRO SERV CONSULTING $250,000orABOVE</t>
        </is>
      </c>
      <c r="O3" s="19" t="inlineStr">
        <is>
          <t>BLANKET</t>
        </is>
      </c>
      <c r="P3" s="19" t="inlineStr">
        <is>
          <t>CALDERA, LISBET A</t>
        </is>
      </c>
      <c r="Q3" s="19" t="n">
        <v>407</v>
      </c>
    </row>
    <row r="4">
      <c r="A4" s="19" t="n">
        <v>383774</v>
      </c>
      <c r="B4" s="19" t="n">
        <v>325156</v>
      </c>
      <c r="C4" s="19" t="n">
        <v>617787</v>
      </c>
      <c r="D4" s="19" t="n">
        <v>1305042</v>
      </c>
      <c r="E4" s="20" t="inlineStr">
        <is>
          <t>1305042: DWM JOC Civil, Structural and Architectural Disciplines</t>
        </is>
      </c>
      <c r="F4" s="19" t="inlineStr">
        <is>
          <t>Construction Inc</t>
        </is>
      </c>
      <c r="G4" s="19" t="inlineStr">
        <is>
          <t>88 - DEPARTMENT OF WATER MANAGEMENT</t>
        </is>
      </c>
      <c r="H4" s="19" t="inlineStr">
        <is>
          <t>CONSTRUCTION</t>
        </is>
      </c>
      <c r="I4" s="31" t="n">
        <v>46045</v>
      </c>
      <c r="J4" s="19" t="inlineStr">
        <is>
          <t>2024-08-14</t>
        </is>
      </c>
      <c r="K4" s="21" t="n">
        <v>15000000</v>
      </c>
      <c r="L4" s="19" t="inlineStr">
        <is>
          <t>BID</t>
        </is>
      </c>
      <c r="M4" s="19" t="inlineStr">
        <is>
          <t>Yes</t>
        </is>
      </c>
      <c r="N4" s="19" t="inlineStr">
        <is>
          <t>JOC</t>
        </is>
      </c>
      <c r="O4" s="19" t="inlineStr">
        <is>
          <t>BLANKET</t>
        </is>
      </c>
      <c r="P4" s="19" t="inlineStr">
        <is>
          <t>SZYMUSIAK, DIANE</t>
        </is>
      </c>
      <c r="Q4" s="19" t="n">
        <v>527</v>
      </c>
    </row>
    <row r="5">
      <c r="A5" s="19" t="n">
        <v>383771</v>
      </c>
      <c r="B5" s="19" t="n">
        <v>325159</v>
      </c>
      <c r="C5" s="19" t="n">
        <v>618945</v>
      </c>
      <c r="D5" s="19" t="n">
        <v>1305046</v>
      </c>
      <c r="E5" s="20" t="inlineStr">
        <is>
          <t>1305046: DWM JOC Mechanical, Electrical and Plumbing Disciplines</t>
        </is>
      </c>
      <c r="F5" s="19" t="inlineStr">
        <is>
          <t>Construction Inc</t>
        </is>
      </c>
      <c r="G5" s="19" t="inlineStr">
        <is>
          <t>88 - DEPARTMENT OF WATER MANAGEMENT</t>
        </is>
      </c>
      <c r="H5" s="19" t="inlineStr">
        <is>
          <t>CONSTRUCTION</t>
        </is>
      </c>
      <c r="I5" s="31" t="n">
        <v>46045</v>
      </c>
      <c r="J5" s="19" t="inlineStr">
        <is>
          <t>2024-08-20</t>
        </is>
      </c>
      <c r="K5" s="21" t="n">
        <v>15000000</v>
      </c>
      <c r="L5" s="19" t="inlineStr">
        <is>
          <t>BID</t>
        </is>
      </c>
      <c r="M5" s="19" t="inlineStr">
        <is>
          <t>Yes</t>
        </is>
      </c>
      <c r="N5" s="19" t="inlineStr">
        <is>
          <t>JOC</t>
        </is>
      </c>
      <c r="O5" s="19" t="inlineStr">
        <is>
          <t>BLANKET</t>
        </is>
      </c>
      <c r="P5" s="19" t="inlineStr">
        <is>
          <t>SZYMUSIAK, DIANE</t>
        </is>
      </c>
      <c r="Q5" s="19" t="n">
        <v>521</v>
      </c>
    </row>
    <row r="6">
      <c r="A6" s="19" t="n">
        <v>386406</v>
      </c>
      <c r="B6" s="19" t="n">
        <v>325474</v>
      </c>
      <c r="C6" s="19" t="n">
        <v>664689</v>
      </c>
      <c r="D6" s="19" t="n">
        <v>1324140</v>
      </c>
      <c r="E6" s="20" t="inlineStr">
        <is>
          <t>Legislative Consulting Services in Springfield, IL for the City of Chicago</t>
        </is>
      </c>
      <c r="F6" s="19" t="inlineStr">
        <is>
          <t>LKP CONSULTING LLC</t>
        </is>
      </c>
      <c r="G6" s="19" t="inlineStr">
        <is>
          <t>01 - OFFICE OF THE MAYOR</t>
        </is>
      </c>
      <c r="H6" s="19" t="inlineStr">
        <is>
          <t>PROFESSIONAL SERVICES</t>
        </is>
      </c>
      <c r="I6" s="31" t="n">
        <v>46024</v>
      </c>
      <c r="J6" s="19" t="inlineStr">
        <is>
          <t>2025-09-30</t>
        </is>
      </c>
      <c r="K6" s="21" t="n">
        <v>48000</v>
      </c>
      <c r="L6" s="19" t="inlineStr">
        <is>
          <t>SOLE SOURCE</t>
        </is>
      </c>
      <c r="M6" s="19" t="inlineStr">
        <is>
          <t>No</t>
        </is>
      </c>
      <c r="N6" s="19" t="inlineStr">
        <is>
          <t>PRO SERV CONSULTING UNDER $250,000</t>
        </is>
      </c>
      <c r="O6" s="19" t="inlineStr">
        <is>
          <t>BLANKET</t>
        </is>
      </c>
      <c r="P6" s="19" t="inlineStr">
        <is>
          <t>CALLAHAN, PATRICK M</t>
        </is>
      </c>
      <c r="Q6" s="19" t="n">
        <v>94</v>
      </c>
    </row>
    <row r="7">
      <c r="A7" s="19" t="n">
        <v>383851</v>
      </c>
      <c r="B7" s="19" t="n">
        <v>325900</v>
      </c>
      <c r="C7" s="19" t="n">
        <v>505441</v>
      </c>
      <c r="D7" s="19" t="n">
        <v>1263403</v>
      </c>
      <c r="E7" s="20" t="inlineStr">
        <is>
          <t>Sewer Main Lining Program - PN7589B  North Area (IEPA)</t>
        </is>
      </c>
      <c r="F7" s="19" t="inlineStr">
        <is>
          <t>SAK CONSTRUCTION LLC</t>
        </is>
      </c>
      <c r="G7" s="19" t="inlineStr">
        <is>
          <t>88 - DEPARTMENT OF WATER MANAGEMENT</t>
        </is>
      </c>
      <c r="H7" s="19" t="inlineStr">
        <is>
          <t>CONSTRUCTION</t>
        </is>
      </c>
      <c r="I7" s="31" t="n">
        <v>46057</v>
      </c>
      <c r="J7" s="19" t="inlineStr">
        <is>
          <t>2025-03-18</t>
        </is>
      </c>
      <c r="K7" s="21" t="n">
        <v>29433070</v>
      </c>
      <c r="L7" s="19" t="inlineStr">
        <is>
          <t>BID</t>
        </is>
      </c>
      <c r="M7" s="19" t="inlineStr">
        <is>
          <t>Yes</t>
        </is>
      </c>
      <c r="N7" s="19" t="inlineStr">
        <is>
          <t>CONSTRUCTION-LARGE $3MILLIONorABOVE</t>
        </is>
      </c>
      <c r="O7" s="19" t="inlineStr">
        <is>
          <t>BLANKET</t>
        </is>
      </c>
      <c r="P7" s="19" t="inlineStr">
        <is>
          <t>WILLINGHAM, ANTONIO</t>
        </is>
      </c>
      <c r="Q7" s="19" t="n">
        <v>323</v>
      </c>
    </row>
    <row r="8">
      <c r="A8" s="19" t="n">
        <v>383852</v>
      </c>
      <c r="B8" s="19" t="n">
        <v>325902</v>
      </c>
      <c r="C8" s="19" t="n">
        <v>505445</v>
      </c>
      <c r="D8" s="19" t="n">
        <v>1263405</v>
      </c>
      <c r="E8" s="20" t="inlineStr">
        <is>
          <t>Sewer Main Lining Program - PN7589D South Area (IEPA)</t>
        </is>
      </c>
      <c r="F8" s="19" t="inlineStr">
        <is>
          <t>SAK CONSTRUCTION LLC</t>
        </is>
      </c>
      <c r="G8" s="19" t="inlineStr">
        <is>
          <t>88 - DEPARTMENT OF WATER MANAGEMENT</t>
        </is>
      </c>
      <c r="H8" s="19" t="inlineStr">
        <is>
          <t>CONSTRUCTION</t>
        </is>
      </c>
      <c r="I8" s="31" t="n">
        <v>46057</v>
      </c>
      <c r="J8" s="19" t="inlineStr">
        <is>
          <t>2025-03-18</t>
        </is>
      </c>
      <c r="K8" s="21" t="n">
        <v>27487950</v>
      </c>
      <c r="L8" s="19" t="inlineStr">
        <is>
          <t>BID</t>
        </is>
      </c>
      <c r="M8" s="19" t="inlineStr">
        <is>
          <t>Yes</t>
        </is>
      </c>
      <c r="N8" s="19" t="inlineStr">
        <is>
          <t>CONSTRUCTION-LARGE $3MILLIONorABOVE</t>
        </is>
      </c>
      <c r="O8" s="19" t="inlineStr">
        <is>
          <t>BLANKET</t>
        </is>
      </c>
      <c r="P8" s="19" t="inlineStr">
        <is>
          <t>WILLINGHAM, ANTONIO</t>
        </is>
      </c>
      <c r="Q8" s="19" t="n">
        <v>323</v>
      </c>
    </row>
    <row r="9">
      <c r="A9" s="19" t="n">
        <v>380107</v>
      </c>
      <c r="B9" s="19" t="n">
        <v>328515</v>
      </c>
      <c r="C9" s="19" t="n">
        <v>595897</v>
      </c>
      <c r="D9" s="19" t="n">
        <v>1297124</v>
      </c>
      <c r="E9" s="20" t="inlineStr">
        <is>
          <t>Ring Tunnel Electrical And Lighting Infrastructure at O'Hare International Airport</t>
        </is>
      </c>
      <c r="F9" s="19" t="inlineStr">
        <is>
          <t>COURTESY ELECTRIC INC</t>
        </is>
      </c>
      <c r="G9" s="19" t="inlineStr">
        <is>
          <t>85 - CHICAGO DEPARTMENT OF AVIATION</t>
        </is>
      </c>
      <c r="H9" s="19" t="inlineStr">
        <is>
          <t>AVIATION</t>
        </is>
      </c>
      <c r="I9" s="31" t="n">
        <v>46059</v>
      </c>
      <c r="J9" s="19" t="inlineStr">
        <is>
          <t>2024-04-18</t>
        </is>
      </c>
      <c r="K9" s="21" t="n">
        <v>6740001</v>
      </c>
      <c r="L9" s="19" t="inlineStr">
        <is>
          <t>BID</t>
        </is>
      </c>
      <c r="M9" s="19" t="inlineStr">
        <is>
          <t>Yes</t>
        </is>
      </c>
      <c r="N9" s="19" t="inlineStr">
        <is>
          <t>CONSTRUCTION-AVIATION</t>
        </is>
      </c>
      <c r="O9" s="19" t="inlineStr">
        <is>
          <t>STANDARD</t>
        </is>
      </c>
      <c r="P9" s="19" t="inlineStr">
        <is>
          <t>KUSPER, CHRISTOPHER J</t>
        </is>
      </c>
      <c r="Q9" s="19" t="n">
        <v>659</v>
      </c>
    </row>
    <row r="10">
      <c r="A10" s="19" t="n">
        <v>375509</v>
      </c>
      <c r="B10" s="19" t="n">
        <v>329774</v>
      </c>
      <c r="C10" s="19" t="n">
        <v>530823</v>
      </c>
      <c r="D10" s="19" t="n">
        <v>1232177</v>
      </c>
      <c r="E10" s="20" t="inlineStr">
        <is>
          <t>Group B: Purchase of FAA Approved Portable Runway Friction Testing Decelerometers and Continuous Friction Measuring Equipment (CFME) Including Parts, Service, Training and Calibration</t>
        </is>
      </c>
      <c r="F10" s="19" t="inlineStr">
        <is>
          <t>Halliday Technologies</t>
        </is>
      </c>
      <c r="G10" s="19" t="inlineStr">
        <is>
          <t>85 - CHICAGO DEPARTMENT OF AVIATION</t>
        </is>
      </c>
      <c r="H10" s="19" t="inlineStr">
        <is>
          <t>AVIATION</t>
        </is>
      </c>
      <c r="I10" s="31" t="n">
        <v>46106</v>
      </c>
      <c r="J10" s="19" t="inlineStr">
        <is>
          <t>2023-05-19</t>
        </is>
      </c>
      <c r="K10" s="21" t="n">
        <v>2542840.08</v>
      </c>
      <c r="L10" s="19" t="inlineStr">
        <is>
          <t>BID</t>
        </is>
      </c>
      <c r="M10" s="19" t="inlineStr">
        <is>
          <t>Yes</t>
        </is>
      </c>
      <c r="N10" s="19" t="inlineStr">
        <is>
          <t>WORK SERV-AVIATION</t>
        </is>
      </c>
      <c r="O10" s="19" t="inlineStr">
        <is>
          <t>BLANKET</t>
        </is>
      </c>
      <c r="P10" s="19" t="inlineStr">
        <is>
          <t>MAGNO, THOMAS</t>
        </is>
      </c>
      <c r="Q10" s="19" t="n">
        <v>1041</v>
      </c>
    </row>
    <row r="11">
      <c r="A11" s="19" t="n">
        <v>386724</v>
      </c>
      <c r="B11" s="19" t="n">
        <v>331048</v>
      </c>
      <c r="C11" s="19" t="n">
        <v>664680</v>
      </c>
      <c r="D11" s="19" t="n">
        <v>1324136</v>
      </c>
      <c r="E11" s="20" t="inlineStr">
        <is>
          <t>Legislative Consulting Services</t>
        </is>
      </c>
      <c r="F11" s="19" t="inlineStr">
        <is>
          <t>VINCENT R. WILLIAMS &amp; ASSOCIATES P.C.</t>
        </is>
      </c>
      <c r="G11" s="19" t="inlineStr">
        <is>
          <t>01 - OFFICE OF THE MAYOR</t>
        </is>
      </c>
      <c r="H11" s="19" t="inlineStr">
        <is>
          <t>PROFESSIONAL SERVICES</t>
        </is>
      </c>
      <c r="I11" s="31" t="n">
        <v>46024</v>
      </c>
      <c r="J11" s="19" t="inlineStr">
        <is>
          <t>2025-10-17</t>
        </is>
      </c>
      <c r="K11" s="21" t="n">
        <v>72000</v>
      </c>
      <c r="L11" s="19" t="inlineStr">
        <is>
          <t>SOLE SOURCE</t>
        </is>
      </c>
      <c r="M11" s="19" t="inlineStr">
        <is>
          <t>No</t>
        </is>
      </c>
      <c r="N11" s="19" t="inlineStr">
        <is>
          <t>PRO SERV CONSULTING UNDER $250,000</t>
        </is>
      </c>
      <c r="O11" s="19" t="inlineStr">
        <is>
          <t>BLANKET</t>
        </is>
      </c>
      <c r="P11" s="19" t="inlineStr">
        <is>
          <t>CALLAHAN, PATRICK M</t>
        </is>
      </c>
      <c r="Q11" s="19" t="n">
        <v>77</v>
      </c>
    </row>
    <row r="12">
      <c r="A12" s="19" t="n">
        <v>386726</v>
      </c>
      <c r="B12" s="19" t="n">
        <v>331077</v>
      </c>
      <c r="C12" s="19" t="n">
        <v>664700</v>
      </c>
      <c r="D12" s="19" t="n">
        <v>1256622</v>
      </c>
      <c r="E12" s="20" t="inlineStr">
        <is>
          <t>Legislative Consulting Services</t>
        </is>
      </c>
      <c r="F12" s="19" t="inlineStr">
        <is>
          <t>BLAIDA AND ASSOCIATES LLC</t>
        </is>
      </c>
      <c r="G12" s="19" t="inlineStr">
        <is>
          <t>01 - OFFICE OF THE MAYOR</t>
        </is>
      </c>
      <c r="H12" s="19" t="inlineStr">
        <is>
          <t>PROFESSIONAL SERVICES</t>
        </is>
      </c>
      <c r="I12" s="31" t="n">
        <v>46024</v>
      </c>
      <c r="J12" s="19" t="inlineStr">
        <is>
          <t>2025-10-17</t>
        </is>
      </c>
      <c r="K12" s="21" t="n">
        <v>97999.92</v>
      </c>
      <c r="L12" s="19" t="inlineStr">
        <is>
          <t>SOLE SOURCE</t>
        </is>
      </c>
      <c r="M12" s="19" t="inlineStr">
        <is>
          <t>No</t>
        </is>
      </c>
      <c r="N12" s="19" t="inlineStr">
        <is>
          <t>PRO SERV CONSULTING UNDER $250,000</t>
        </is>
      </c>
      <c r="O12" s="19" t="inlineStr">
        <is>
          <t>BLANKET</t>
        </is>
      </c>
      <c r="P12" s="19" t="inlineStr">
        <is>
          <t>CALLAHAN, PATRICK M</t>
        </is>
      </c>
      <c r="Q12" s="19" t="n">
        <v>77</v>
      </c>
    </row>
    <row r="13">
      <c r="A13" s="19" t="n">
        <v>386725</v>
      </c>
      <c r="B13" s="19" t="n">
        <v>331094</v>
      </c>
      <c r="C13" s="19" t="n">
        <v>664139</v>
      </c>
      <c r="D13" s="19" t="n">
        <v>1324130</v>
      </c>
      <c r="E13" s="20" t="inlineStr">
        <is>
          <t>Legislative Consulting Services</t>
        </is>
      </c>
      <c r="F13" s="19" t="inlineStr">
        <is>
          <t>THE BASS GROUP INC</t>
        </is>
      </c>
      <c r="G13" s="19" t="inlineStr">
        <is>
          <t>01 - OFFICE OF THE MAYOR</t>
        </is>
      </c>
      <c r="H13" s="19" t="inlineStr">
        <is>
          <t>PROFESSIONAL SERVICES</t>
        </is>
      </c>
      <c r="I13" s="31" t="n">
        <v>46024</v>
      </c>
      <c r="J13" s="19" t="inlineStr">
        <is>
          <t>2025-04-28</t>
        </is>
      </c>
      <c r="K13" s="21" t="n">
        <v>48000</v>
      </c>
      <c r="L13" s="19" t="inlineStr">
        <is>
          <t>SOLE SOURCE</t>
        </is>
      </c>
      <c r="M13" s="19" t="inlineStr">
        <is>
          <t>No</t>
        </is>
      </c>
      <c r="N13" s="19" t="inlineStr">
        <is>
          <t>PRO SERV CONSULTING UNDER $250,000</t>
        </is>
      </c>
      <c r="O13" s="19" t="inlineStr">
        <is>
          <t>BLANKET</t>
        </is>
      </c>
      <c r="P13" s="19" t="inlineStr">
        <is>
          <t>CALLAHAN, PATRICK M</t>
        </is>
      </c>
      <c r="Q13" s="19" t="n">
        <v>249</v>
      </c>
    </row>
    <row r="14">
      <c r="A14" s="19" t="n">
        <v>386925</v>
      </c>
      <c r="B14" s="19" t="n">
        <v>331452</v>
      </c>
      <c r="C14" s="19" t="n">
        <v>657660</v>
      </c>
      <c r="D14" s="19" t="n">
        <v>1321639</v>
      </c>
      <c r="E14" s="20" t="inlineStr">
        <is>
          <t>COMPREHENSIVE EMERGENCY MANAGEMENT PLAN (CEMP) SERVICES</t>
        </is>
      </c>
      <c r="F14" s="19" t="inlineStr">
        <is>
          <t>INTEGRATED SOLUTIONS CONSULTING CORPORATION</t>
        </is>
      </c>
      <c r="G14" s="19" t="inlineStr">
        <is>
          <t>41 - CHICAGO DEPARTMENT OF PUBLIC HEALTH</t>
        </is>
      </c>
      <c r="H14" s="19" t="inlineStr">
        <is>
          <t>PROFESSIONAL SERVICES</t>
        </is>
      </c>
      <c r="I14" s="31" t="n">
        <v>46220</v>
      </c>
      <c r="J14" s="19" t="inlineStr">
        <is>
          <t>2025-10-31</t>
        </is>
      </c>
      <c r="K14" s="21" t="n">
        <v>2100000</v>
      </c>
      <c r="L14" s="19" t="inlineStr">
        <is>
          <t>SOLE SOURCE</t>
        </is>
      </c>
      <c r="M14" s="19" t="inlineStr">
        <is>
          <t>No</t>
        </is>
      </c>
      <c r="N14" s="19" t="inlineStr">
        <is>
          <t>PRO SERV CONSULTING $250,000orABOVE</t>
        </is>
      </c>
      <c r="O14" s="19" t="inlineStr">
        <is>
          <t>BLANKET</t>
        </is>
      </c>
      <c r="P14" s="19" t="inlineStr">
        <is>
          <t>CALLAHAN, PATRICK M</t>
        </is>
      </c>
      <c r="Q14" s="19" t="n">
        <v>259</v>
      </c>
    </row>
    <row r="15">
      <c r="A15" s="19" t="n">
        <v>385192</v>
      </c>
      <c r="B15" s="19" t="n">
        <v>332133</v>
      </c>
      <c r="C15" s="19" t="n">
        <v>665070</v>
      </c>
      <c r="D15" s="19" t="n">
        <v>1212878</v>
      </c>
      <c r="E15" s="20" t="inlineStr">
        <is>
          <t>1212878: Grand Avenue Improvement W. Grand Avenue from N. Damen Avenue to N. Ogden Ave.</t>
        </is>
      </c>
      <c r="F15" s="19" t="inlineStr">
        <is>
          <t>SUMIT CONSTRUCTION CO., INC.</t>
        </is>
      </c>
      <c r="G15" s="19" t="inlineStr">
        <is>
          <t>84 - CHICAGO DEPARTMENT OF TRANSPORTATION</t>
        </is>
      </c>
      <c r="H15" s="19" t="inlineStr">
        <is>
          <t>CONSTRUCTION</t>
        </is>
      </c>
      <c r="I15" s="31" t="n">
        <v>46044</v>
      </c>
      <c r="J15" s="19" t="inlineStr">
        <is>
          <t>2025-05-02</t>
        </is>
      </c>
      <c r="K15" s="21" t="n">
        <v>13416586.8</v>
      </c>
      <c r="L15" s="19" t="inlineStr">
        <is>
          <t>BID</t>
        </is>
      </c>
      <c r="M15" s="19" t="inlineStr">
        <is>
          <t>Yes</t>
        </is>
      </c>
      <c r="N15" s="19" t="inlineStr">
        <is>
          <t>CONSTRUCTION-LARGE $3MILLIONorABOVE</t>
        </is>
      </c>
      <c r="O15" s="19" t="inlineStr">
        <is>
          <t>STANDARD</t>
        </is>
      </c>
      <c r="P15" s="19" t="inlineStr">
        <is>
          <t>UDAIYAR, VENKATESH</t>
        </is>
      </c>
      <c r="Q15" s="19" t="n">
        <v>265</v>
      </c>
    </row>
    <row r="16">
      <c r="A16" s="19" t="n">
        <v>387253</v>
      </c>
      <c r="B16" s="19" t="n">
        <v>332879</v>
      </c>
      <c r="C16" s="19" t="n">
        <v>701192</v>
      </c>
      <c r="D16" s="19" t="n">
        <v>1338471</v>
      </c>
      <c r="E16" s="20" t="inlineStr">
        <is>
          <t>Reference Agreement to with Carahsoft for Purchase of Software Solutions for Samsara Cameras</t>
        </is>
      </c>
      <c r="F16" s="19" t="inlineStr">
        <is>
          <t>CARAHSOFT</t>
        </is>
      </c>
      <c r="G16" s="19" t="inlineStr">
        <is>
          <t>38 - DEPARTMENT OF FLEET AND FACILITY MANAGEMENT</t>
        </is>
      </c>
      <c r="H16" s="19" t="inlineStr">
        <is>
          <t>PROFESSIONAL SERVICES</t>
        </is>
      </c>
      <c r="I16" s="31" t="n">
        <v>46093</v>
      </c>
      <c r="J16" s="19" t="inlineStr">
        <is>
          <t>2025-11-26</t>
        </is>
      </c>
      <c r="K16" s="21" t="n">
        <v>17834040</v>
      </c>
      <c r="L16" s="19" t="inlineStr">
        <is>
          <t>REFERENCE CONTRACT</t>
        </is>
      </c>
      <c r="M16" s="19" t="inlineStr">
        <is>
          <t>No</t>
        </is>
      </c>
      <c r="N16" s="19" t="inlineStr">
        <is>
          <t>PRO SERV CONSULTING $250,000orABOVE</t>
        </is>
      </c>
      <c r="O16" s="19" t="inlineStr">
        <is>
          <t>BLANKET</t>
        </is>
      </c>
      <c r="P16" s="19" t="inlineStr">
        <is>
          <t>RICHY, MICHAEL A</t>
        </is>
      </c>
      <c r="Q16" s="19" t="n">
        <v>106</v>
      </c>
    </row>
    <row r="17">
      <c r="A17" s="19" t="n">
        <v>387329</v>
      </c>
      <c r="B17" s="19" t="n">
        <v>333505</v>
      </c>
      <c r="C17" s="19" t="n">
        <v>690687</v>
      </c>
      <c r="D17" s="19" t="n">
        <v>450998</v>
      </c>
      <c r="E17" s="20" t="inlineStr">
        <is>
          <t>DLT Quote 5331544 for software services; application clusters, advanced security.</t>
        </is>
      </c>
      <c r="F17" s="19" t="inlineStr">
        <is>
          <t>DLT SOLUTIONS LLC</t>
        </is>
      </c>
      <c r="G17" s="19" t="inlineStr">
        <is>
          <t>06 - DEPARTMENT OF TECHNOLOGY AND INNOVATION</t>
        </is>
      </c>
      <c r="H17" s="19" t="inlineStr">
        <is>
          <t>PROFESSIONAL SERVICES</t>
        </is>
      </c>
      <c r="I17" s="31" t="n">
        <v>46030</v>
      </c>
      <c r="J17" s="19" t="inlineStr">
        <is>
          <t>2025-12-03</t>
        </is>
      </c>
      <c r="K17" s="21" t="n">
        <v>663877.75</v>
      </c>
      <c r="L17" s="19" t="inlineStr">
        <is>
          <t>JOINT PURCHASE</t>
        </is>
      </c>
      <c r="M17" s="19" t="inlineStr">
        <is>
          <t>No</t>
        </is>
      </c>
      <c r="N17" s="19" t="inlineStr">
        <is>
          <t>SOFTWARE</t>
        </is>
      </c>
      <c r="O17" s="19" t="inlineStr">
        <is>
          <t>STANDARD</t>
        </is>
      </c>
      <c r="P17" s="19" t="inlineStr">
        <is>
          <t>CORTES, ANN C</t>
        </is>
      </c>
      <c r="Q17" s="19" t="n">
        <v>36</v>
      </c>
    </row>
    <row r="18">
      <c r="A18" s="19" t="n">
        <v>382309</v>
      </c>
      <c r="B18" s="19" t="n">
        <v>333917</v>
      </c>
      <c r="C18" s="19" t="n">
        <v>607109</v>
      </c>
      <c r="D18" s="19" t="n">
        <v>1301245</v>
      </c>
      <c r="E18" s="20" t="inlineStr">
        <is>
          <t>1301245: CDOT 2025 Job Order Contract for Flatwork (Primary Award)</t>
        </is>
      </c>
      <c r="F18" s="19" t="inlineStr">
        <is>
          <t>FH PASCHEN SN NIELSEN &amp; ASSOCIATES LLC</t>
        </is>
      </c>
      <c r="G18" s="19" t="inlineStr">
        <is>
          <t>84 - CHICAGO DEPARTMENT OF TRANSPORTATION</t>
        </is>
      </c>
      <c r="H18" s="19" t="inlineStr">
        <is>
          <t>CONSTRUCTION</t>
        </is>
      </c>
      <c r="I18" s="31" t="n">
        <v>46031</v>
      </c>
      <c r="J18" s="19" t="inlineStr">
        <is>
          <t>2024-11-18</t>
        </is>
      </c>
      <c r="K18" s="21" t="n">
        <v>30000000</v>
      </c>
      <c r="L18" s="19" t="inlineStr">
        <is>
          <t>BID</t>
        </is>
      </c>
      <c r="M18" s="19" t="inlineStr">
        <is>
          <t>Yes</t>
        </is>
      </c>
      <c r="N18" s="19" t="inlineStr">
        <is>
          <t>CONSTRUCTION-LARGE $3MILLIONorABOVE</t>
        </is>
      </c>
      <c r="O18" s="19" t="inlineStr">
        <is>
          <t>BLANKET</t>
        </is>
      </c>
      <c r="P18" s="19" t="inlineStr">
        <is>
          <t>PESHOFF, NANCY R</t>
        </is>
      </c>
      <c r="Q18" s="19" t="n">
        <v>417</v>
      </c>
    </row>
    <row r="19">
      <c r="A19" s="19" t="n">
        <v>387512</v>
      </c>
      <c r="B19" s="19" t="n">
        <v>334001</v>
      </c>
      <c r="C19" s="19" t="n">
        <v>682796</v>
      </c>
      <c r="D19" s="19" t="n">
        <v>1330863</v>
      </c>
      <c r="E19" s="20" t="inlineStr">
        <is>
          <t>GOVERNMENT &amp; COMMUNITY AFFAIR SERVICES</t>
        </is>
      </c>
      <c r="F19" s="19" t="inlineStr">
        <is>
          <t>Torres consulting, Inc.</t>
        </is>
      </c>
      <c r="G19" s="19" t="inlineStr">
        <is>
          <t>01 - OFFICE OF THE MAYOR</t>
        </is>
      </c>
      <c r="H19" s="19" t="inlineStr">
        <is>
          <t>PROFESSIONAL SERVICES</t>
        </is>
      </c>
      <c r="I19" s="31" t="n">
        <v>46097</v>
      </c>
      <c r="J19" s="19" t="inlineStr">
        <is>
          <t>2025-12-15</t>
        </is>
      </c>
      <c r="K19" s="21" t="n">
        <v>49992</v>
      </c>
      <c r="L19" s="19" t="inlineStr">
        <is>
          <t>SOLE SOURCE</t>
        </is>
      </c>
      <c r="M19" s="19" t="inlineStr">
        <is>
          <t>No</t>
        </is>
      </c>
      <c r="N19" s="19" t="inlineStr">
        <is>
          <t>PRO SERV CONSULTING UNDER $250,000</t>
        </is>
      </c>
      <c r="O19" s="19" t="inlineStr">
        <is>
          <t>BLANKET</t>
        </is>
      </c>
      <c r="P19" s="19" t="inlineStr">
        <is>
          <t>CALLAHAN, PATRICK M</t>
        </is>
      </c>
      <c r="Q19" s="19" t="n">
        <v>91</v>
      </c>
    </row>
    <row r="20">
      <c r="A20" s="19" t="n">
        <v>387305</v>
      </c>
      <c r="B20" s="19" t="n">
        <v>334012</v>
      </c>
      <c r="C20" s="19" t="n">
        <v>701978</v>
      </c>
      <c r="D20" s="19" t="n">
        <v>1338816</v>
      </c>
      <c r="E20" s="20" t="inlineStr">
        <is>
          <t>Service Reimbursement Agreement with Chicago Minority Supplier Development Council?s Small Business Financial Advisory Clinic Specification Number # 1338816</t>
        </is>
      </c>
      <c r="F20" s="19" t="inlineStr">
        <is>
          <t>Chicago Minority Supplier Development Council, Inc.</t>
        </is>
      </c>
      <c r="G20" s="19" t="inlineStr">
        <is>
          <t>35 - DEPARTMENT OF PROCUREMENT SERVICES</t>
        </is>
      </c>
      <c r="H20" s="19" t="inlineStr">
        <is>
          <t>PROFESSIONAL SERVICES</t>
        </is>
      </c>
      <c r="I20" s="31" t="n">
        <v>46050</v>
      </c>
      <c r="J20" s="19" t="inlineStr">
        <is>
          <t>2025-12-02</t>
        </is>
      </c>
      <c r="K20" s="21" t="n">
        <v>40000</v>
      </c>
      <c r="L20" s="19" t="inlineStr">
        <is>
          <t>DPS DELEGATE AGENCY</t>
        </is>
      </c>
      <c r="M20" s="19" t="inlineStr">
        <is>
          <t>No</t>
        </is>
      </c>
      <c r="N20" s="19" t="inlineStr">
        <is>
          <t>DPS DELEGATE AGENCY</t>
        </is>
      </c>
      <c r="O20" s="19" t="inlineStr">
        <is>
          <t>BLANKET</t>
        </is>
      </c>
      <c r="P20" s="19" t="inlineStr">
        <is>
          <t>CALLAHAN, PATRICK M</t>
        </is>
      </c>
      <c r="Q20" s="19" t="n">
        <v>57</v>
      </c>
    </row>
    <row r="21">
      <c r="A21" s="19" t="n">
        <v>383708</v>
      </c>
      <c r="B21" s="19" t="n">
        <v>334310</v>
      </c>
      <c r="C21" s="19" t="n">
        <v>505442</v>
      </c>
      <c r="D21" s="19" t="n">
        <v>1263404</v>
      </c>
      <c r="E21" s="20" t="inlineStr">
        <is>
          <t>Sewer Main Lining Program - PN7589C Central Area (IEPA)</t>
        </is>
      </c>
      <c r="F21" s="19" t="inlineStr">
        <is>
          <t>SAK CONSTRUCTION LLC</t>
        </is>
      </c>
      <c r="G21" s="19" t="inlineStr">
        <is>
          <t>88 - DEPARTMENT OF WATER MANAGEMENT</t>
        </is>
      </c>
      <c r="H21" s="19" t="inlineStr">
        <is>
          <t>CONSTRUCTION</t>
        </is>
      </c>
      <c r="I21" s="31" t="n">
        <v>46057</v>
      </c>
      <c r="J21" s="19" t="inlineStr">
        <is>
          <t>2025-03-18</t>
        </is>
      </c>
      <c r="K21" s="21" t="n">
        <v>33677375</v>
      </c>
      <c r="L21" s="19" t="inlineStr">
        <is>
          <t>BID</t>
        </is>
      </c>
      <c r="M21" s="19" t="inlineStr">
        <is>
          <t>Yes</t>
        </is>
      </c>
      <c r="N21" s="19" t="inlineStr">
        <is>
          <t>CONSTRUCTION-LARGE $3MILLIONorABOVE</t>
        </is>
      </c>
      <c r="O21" s="19" t="inlineStr">
        <is>
          <t>BLANKET</t>
        </is>
      </c>
      <c r="P21" s="19" t="inlineStr">
        <is>
          <t>WILLINGHAM, ANTONIO</t>
        </is>
      </c>
      <c r="Q21" s="19" t="n">
        <v>323</v>
      </c>
    </row>
    <row r="22">
      <c r="A22" s="19" t="n">
        <v>387405</v>
      </c>
      <c r="B22" s="19" t="n">
        <v>334817</v>
      </c>
      <c r="C22" s="19" t="n">
        <v>653871</v>
      </c>
      <c r="D22" s="19" t="n">
        <v>1320133</v>
      </c>
      <c r="E22" s="20" t="inlineStr">
        <is>
          <t>INFORMATION AND PROFESSIONAL SOCIAL SERVICES WITHIN CHICAGO O'HARE INTERNATIONAL AIRPORT (SPEC #757459)</t>
        </is>
      </c>
      <c r="F22" s="19" t="inlineStr">
        <is>
          <t>HEARTLAND HUMAN CARE SERVICES, INC.</t>
        </is>
      </c>
      <c r="G22" s="19" t="inlineStr">
        <is>
          <t>85 - CHICAGO DEPARTMENT OF AVIATION</t>
        </is>
      </c>
      <c r="H22" s="19" t="inlineStr">
        <is>
          <t>PROFESSIONAL SERVICES</t>
        </is>
      </c>
      <c r="I22" s="31" t="n">
        <v>46079</v>
      </c>
      <c r="J22" s="19" t="inlineStr">
        <is>
          <t>2025-03-06</t>
        </is>
      </c>
      <c r="K22" s="21" t="n">
        <v>5118383</v>
      </c>
      <c r="L22" s="19" t="inlineStr">
        <is>
          <t>SOLE SOURCE</t>
        </is>
      </c>
      <c r="M22" s="19" t="inlineStr">
        <is>
          <t>No</t>
        </is>
      </c>
      <c r="N22" s="19" t="inlineStr">
        <is>
          <t>PRO SERV-AVIATION</t>
        </is>
      </c>
      <c r="O22" s="19" t="inlineStr">
        <is>
          <t>BLANKET</t>
        </is>
      </c>
      <c r="P22" s="19" t="inlineStr">
        <is>
          <t>DUKE, KARL D</t>
        </is>
      </c>
      <c r="Q22" s="19" t="n">
        <v>357</v>
      </c>
    </row>
    <row r="23">
      <c r="A23" s="19" t="n">
        <v>387484</v>
      </c>
      <c r="B23" s="19" t="n">
        <v>334992</v>
      </c>
      <c r="C23" s="19" t="n">
        <v>701444</v>
      </c>
      <c r="D23" s="19" t="n">
        <v>450998</v>
      </c>
      <c r="E23" s="20" t="inlineStr">
        <is>
          <t>DLT Quote# 5343835 for Time and Materials Services.</t>
        </is>
      </c>
      <c r="F23" s="19" t="inlineStr">
        <is>
          <t>DLT SOLUTIONS LLC</t>
        </is>
      </c>
      <c r="G23" s="19" t="inlineStr">
        <is>
          <t>06 - DEPARTMENT OF TECHNOLOGY AND INNOVATION</t>
        </is>
      </c>
      <c r="H23" s="19" t="inlineStr">
        <is>
          <t>PROFESSIONAL SERVICES</t>
        </is>
      </c>
      <c r="I23" s="31" t="n">
        <v>46031</v>
      </c>
      <c r="J23" s="19" t="inlineStr">
        <is>
          <t>2025-12-12</t>
        </is>
      </c>
      <c r="K23" s="21" t="n">
        <v>148165.35</v>
      </c>
      <c r="L23" s="19" t="inlineStr">
        <is>
          <t>JOINT PURCHASE</t>
        </is>
      </c>
      <c r="M23" s="19" t="inlineStr">
        <is>
          <t>No</t>
        </is>
      </c>
      <c r="N23" s="19" t="inlineStr">
        <is>
          <t>SOFTWARE</t>
        </is>
      </c>
      <c r="O23" s="19" t="inlineStr">
        <is>
          <t>STANDARD</t>
        </is>
      </c>
      <c r="P23" s="19" t="inlineStr">
        <is>
          <t>CORTES, ANN C</t>
        </is>
      </c>
      <c r="Q23" s="19" t="n">
        <v>28</v>
      </c>
    </row>
    <row r="24">
      <c r="A24" s="19" t="n">
        <v>387585</v>
      </c>
      <c r="B24" s="19" t="n">
        <v>335125</v>
      </c>
      <c r="C24" s="19" t="n">
        <v>704476</v>
      </c>
      <c r="D24" s="19" t="n">
        <v>450998</v>
      </c>
      <c r="E24" s="20" t="inlineStr">
        <is>
          <t>DLT Quote #5357142 for Hardware.</t>
        </is>
      </c>
      <c r="F24" s="19" t="inlineStr">
        <is>
          <t>DLT SOLUTIONS LLC</t>
        </is>
      </c>
      <c r="G24" s="19" t="inlineStr">
        <is>
          <t>06 - DEPARTMENT OF TECHNOLOGY AND INNOVATION</t>
        </is>
      </c>
      <c r="H24" s="19" t="inlineStr">
        <is>
          <t>PROFESSIONAL SERVICES</t>
        </is>
      </c>
      <c r="I24" s="31" t="n">
        <v>46044</v>
      </c>
      <c r="J24" s="19" t="inlineStr">
        <is>
          <t>2025-12-19</t>
        </is>
      </c>
      <c r="K24" s="21" t="n">
        <v>79623.22</v>
      </c>
      <c r="L24" s="19" t="inlineStr">
        <is>
          <t>JOINT PURCHASE</t>
        </is>
      </c>
      <c r="M24" s="19" t="inlineStr">
        <is>
          <t>No</t>
        </is>
      </c>
      <c r="N24" s="19" t="inlineStr">
        <is>
          <t>SOFTWARE</t>
        </is>
      </c>
      <c r="O24" s="19" t="inlineStr">
        <is>
          <t>STANDARD</t>
        </is>
      </c>
      <c r="P24" s="19" t="inlineStr">
        <is>
          <t>CORTES, ANN C</t>
        </is>
      </c>
      <c r="Q24" s="19" t="n">
        <v>34</v>
      </c>
    </row>
    <row r="25">
      <c r="A25" s="19" t="n">
        <v>387604</v>
      </c>
      <c r="B25" s="19" t="n">
        <v>335940</v>
      </c>
      <c r="C25" s="19" t="n">
        <v>705021</v>
      </c>
      <c r="D25" s="19" t="n">
        <v>1340060</v>
      </c>
      <c r="E25" s="20" t="inlineStr">
        <is>
          <t>Technical Assistance and Business Development Services for Small Local Business and M/WBE (CABD)</t>
        </is>
      </c>
      <c r="F25" s="19" t="inlineStr">
        <is>
          <t>CONTRACTOR ADVISORS BUSINESS DEVELOPMENT INC</t>
        </is>
      </c>
      <c r="G25" s="19" t="inlineStr">
        <is>
          <t>35 - DEPARTMENT OF PROCUREMENT SERVICES</t>
        </is>
      </c>
      <c r="H25" s="19" t="inlineStr">
        <is>
          <t>PROFESSIONAL SERVICES</t>
        </is>
      </c>
      <c r="I25" s="31" t="n">
        <v>46052</v>
      </c>
      <c r="J25" s="19" t="inlineStr">
        <is>
          <t>2025-12-18</t>
        </is>
      </c>
      <c r="K25" s="21" t="n">
        <v>20000</v>
      </c>
      <c r="L25" s="19" t="inlineStr">
        <is>
          <t>DPS DELEGATE AGENCY</t>
        </is>
      </c>
      <c r="M25" s="19" t="inlineStr">
        <is>
          <t>No</t>
        </is>
      </c>
      <c r="N25" s="19" t="inlineStr">
        <is>
          <t>DPS DELEGATE AGENCY</t>
        </is>
      </c>
      <c r="O25" s="19" t="inlineStr">
        <is>
          <t>BLANKET</t>
        </is>
      </c>
      <c r="P25" s="19" t="inlineStr">
        <is>
          <t>CALLAHAN, PATRICK M</t>
        </is>
      </c>
      <c r="Q25" s="19" t="n">
        <v>43</v>
      </c>
    </row>
    <row r="26">
      <c r="A26" s="19" t="n">
        <v>384808</v>
      </c>
      <c r="B26" s="19" t="n">
        <v>336341</v>
      </c>
      <c r="C26" s="19" t="n">
        <v>660057</v>
      </c>
      <c r="D26" s="19" t="n">
        <v>1322498</v>
      </c>
      <c r="E26" s="20" t="inlineStr">
        <is>
          <t>1322498: ASSET and TREES INVENTORY MANAGEMENT</t>
        </is>
      </c>
      <c r="F26" s="19" t="inlineStr">
        <is>
          <t>ArborPro, Inc</t>
        </is>
      </c>
      <c r="G26" s="19" t="inlineStr">
        <is>
          <t>81 - DEPARTMENT OF STREETS AND SANITATION</t>
        </is>
      </c>
      <c r="H26" s="19" t="inlineStr">
        <is>
          <t>WORK SERVICES</t>
        </is>
      </c>
      <c r="I26" s="31" t="n">
        <v>46107</v>
      </c>
      <c r="J26" s="19" t="inlineStr">
        <is>
          <t>2025-06-03</t>
        </is>
      </c>
      <c r="K26" s="21" t="n">
        <v>2537000</v>
      </c>
      <c r="L26" s="19" t="inlineStr">
        <is>
          <t>RFP</t>
        </is>
      </c>
      <c r="M26" s="19" t="inlineStr">
        <is>
          <t>Yes</t>
        </is>
      </c>
      <c r="N26" s="19" t="inlineStr">
        <is>
          <t>WORK SERVICES / FACILITIES MAINT.</t>
        </is>
      </c>
      <c r="O26" s="19" t="inlineStr">
        <is>
          <t>BLANKET</t>
        </is>
      </c>
      <c r="P26" s="19" t="inlineStr">
        <is>
          <t>POLK-STAMPS, MELANIE L</t>
        </is>
      </c>
      <c r="Q26" s="19" t="n">
        <v>264</v>
      </c>
    </row>
    <row r="27">
      <c r="A27" s="19" t="n">
        <v>387773</v>
      </c>
      <c r="B27" s="19" t="n">
        <v>336347</v>
      </c>
      <c r="C27" s="19" t="inlineStr"/>
      <c r="D27" s="19" t="n">
        <v>1285012</v>
      </c>
      <c r="E27" s="20" t="inlineStr">
        <is>
          <t>PO 336347 replacing PO 326503: 21-203 Sawyer Water Purification Plant (SWPP) Sinkhole Repairs</t>
        </is>
      </c>
      <c r="F27" s="19" t="inlineStr">
        <is>
          <t>Michels Construction, Inc.</t>
        </is>
      </c>
      <c r="G27" s="19" t="inlineStr">
        <is>
          <t>88 - DEPARTMENT OF WATER MANAGEMENT</t>
        </is>
      </c>
      <c r="H27" s="19" t="inlineStr">
        <is>
          <t>CONSTRUCTION</t>
        </is>
      </c>
      <c r="I27" s="31" t="n">
        <v>46170</v>
      </c>
      <c r="J27" s="19" t="inlineStr">
        <is>
          <t>2026-01-09</t>
        </is>
      </c>
      <c r="K27" s="21" t="n">
        <v>7336323</v>
      </c>
      <c r="L27" s="19" t="inlineStr">
        <is>
          <t>CONTRACT ASSIGNMENT/TRANSFER</t>
        </is>
      </c>
      <c r="M27" s="19" t="inlineStr">
        <is>
          <t>No</t>
        </is>
      </c>
      <c r="N27" s="19" t="inlineStr">
        <is>
          <t>CONSTRUCTION-LARGE $3MILLIONorABOVE</t>
        </is>
      </c>
      <c r="O27" s="19" t="inlineStr">
        <is>
          <t>STANDARD</t>
        </is>
      </c>
      <c r="P27" s="19" t="inlineStr">
        <is>
          <t>SZYMUSIAK, DIANE</t>
        </is>
      </c>
      <c r="Q27" s="19" t="n">
        <v>139</v>
      </c>
    </row>
    <row r="28">
      <c r="A28" s="19" t="n">
        <v>387728</v>
      </c>
      <c r="B28" s="19" t="n">
        <v>336809</v>
      </c>
      <c r="C28" s="19" t="n">
        <v>702748</v>
      </c>
      <c r="D28" s="19" t="n">
        <v>450998</v>
      </c>
      <c r="E28" s="20" t="inlineStr">
        <is>
          <t>DLT Quote# 5331551 for Time and Materials Services.</t>
        </is>
      </c>
      <c r="F28" s="19" t="inlineStr">
        <is>
          <t>DLT SOLUTIONS LLC</t>
        </is>
      </c>
      <c r="G28" s="19" t="inlineStr">
        <is>
          <t>06 - DEPARTMENT OF TECHNOLOGY AND INNOVATION</t>
        </is>
      </c>
      <c r="H28" s="19" t="inlineStr">
        <is>
          <t>PROFESSIONAL SERVICES</t>
        </is>
      </c>
      <c r="I28" s="31" t="n">
        <v>46073</v>
      </c>
      <c r="J28" s="19" t="inlineStr">
        <is>
          <t>2026-01-07</t>
        </is>
      </c>
      <c r="K28" s="21" t="n">
        <v>48673.35</v>
      </c>
      <c r="L28" s="19" t="inlineStr">
        <is>
          <t>JOINT PURCHASE</t>
        </is>
      </c>
      <c r="M28" s="19" t="inlineStr">
        <is>
          <t>No</t>
        </is>
      </c>
      <c r="N28" s="19" t="inlineStr">
        <is>
          <t>SOFTWARE</t>
        </is>
      </c>
      <c r="O28" s="19" t="inlineStr">
        <is>
          <t>STANDARD</t>
        </is>
      </c>
      <c r="P28" s="19" t="inlineStr">
        <is>
          <t>CORTES, ANN C</t>
        </is>
      </c>
      <c r="Q28" s="19" t="n">
        <v>44</v>
      </c>
    </row>
    <row r="29">
      <c r="A29" s="19" t="n">
        <v>383993</v>
      </c>
      <c r="B29" s="19" t="n">
        <v>337037</v>
      </c>
      <c r="C29" s="19" t="n">
        <v>653063</v>
      </c>
      <c r="D29" s="19" t="inlineStr">
        <is>
          <t>1276708C</t>
        </is>
      </c>
      <c r="E29" s="20" t="inlineStr">
        <is>
          <t>Maintenance, Parts and Repair Services for The Cambridge Axle Scale</t>
        </is>
      </c>
      <c r="F29" s="19" t="inlineStr">
        <is>
          <t>ABEST SCALE CO., INC.</t>
        </is>
      </c>
      <c r="G29" s="19" t="inlineStr">
        <is>
          <t>35 - DEPARTMENT OF PROCUREMENT SERVICES</t>
        </is>
      </c>
      <c r="H29" s="19" t="inlineStr">
        <is>
          <t>SMALL ORDERS</t>
        </is>
      </c>
      <c r="I29" s="31" t="n">
        <v>46063</v>
      </c>
      <c r="J29" s="19" t="inlineStr">
        <is>
          <t>2025-04-08</t>
        </is>
      </c>
      <c r="K29" s="21" t="n">
        <v>22300</v>
      </c>
      <c r="L29" s="19" t="inlineStr">
        <is>
          <t>BID</t>
        </is>
      </c>
      <c r="M29" s="19" t="inlineStr">
        <is>
          <t>Yes</t>
        </is>
      </c>
      <c r="N29" s="19" t="inlineStr">
        <is>
          <t>WORK SERVICES-SMALL ORDERS</t>
        </is>
      </c>
      <c r="O29" s="19" t="inlineStr">
        <is>
          <t>BLANKET</t>
        </is>
      </c>
      <c r="P29" s="19" t="inlineStr">
        <is>
          <t>HARGES, BERNIE D</t>
        </is>
      </c>
      <c r="Q29" s="19" t="n">
        <v>308</v>
      </c>
    </row>
    <row r="30">
      <c r="A30" s="19" t="n">
        <v>383808</v>
      </c>
      <c r="B30" s="19" t="n">
        <v>337490</v>
      </c>
      <c r="C30" s="19" t="n">
        <v>654367</v>
      </c>
      <c r="D30" s="19" t="inlineStr">
        <is>
          <t>1258048A</t>
        </is>
      </c>
      <c r="E30" s="20" t="inlineStr">
        <is>
          <t>Spec 1258048A: Term Agreement for Water Main Construction and Lead Service Line Replacement: CBD/City Wide Specialty Contract - District Four (re-bid)</t>
        </is>
      </c>
      <c r="F30" s="19" t="inlineStr">
        <is>
          <t>RELIABLE CONTRACTING AND EQUIPMENT COMPANY</t>
        </is>
      </c>
      <c r="G30" s="19" t="inlineStr">
        <is>
          <t>88 - DEPARTMENT OF WATER MANAGEMENT</t>
        </is>
      </c>
      <c r="H30" s="19" t="inlineStr">
        <is>
          <t>CONSTRUCTION</t>
        </is>
      </c>
      <c r="I30" s="31" t="n">
        <v>46142</v>
      </c>
      <c r="J30" s="19" t="inlineStr">
        <is>
          <t>2025-03-07</t>
        </is>
      </c>
      <c r="K30" s="21" t="n">
        <v>42956888</v>
      </c>
      <c r="L30" s="19" t="inlineStr">
        <is>
          <t>BID</t>
        </is>
      </c>
      <c r="M30" s="19" t="inlineStr">
        <is>
          <t>Yes</t>
        </is>
      </c>
      <c r="N30" s="19" t="inlineStr">
        <is>
          <t>CONSTRUCTION-LARGE $3MILLIONorABOVE</t>
        </is>
      </c>
      <c r="O30" s="19" t="inlineStr">
        <is>
          <t>BLANKET</t>
        </is>
      </c>
      <c r="P30" s="19" t="inlineStr">
        <is>
          <t>PESHOFF, NANCY R</t>
        </is>
      </c>
      <c r="Q30" s="19" t="n">
        <v>419</v>
      </c>
    </row>
    <row r="31">
      <c r="A31" s="19" t="n">
        <v>383513</v>
      </c>
      <c r="B31" s="19" t="n">
        <v>338805</v>
      </c>
      <c r="C31" s="19" t="n">
        <v>652517</v>
      </c>
      <c r="D31" s="19" t="n">
        <v>1302011</v>
      </c>
      <c r="E31" s="20" t="inlineStr">
        <is>
          <t>1302011: Neighborhood Capital Improvement Contract (NCI) South and West Area</t>
        </is>
      </c>
      <c r="F31" s="19" t="inlineStr">
        <is>
          <t>SEVEN D CONSTRUCTION COMPANY</t>
        </is>
      </c>
      <c r="G31" s="19" t="inlineStr">
        <is>
          <t>84 - CHICAGO DEPARTMENT OF TRANSPORTATION</t>
        </is>
      </c>
      <c r="H31" s="19" t="inlineStr">
        <is>
          <t>CONSTRUCTION</t>
        </is>
      </c>
      <c r="I31" s="31" t="n">
        <v>46107</v>
      </c>
      <c r="J31" s="19" t="inlineStr">
        <is>
          <t>2025-02-26</t>
        </is>
      </c>
      <c r="K31" s="21" t="n">
        <v>35350588</v>
      </c>
      <c r="L31" s="19" t="inlineStr">
        <is>
          <t>BID</t>
        </is>
      </c>
      <c r="M31" s="19" t="inlineStr">
        <is>
          <t>Yes</t>
        </is>
      </c>
      <c r="N31" s="19" t="inlineStr">
        <is>
          <t>CONSTRUCTION-LARGE $3MILLIONorABOVE</t>
        </is>
      </c>
      <c r="O31" s="19" t="inlineStr">
        <is>
          <t>BLANKET</t>
        </is>
      </c>
      <c r="P31" s="19" t="inlineStr">
        <is>
          <t>BEJAR, LUIS</t>
        </is>
      </c>
      <c r="Q31" s="19" t="n">
        <v>393</v>
      </c>
    </row>
    <row r="32">
      <c r="A32" s="19" t="n">
        <v>383509</v>
      </c>
      <c r="B32" s="19" t="n">
        <v>338920</v>
      </c>
      <c r="C32" s="19" t="n">
        <v>652520</v>
      </c>
      <c r="D32" s="19" t="n">
        <v>1302006</v>
      </c>
      <c r="E32" s="20" t="inlineStr">
        <is>
          <t>1302006 Neighborhood Capital Improvement Contract (NCI) - North Area</t>
        </is>
      </c>
      <c r="F32" s="19" t="inlineStr">
        <is>
          <t>G &amp; V CONSTRUCTION CO INC</t>
        </is>
      </c>
      <c r="G32" s="19" t="inlineStr">
        <is>
          <t>84 - CHICAGO DEPARTMENT OF TRANSPORTATION</t>
        </is>
      </c>
      <c r="H32" s="19" t="inlineStr">
        <is>
          <t>CONSTRUCTION</t>
        </is>
      </c>
      <c r="I32" s="31" t="n">
        <v>46094</v>
      </c>
      <c r="J32" s="19" t="inlineStr">
        <is>
          <t>2025-02-26</t>
        </is>
      </c>
      <c r="K32" s="21" t="n">
        <v>43755351.9</v>
      </c>
      <c r="L32" s="19" t="inlineStr">
        <is>
          <t>BID</t>
        </is>
      </c>
      <c r="M32" s="19" t="inlineStr">
        <is>
          <t>Yes</t>
        </is>
      </c>
      <c r="N32" s="19" t="inlineStr">
        <is>
          <t>CONSTRUCTION-LARGE $3MILLIONorABOVE</t>
        </is>
      </c>
      <c r="O32" s="19" t="inlineStr">
        <is>
          <t>BLANKET</t>
        </is>
      </c>
      <c r="P32" s="19" t="inlineStr">
        <is>
          <t>BEJAR, LUIS</t>
        </is>
      </c>
      <c r="Q32" s="19" t="n">
        <v>380</v>
      </c>
    </row>
    <row r="33">
      <c r="A33" s="19" t="n">
        <v>383508</v>
      </c>
      <c r="B33" s="19" t="n">
        <v>338941</v>
      </c>
      <c r="C33" s="19" t="n">
        <v>652829</v>
      </c>
      <c r="D33" s="19" t="n">
        <v>1302007</v>
      </c>
      <c r="E33" s="20" t="inlineStr">
        <is>
          <t>1302007 Neighborhood Capital Improvement Contract (NCI) - Central Area</t>
        </is>
      </c>
      <c r="F33" s="19" t="inlineStr">
        <is>
          <t>SUMIT CONSTRUCTION CO., INC.</t>
        </is>
      </c>
      <c r="G33" s="19" t="inlineStr">
        <is>
          <t>84 - CHICAGO DEPARTMENT OF TRANSPORTATION</t>
        </is>
      </c>
      <c r="H33" s="19" t="inlineStr">
        <is>
          <t>CONSTRUCTION</t>
        </is>
      </c>
      <c r="I33" s="31" t="n">
        <v>46094</v>
      </c>
      <c r="J33" s="19" t="inlineStr">
        <is>
          <t>2025-02-27</t>
        </is>
      </c>
      <c r="K33" s="21" t="n">
        <v>46954295</v>
      </c>
      <c r="L33" s="19" t="inlineStr">
        <is>
          <t>BID</t>
        </is>
      </c>
      <c r="M33" s="19" t="inlineStr">
        <is>
          <t>Yes</t>
        </is>
      </c>
      <c r="N33" s="19" t="inlineStr">
        <is>
          <t>CONSTRUCTION-LARGE $3MILLIONorABOVE</t>
        </is>
      </c>
      <c r="O33" s="19" t="inlineStr">
        <is>
          <t>BLANKET</t>
        </is>
      </c>
      <c r="P33" s="19" t="inlineStr">
        <is>
          <t>BEJAR, LUIS</t>
        </is>
      </c>
      <c r="Q33" s="19" t="n">
        <v>379</v>
      </c>
    </row>
    <row r="34">
      <c r="A34" s="19" t="n">
        <v>386108</v>
      </c>
      <c r="B34" s="19" t="n">
        <v>339016</v>
      </c>
      <c r="C34" s="19" t="n">
        <v>675346</v>
      </c>
      <c r="D34" s="19" t="n">
        <v>1327949</v>
      </c>
      <c r="E34" s="20" t="inlineStr">
        <is>
          <t>Spec 1327949, West Taxiways Development at Chicago O'Hare International Airport, Federal</t>
        </is>
      </c>
      <c r="F34" s="19" t="inlineStr">
        <is>
          <t>FH PASCHEN SN NIELSEN &amp; ASSOCIATES LLC</t>
        </is>
      </c>
      <c r="G34" s="19" t="inlineStr">
        <is>
          <t>85 - CHICAGO DEPARTMENT OF AVIATION</t>
        </is>
      </c>
      <c r="H34" s="19" t="inlineStr">
        <is>
          <t>AVIATION</t>
        </is>
      </c>
      <c r="I34" s="31" t="n">
        <v>46087</v>
      </c>
      <c r="J34" s="19" t="inlineStr">
        <is>
          <t>2025-06-30</t>
        </is>
      </c>
      <c r="K34" s="21" t="n">
        <v>87378396.14</v>
      </c>
      <c r="L34" s="19" t="inlineStr">
        <is>
          <t>BID</t>
        </is>
      </c>
      <c r="M34" s="19" t="inlineStr">
        <is>
          <t>Yes</t>
        </is>
      </c>
      <c r="N34" s="19" t="inlineStr">
        <is>
          <t>CONSTRUCTION-AVIATION</t>
        </is>
      </c>
      <c r="O34" s="19" t="inlineStr">
        <is>
          <t>STANDARD</t>
        </is>
      </c>
      <c r="P34" s="19" t="inlineStr">
        <is>
          <t>MAGNO, THOMAS</t>
        </is>
      </c>
      <c r="Q34" s="19" t="n">
        <v>249</v>
      </c>
    </row>
    <row r="35">
      <c r="A35" s="19" t="n">
        <v>388093</v>
      </c>
      <c r="B35" s="19" t="n">
        <v>339236</v>
      </c>
      <c r="C35" s="19" t="inlineStr"/>
      <c r="D35" s="19" t="n">
        <v>1097939</v>
      </c>
      <c r="E35" s="20" t="inlineStr">
        <is>
          <t>Transfer from PO#157717 MULTI-FUNCTION DEVICES (MFDS), PRINTERS, AND RELATED SERVICES</t>
        </is>
      </c>
      <c r="F35" s="19" t="inlineStr">
        <is>
          <t>CANON U.S.A., INC</t>
        </is>
      </c>
      <c r="G35" s="19" t="inlineStr">
        <is>
          <t>38 - DEPARTMENT OF FLEET AND FACILITY MANAGEMENT</t>
        </is>
      </c>
      <c r="H35" s="19" t="inlineStr">
        <is>
          <t>WORK SERVICES</t>
        </is>
      </c>
      <c r="I35" s="31" t="n">
        <v>46064</v>
      </c>
      <c r="J35" s="19" t="inlineStr">
        <is>
          <t>2026-02-06</t>
        </is>
      </c>
      <c r="K35" s="21" t="n">
        <v>4334711.36</v>
      </c>
      <c r="L35" s="19" t="inlineStr">
        <is>
          <t>CONTRACT ASSIGNMENT/TRANSFER</t>
        </is>
      </c>
      <c r="M35" s="19" t="inlineStr">
        <is>
          <t>No</t>
        </is>
      </c>
      <c r="N35" s="19" t="inlineStr">
        <is>
          <t>WORK SERVICES / FACILITIES MAINT.</t>
        </is>
      </c>
      <c r="O35" s="19" t="inlineStr">
        <is>
          <t>BLANKET</t>
        </is>
      </c>
      <c r="P35" s="19" t="inlineStr">
        <is>
          <t>HARRISON-BONNER, KENYA D</t>
        </is>
      </c>
      <c r="Q35" s="19" t="n">
        <v>5</v>
      </c>
    </row>
    <row r="36">
      <c r="A36" s="19" t="n">
        <v>388075</v>
      </c>
      <c r="B36" s="19" t="n">
        <v>339754</v>
      </c>
      <c r="C36" s="19" t="inlineStr"/>
      <c r="D36" s="19" t="n">
        <v>137797</v>
      </c>
      <c r="E36" s="20" t="inlineStr">
        <is>
          <t>TRANSFERRED FROM PO 241988 TERM AGREEMENTS FOR CONSTRUCTION MANAGEMENT SERVICES NON-TARGET MARKET</t>
        </is>
      </c>
      <c r="F36" s="19" t="inlineStr">
        <is>
          <t>GFT Infrastructure, Inc.</t>
        </is>
      </c>
      <c r="G36" s="19" t="inlineStr">
        <is>
          <t>88 - DEPARTMENT OF WATER MANAGEMENT</t>
        </is>
      </c>
      <c r="H36" s="19" t="inlineStr">
        <is>
          <t>ARCH &amp; ENGINEERING</t>
        </is>
      </c>
      <c r="I36" s="31" t="n">
        <v>46058</v>
      </c>
      <c r="J36" s="19" t="inlineStr">
        <is>
          <t>2026-02-04</t>
        </is>
      </c>
      <c r="K36" s="21" t="n">
        <v>3307227.85</v>
      </c>
      <c r="L36" s="19" t="inlineStr">
        <is>
          <t>CONTRACT ASSIGNMENT/TRANSFER</t>
        </is>
      </c>
      <c r="M36" s="19" t="inlineStr">
        <is>
          <t>No</t>
        </is>
      </c>
      <c r="N36" s="19" t="inlineStr">
        <is>
          <t>ARCH/ENGINEERING</t>
        </is>
      </c>
      <c r="O36" s="19" t="inlineStr">
        <is>
          <t>BLANKET</t>
        </is>
      </c>
      <c r="P36" s="19" t="inlineStr">
        <is>
          <t>UDAIYAR, VENKATESH</t>
        </is>
      </c>
      <c r="Q36" s="19" t="n">
        <v>1</v>
      </c>
    </row>
    <row r="37">
      <c r="A37" s="19" t="n">
        <v>388026</v>
      </c>
      <c r="B37" s="19" t="n">
        <v>339835</v>
      </c>
      <c r="C37" s="19" t="n">
        <v>710537</v>
      </c>
      <c r="D37" s="19" t="n">
        <v>450998</v>
      </c>
      <c r="E37" s="20" t="inlineStr">
        <is>
          <t>DLT Quote# 5349655 for Oracle PaaS and IaaS Universal Credits.</t>
        </is>
      </c>
      <c r="F37" s="19" t="inlineStr">
        <is>
          <t>DLT SOLUTIONS LLC</t>
        </is>
      </c>
      <c r="G37" s="19" t="inlineStr">
        <is>
          <t>06 - DEPARTMENT OF TECHNOLOGY AND INNOVATION</t>
        </is>
      </c>
      <c r="H37" s="19" t="inlineStr">
        <is>
          <t>PROFESSIONAL SERVICES</t>
        </is>
      </c>
      <c r="I37" s="31" t="n">
        <v>46094</v>
      </c>
      <c r="J37" s="19" t="inlineStr">
        <is>
          <t>2026-01-30</t>
        </is>
      </c>
      <c r="K37" s="21" t="n">
        <v>1082000</v>
      </c>
      <c r="L37" s="19" t="inlineStr">
        <is>
          <t>JOINT PURCHASE</t>
        </is>
      </c>
      <c r="M37" s="19" t="inlineStr">
        <is>
          <t>No</t>
        </is>
      </c>
      <c r="N37" s="19" t="inlineStr">
        <is>
          <t>SOFTWARE</t>
        </is>
      </c>
      <c r="O37" s="19" t="inlineStr">
        <is>
          <t>STANDARD</t>
        </is>
      </c>
      <c r="P37" s="19" t="inlineStr">
        <is>
          <t>CORTES, ANN C</t>
        </is>
      </c>
      <c r="Q37" s="19" t="n">
        <v>42</v>
      </c>
    </row>
    <row r="38">
      <c r="A38" s="19" t="n">
        <v>388017</v>
      </c>
      <c r="B38" s="19" t="n">
        <v>339842</v>
      </c>
      <c r="C38" s="19" t="n">
        <v>711058</v>
      </c>
      <c r="D38" s="19" t="n">
        <v>450998</v>
      </c>
      <c r="E38" s="20" t="inlineStr">
        <is>
          <t>DLT Quote# 5331549 for Oracle iProcurement, iSupplier, Procurement, Sourcing for Purchasing and Supplier Lifecycle.</t>
        </is>
      </c>
      <c r="F38" s="19" t="inlineStr">
        <is>
          <t>DLT SOLUTIONS LLC</t>
        </is>
      </c>
      <c r="G38" s="19" t="inlineStr">
        <is>
          <t>06 - DEPARTMENT OF TECHNOLOGY AND INNOVATION</t>
        </is>
      </c>
      <c r="H38" s="19" t="inlineStr">
        <is>
          <t>PROFESSIONAL SERVICES</t>
        </is>
      </c>
      <c r="I38" s="31" t="n">
        <v>46094</v>
      </c>
      <c r="J38" s="19" t="inlineStr">
        <is>
          <t>2026-01-29</t>
        </is>
      </c>
      <c r="K38" s="21" t="n">
        <v>77964.03</v>
      </c>
      <c r="L38" s="19" t="inlineStr">
        <is>
          <t>JOINT PURCHASE</t>
        </is>
      </c>
      <c r="M38" s="19" t="inlineStr">
        <is>
          <t>No</t>
        </is>
      </c>
      <c r="N38" s="19" t="inlineStr">
        <is>
          <t>SOFTWARE</t>
        </is>
      </c>
      <c r="O38" s="19" t="inlineStr">
        <is>
          <t>STANDARD</t>
        </is>
      </c>
      <c r="P38" s="19" t="inlineStr">
        <is>
          <t>CORTES, ANN C</t>
        </is>
      </c>
      <c r="Q38" s="19" t="n">
        <v>43</v>
      </c>
    </row>
    <row r="39">
      <c r="A39" s="19" t="n">
        <v>388030</v>
      </c>
      <c r="B39" s="19" t="n">
        <v>339844</v>
      </c>
      <c r="C39" s="19" t="n">
        <v>711376</v>
      </c>
      <c r="D39" s="19" t="n">
        <v>450998</v>
      </c>
      <c r="E39" s="20" t="inlineStr">
        <is>
          <t>DLT Quote# 5363936 for Oracle iProcurement, iSupplier, Procurement, Sourcing for Purchasing and Supplier Lifecycle.</t>
        </is>
      </c>
      <c r="F39" s="19" t="inlineStr">
        <is>
          <t>DLT SOLUTIONS LLC</t>
        </is>
      </c>
      <c r="G39" s="19" t="inlineStr">
        <is>
          <t>06 - DEPARTMENT OF TECHNOLOGY AND INNOVATION</t>
        </is>
      </c>
      <c r="H39" s="19" t="inlineStr">
        <is>
          <t>PROFESSIONAL SERVICES</t>
        </is>
      </c>
      <c r="I39" s="31" t="n">
        <v>46094</v>
      </c>
      <c r="J39" s="19" t="inlineStr">
        <is>
          <t>2026-01-30</t>
        </is>
      </c>
      <c r="K39" s="21" t="n">
        <v>80347.36</v>
      </c>
      <c r="L39" s="19" t="inlineStr">
        <is>
          <t>JOINT PURCHASE</t>
        </is>
      </c>
      <c r="M39" s="19" t="inlineStr">
        <is>
          <t>No</t>
        </is>
      </c>
      <c r="N39" s="19" t="inlineStr">
        <is>
          <t>SOFTWARE</t>
        </is>
      </c>
      <c r="O39" s="19" t="inlineStr">
        <is>
          <t>STANDARD</t>
        </is>
      </c>
      <c r="P39" s="19" t="inlineStr">
        <is>
          <t>CORTES, ANN C</t>
        </is>
      </c>
      <c r="Q39" s="19" t="n">
        <v>42</v>
      </c>
    </row>
    <row r="40">
      <c r="A40" s="19" t="n">
        <v>388081</v>
      </c>
      <c r="B40" s="19" t="n">
        <v>339915</v>
      </c>
      <c r="C40" s="19" t="inlineStr"/>
      <c r="D40" s="19" t="n">
        <v>129543</v>
      </c>
      <c r="E40" s="20" t="inlineStr">
        <is>
          <t>TRANSFERRED FROM PO38958 - MASTER TASK ORDER CONTRACT FOR CONSULTING SERVICES AGREEMENT FOR SURFACE TRANSPORTATION PLANNING STUDIES CATEGORIES 1-5: AWARDED CATEGORIES ONE, TWO, AND FOUR</t>
        </is>
      </c>
      <c r="F40" s="19" t="inlineStr">
        <is>
          <t>GFT Infrastructure, Inc.</t>
        </is>
      </c>
      <c r="G40" s="19" t="inlineStr">
        <is>
          <t>84 - CHICAGO DEPARTMENT OF TRANSPORTATION</t>
        </is>
      </c>
      <c r="H40" s="19" t="inlineStr">
        <is>
          <t>ARCH &amp; ENGINEERING</t>
        </is>
      </c>
      <c r="I40" s="31" t="n">
        <v>46063</v>
      </c>
      <c r="J40" s="19" t="inlineStr">
        <is>
          <t>2026-02-05</t>
        </is>
      </c>
      <c r="K40" s="21" t="n">
        <v>4595682.21</v>
      </c>
      <c r="L40" s="19" t="inlineStr">
        <is>
          <t>CONTRACT ASSIGNMENT/TRANSFER</t>
        </is>
      </c>
      <c r="M40" s="19" t="inlineStr">
        <is>
          <t>No</t>
        </is>
      </c>
      <c r="N40" s="19" t="inlineStr">
        <is>
          <t>ARCH/ENGINEERING</t>
        </is>
      </c>
      <c r="O40" s="19" t="inlineStr">
        <is>
          <t>BLANKET</t>
        </is>
      </c>
      <c r="P40" s="19" t="inlineStr">
        <is>
          <t>UDAIYAR, VENKATESH</t>
        </is>
      </c>
      <c r="Q40" s="19" t="n">
        <v>5</v>
      </c>
    </row>
    <row r="41">
      <c r="A41" s="19" t="n">
        <v>388110</v>
      </c>
      <c r="B41" s="19" t="n">
        <v>339918</v>
      </c>
      <c r="C41" s="19" t="inlineStr"/>
      <c r="D41" s="19" t="n">
        <v>1155535</v>
      </c>
      <c r="E41" s="20" t="inlineStr">
        <is>
          <t>TRANSFERED FROM PO 179220 RFQ FOR PROFESSIONAL DESIGN ENGINEERING SERVICES FOR 92ND STREET BASCULE BRIDGE OVER THE CALUMET RIVER - CDOT PROJECT NO. E-7-479</t>
        </is>
      </c>
      <c r="F41" s="19" t="inlineStr">
        <is>
          <t>GFT Infrastructure, Inc.</t>
        </is>
      </c>
      <c r="G41" s="19" t="inlineStr">
        <is>
          <t>84 - CHICAGO DEPARTMENT OF TRANSPORTATION</t>
        </is>
      </c>
      <c r="H41" s="19" t="inlineStr">
        <is>
          <t>ARCH &amp; ENGINEERING</t>
        </is>
      </c>
      <c r="I41" s="31" t="n">
        <v>46064</v>
      </c>
      <c r="J41" s="19" t="inlineStr">
        <is>
          <t>2026-02-09</t>
        </is>
      </c>
      <c r="K41" s="21" t="n">
        <v>596256.4</v>
      </c>
      <c r="L41" s="19" t="inlineStr">
        <is>
          <t>CONTRACT ASSIGNMENT/TRANSFER</t>
        </is>
      </c>
      <c r="M41" s="19" t="inlineStr">
        <is>
          <t>No</t>
        </is>
      </c>
      <c r="N41" s="19" t="inlineStr">
        <is>
          <t>ARCH/ENGINEERING</t>
        </is>
      </c>
      <c r="O41" s="19" t="inlineStr">
        <is>
          <t>BLANKET</t>
        </is>
      </c>
      <c r="P41" s="19" t="inlineStr">
        <is>
          <t>UDAIYAR, VENKATESH</t>
        </is>
      </c>
      <c r="Q41" s="19" t="n">
        <v>2</v>
      </c>
    </row>
    <row r="42">
      <c r="A42" s="19" t="n">
        <v>388473</v>
      </c>
      <c r="B42" s="19" t="n">
        <v>341673</v>
      </c>
      <c r="C42" s="19" t="n">
        <v>708161</v>
      </c>
      <c r="D42" s="19" t="n">
        <v>1325082</v>
      </c>
      <c r="E42" s="20" t="inlineStr">
        <is>
          <t>Purchase of Multi-Purpose Snow Removal Equipment for Midway and O'Hare</t>
        </is>
      </c>
      <c r="F42" s="19" t="inlineStr">
        <is>
          <t>Boschung America, LLC</t>
        </is>
      </c>
      <c r="G42" s="19" t="inlineStr">
        <is>
          <t>85 - CHICAGO DEPARTMENT OF AVIATION</t>
        </is>
      </c>
      <c r="H42" s="19" t="inlineStr">
        <is>
          <t>AVIATION</t>
        </is>
      </c>
      <c r="I42" s="31" t="n">
        <v>46118</v>
      </c>
      <c r="J42" s="19" t="inlineStr">
        <is>
          <t>2026-01-12</t>
        </is>
      </c>
      <c r="K42" s="21" t="n">
        <v>120000000</v>
      </c>
      <c r="L42" s="19" t="inlineStr">
        <is>
          <t>REFERENCE CONTRACT</t>
        </is>
      </c>
      <c r="M42" s="19" t="inlineStr">
        <is>
          <t>No</t>
        </is>
      </c>
      <c r="N42" s="19" t="inlineStr">
        <is>
          <t>WORK SERV-AVIATION</t>
        </is>
      </c>
      <c r="O42" s="19" t="inlineStr">
        <is>
          <t>BLANKET</t>
        </is>
      </c>
      <c r="P42" s="19" t="inlineStr">
        <is>
          <t>DUKE, KARL D</t>
        </is>
      </c>
      <c r="Q42" s="19" t="n">
        <v>84</v>
      </c>
    </row>
    <row r="43">
      <c r="A43" s="19" t="n">
        <v>386844</v>
      </c>
      <c r="B43" s="19" t="n">
        <v>342138</v>
      </c>
      <c r="C43" s="19" t="n">
        <v>690671</v>
      </c>
      <c r="D43" s="19" t="n">
        <v>1334021</v>
      </c>
      <c r="E43" s="20" t="inlineStr">
        <is>
          <t>EMERGENCY CONTRACT FOR PARTS, LABOR, REPAIR, MAINTENANCE, ACCESSORIES, AND SUPPLIES TO OPERATE CITY-OWNED BELL HELICOPTERS</t>
        </is>
      </c>
      <c r="F43" s="19" t="inlineStr">
        <is>
          <t>Helicopters, Inc.</t>
        </is>
      </c>
      <c r="G43" s="19" t="inlineStr">
        <is>
          <t>38 - DEPARTMENT OF FLEET AND FACILITY MANAGEMENT</t>
        </is>
      </c>
      <c r="H43" s="19" t="inlineStr">
        <is>
          <t>WORK SERVICES</t>
        </is>
      </c>
      <c r="I43" s="31" t="n">
        <v>46203</v>
      </c>
      <c r="J43" s="19" t="inlineStr">
        <is>
          <t>2025-10-27</t>
        </is>
      </c>
      <c r="K43" s="21" t="n">
        <v>1000000</v>
      </c>
      <c r="L43" s="19" t="inlineStr">
        <is>
          <t>EMERGENCY</t>
        </is>
      </c>
      <c r="M43" s="19" t="inlineStr">
        <is>
          <t>No</t>
        </is>
      </c>
      <c r="N43" s="19" t="inlineStr">
        <is>
          <t>WORK SERVICES / FACILITIES MAINT.</t>
        </is>
      </c>
      <c r="O43" s="19" t="inlineStr">
        <is>
          <t>BLANKET</t>
        </is>
      </c>
      <c r="P43" s="19" t="inlineStr">
        <is>
          <t>HARGES, BERNIE D</t>
        </is>
      </c>
      <c r="Q43" s="19" t="n">
        <v>246</v>
      </c>
    </row>
    <row r="44">
      <c r="A44" s="19" t="n">
        <v>379869</v>
      </c>
      <c r="B44" s="19" t="n">
        <v>342332</v>
      </c>
      <c r="C44" s="19" t="n">
        <v>589357</v>
      </c>
      <c r="D44" s="19" t="n">
        <v>1295019</v>
      </c>
      <c r="E44" s="20" t="inlineStr">
        <is>
          <t>1295019: Rescue Tools - Equipment, Parts, Accessories and Repairs</t>
        </is>
      </c>
      <c r="F44" s="19" t="inlineStr">
        <is>
          <t>ROOT BROS MFG &amp; SUPPLY CO</t>
        </is>
      </c>
      <c r="G44" s="19" t="inlineStr">
        <is>
          <t>59 - CHICAGO FIRE DEPARTMENT</t>
        </is>
      </c>
      <c r="H44" s="19" t="inlineStr">
        <is>
          <t>WORK SERVICES</t>
        </is>
      </c>
      <c r="I44" s="31" t="n">
        <v>46111</v>
      </c>
      <c r="J44" s="19" t="inlineStr">
        <is>
          <t>2024-05-06</t>
        </is>
      </c>
      <c r="K44" s="21" t="n">
        <v>5823500</v>
      </c>
      <c r="L44" s="19" t="inlineStr">
        <is>
          <t>BID</t>
        </is>
      </c>
      <c r="M44" s="19" t="inlineStr">
        <is>
          <t>Yes</t>
        </is>
      </c>
      <c r="N44" s="19" t="inlineStr">
        <is>
          <t>WORK SERVICES / FACILITIES MAINT.</t>
        </is>
      </c>
      <c r="O44" s="19" t="inlineStr">
        <is>
          <t>BLANKET</t>
        </is>
      </c>
      <c r="P44" s="19" t="inlineStr">
        <is>
          <t>PIPERCANON, KIMBERLY</t>
        </is>
      </c>
      <c r="Q44" s="19" t="n">
        <v>532</v>
      </c>
    </row>
    <row r="45">
      <c r="A45" s="19" t="n">
        <v>383514</v>
      </c>
      <c r="B45" s="19" t="n">
        <v>342773</v>
      </c>
      <c r="C45" s="19" t="n">
        <v>652632</v>
      </c>
      <c r="D45" s="19" t="n">
        <v>1302008</v>
      </c>
      <c r="E45" s="20" t="inlineStr">
        <is>
          <t>1302008: Neighborhood Capital Improvement Contract (NCI) Southeast Area</t>
        </is>
      </c>
      <c r="F45" s="19" t="inlineStr">
        <is>
          <t>MQ SEWER &amp; WATER CONTRACTORS</t>
        </is>
      </c>
      <c r="G45" s="19" t="inlineStr">
        <is>
          <t>84 - CHICAGO DEPARTMENT OF TRANSPORTATION</t>
        </is>
      </c>
      <c r="H45" s="19" t="inlineStr">
        <is>
          <t>CONSTRUCTION</t>
        </is>
      </c>
      <c r="I45" s="31" t="n">
        <v>46136</v>
      </c>
      <c r="J45" s="19" t="inlineStr">
        <is>
          <t>2025-02-27</t>
        </is>
      </c>
      <c r="K45" s="21" t="n">
        <v>58759820</v>
      </c>
      <c r="L45" s="19" t="inlineStr">
        <is>
          <t>BID</t>
        </is>
      </c>
      <c r="M45" s="19" t="inlineStr">
        <is>
          <t>Yes</t>
        </is>
      </c>
      <c r="N45" s="19" t="inlineStr">
        <is>
          <t>CONSTRUCTION-LARGE $3MILLIONorABOVE</t>
        </is>
      </c>
      <c r="O45" s="19" t="inlineStr">
        <is>
          <t>BLANKET</t>
        </is>
      </c>
      <c r="P45" s="19" t="inlineStr">
        <is>
          <t>BEJAR, LUIS</t>
        </is>
      </c>
      <c r="Q45" s="19" t="n">
        <v>421</v>
      </c>
    </row>
    <row r="46">
      <c r="A46" s="19" t="n">
        <v>380472</v>
      </c>
      <c r="B46" s="19" t="n">
        <v>343120</v>
      </c>
      <c r="C46" s="19" t="n">
        <v>600764</v>
      </c>
      <c r="D46" s="19" t="n">
        <v>1298971</v>
      </c>
      <c r="E46" s="20" t="inlineStr">
        <is>
          <t>Combined Heat Exchanger Projects at O'Hare International Airport (SBI-1)</t>
        </is>
      </c>
      <c r="F46" s="19" t="inlineStr">
        <is>
          <t>AUTUMN CONSTRUCTION SERVICES, INC.</t>
        </is>
      </c>
      <c r="G46" s="19" t="inlineStr">
        <is>
          <t>85 - CHICAGO DEPARTMENT OF AVIATION</t>
        </is>
      </c>
      <c r="H46" s="19" t="inlineStr">
        <is>
          <t>AVIATION</t>
        </is>
      </c>
      <c r="I46" s="31" t="n">
        <v>46151</v>
      </c>
      <c r="J46" s="19" t="inlineStr">
        <is>
          <t>2024-06-21</t>
        </is>
      </c>
      <c r="K46" s="21" t="n">
        <v>10647000</v>
      </c>
      <c r="L46" s="19" t="inlineStr">
        <is>
          <t>BID</t>
        </is>
      </c>
      <c r="M46" s="19" t="inlineStr">
        <is>
          <t>Yes</t>
        </is>
      </c>
      <c r="N46" s="19" t="inlineStr">
        <is>
          <t>CONSTRUCTION-AVIATION</t>
        </is>
      </c>
      <c r="O46" s="19" t="inlineStr">
        <is>
          <t>STANDARD</t>
        </is>
      </c>
      <c r="P46" s="19" t="inlineStr">
        <is>
          <t>KUSPER, CHRISTOPHER J</t>
        </is>
      </c>
      <c r="Q46" s="19" t="n">
        <v>607</v>
      </c>
    </row>
    <row r="47">
      <c r="A47" s="19" t="n">
        <v>381210</v>
      </c>
      <c r="B47" s="19" t="n">
        <v>343540</v>
      </c>
      <c r="C47" s="19" t="n">
        <v>612193</v>
      </c>
      <c r="D47" s="19" t="n">
        <v>1303031</v>
      </c>
      <c r="E47" s="20" t="inlineStr">
        <is>
          <t>PAVEMENT STRIPING OF RUNWAYS, TAXIWAYS AND ROADWAYS FOR THE CHICAGO DEPARTMENT OF AVIATION (SPEC NO. 1303031)</t>
        </is>
      </c>
      <c r="F47" s="19" t="inlineStr">
        <is>
          <t>PREFORM TRAFFIC CONTROL SYSTEM, LTD</t>
        </is>
      </c>
      <c r="G47" s="19" t="inlineStr">
        <is>
          <t>85 - CHICAGO DEPARTMENT OF AVIATION</t>
        </is>
      </c>
      <c r="H47" s="19" t="inlineStr">
        <is>
          <t>AVIATION</t>
        </is>
      </c>
      <c r="I47" s="31" t="n">
        <v>46106</v>
      </c>
      <c r="J47" s="19" t="inlineStr">
        <is>
          <t>2024-08-19</t>
        </is>
      </c>
      <c r="K47" s="21" t="n">
        <v>70636290</v>
      </c>
      <c r="L47" s="19" t="inlineStr">
        <is>
          <t>BID</t>
        </is>
      </c>
      <c r="M47" s="19" t="inlineStr">
        <is>
          <t>Yes</t>
        </is>
      </c>
      <c r="N47" s="19" t="inlineStr">
        <is>
          <t>WORK SERV-AVIATION</t>
        </is>
      </c>
      <c r="O47" s="19" t="inlineStr">
        <is>
          <t>BLANKET</t>
        </is>
      </c>
      <c r="P47" s="19" t="inlineStr">
        <is>
          <t>DUKE, KARL D</t>
        </is>
      </c>
      <c r="Q47" s="19" t="n">
        <v>583</v>
      </c>
    </row>
    <row r="48">
      <c r="A48" s="19" t="n">
        <v>388280</v>
      </c>
      <c r="B48" s="19" t="n">
        <v>343953</v>
      </c>
      <c r="C48" s="19" t="n">
        <v>712805</v>
      </c>
      <c r="D48" s="19" t="n">
        <v>450998</v>
      </c>
      <c r="E48" s="20" t="inlineStr">
        <is>
          <t>DLT Quote # 5386238 for Oracle Custom Fixed Service.</t>
        </is>
      </c>
      <c r="F48" s="19" t="inlineStr">
        <is>
          <t>DLT SOLUTIONS LLC</t>
        </is>
      </c>
      <c r="G48" s="19" t="inlineStr">
        <is>
          <t>06 - DEPARTMENT OF TECHNOLOGY AND INNOVATION</t>
        </is>
      </c>
      <c r="H48" s="19" t="inlineStr">
        <is>
          <t>PROFESSIONAL SERVICES</t>
        </is>
      </c>
      <c r="I48" s="31" t="n">
        <v>46153</v>
      </c>
      <c r="J48" s="19" t="inlineStr">
        <is>
          <t>2026-02-23</t>
        </is>
      </c>
      <c r="K48" s="21" t="n">
        <v>148387</v>
      </c>
      <c r="L48" s="19" t="inlineStr">
        <is>
          <t>JOINT PURCHASE</t>
        </is>
      </c>
      <c r="M48" s="19" t="inlineStr">
        <is>
          <t>No</t>
        </is>
      </c>
      <c r="N48" s="19" t="inlineStr">
        <is>
          <t>SOFTWARE</t>
        </is>
      </c>
      <c r="O48" s="19" t="inlineStr">
        <is>
          <t>STANDARD</t>
        </is>
      </c>
      <c r="P48" s="19" t="inlineStr">
        <is>
          <t>CORTES, ANN C</t>
        </is>
      </c>
      <c r="Q48" s="19" t="n">
        <v>77</v>
      </c>
    </row>
    <row r="49">
      <c r="A49" s="19" t="n">
        <v>383127</v>
      </c>
      <c r="B49" s="19" t="n">
        <v>344066</v>
      </c>
      <c r="C49" s="19" t="n">
        <v>630858</v>
      </c>
      <c r="D49" s="19" t="n">
        <v>1310217</v>
      </c>
      <c r="E49" s="20" t="inlineStr">
        <is>
          <t>Economy Garage Lighting Replacement (SBI) at Midway International Airport</t>
        </is>
      </c>
      <c r="F49" s="19" t="inlineStr">
        <is>
          <t>COURTESY ELECTRIC INC</t>
        </is>
      </c>
      <c r="G49" s="19" t="inlineStr">
        <is>
          <t>85 - CHICAGO DEPARTMENT OF AVIATION</t>
        </is>
      </c>
      <c r="H49" s="19" t="inlineStr">
        <is>
          <t>AVIATION</t>
        </is>
      </c>
      <c r="I49" s="31" t="n">
        <v>46217</v>
      </c>
      <c r="J49" s="19" t="inlineStr">
        <is>
          <t>2025-01-27</t>
        </is>
      </c>
      <c r="K49" s="21" t="n">
        <v>3255010.62</v>
      </c>
      <c r="L49" s="19" t="inlineStr">
        <is>
          <t>BID</t>
        </is>
      </c>
      <c r="M49" s="19" t="inlineStr">
        <is>
          <t>Yes</t>
        </is>
      </c>
      <c r="N49" s="19" t="inlineStr">
        <is>
          <t>CONSTRUCTION-AVIATION</t>
        </is>
      </c>
      <c r="O49" s="19" t="inlineStr">
        <is>
          <t>STANDARD</t>
        </is>
      </c>
      <c r="P49" s="19" t="inlineStr">
        <is>
          <t>MERRICK, TOBY</t>
        </is>
      </c>
      <c r="Q49" s="19" t="n">
        <v>524</v>
      </c>
    </row>
    <row r="50">
      <c r="A50" s="19" t="n">
        <v>387053</v>
      </c>
      <c r="B50" s="19" t="n">
        <v>344340</v>
      </c>
      <c r="C50" s="19" t="n">
        <v>697512</v>
      </c>
      <c r="D50" s="19" t="inlineStr">
        <is>
          <t>1303936A</t>
        </is>
      </c>
      <c r="E50" s="20" t="inlineStr">
        <is>
          <t>1303936A: DIVISION STREET STREETSCAPE W Division Street, N. Dearborn Street to N. State Street</t>
        </is>
      </c>
      <c r="F50" s="19" t="inlineStr">
        <is>
          <t>Rausch Infrastructure LLC</t>
        </is>
      </c>
      <c r="G50" s="19" t="inlineStr">
        <is>
          <t>84 - CHICAGO DEPARTMENT OF TRANSPORTATION</t>
        </is>
      </c>
      <c r="H50" s="19" t="inlineStr">
        <is>
          <t>CONSTRUCTION</t>
        </is>
      </c>
      <c r="I50" s="31" t="n">
        <v>46136</v>
      </c>
      <c r="J50" s="19" t="inlineStr">
        <is>
          <t>2025-11-10</t>
        </is>
      </c>
      <c r="K50" s="21" t="n">
        <v>2499602.5</v>
      </c>
      <c r="L50" s="19" t="inlineStr">
        <is>
          <t>BID</t>
        </is>
      </c>
      <c r="M50" s="19" t="inlineStr">
        <is>
          <t>Yes</t>
        </is>
      </c>
      <c r="N50" s="19" t="inlineStr">
        <is>
          <t>CONSTRUCTION-LARGE $3MILLIONorABOVE</t>
        </is>
      </c>
      <c r="O50" s="19" t="inlineStr">
        <is>
          <t>STANDARD</t>
        </is>
      </c>
      <c r="P50" s="19" t="inlineStr">
        <is>
          <t>PESHOFF, NANCY R</t>
        </is>
      </c>
      <c r="Q50" s="19" t="n">
        <v>165</v>
      </c>
    </row>
    <row r="51">
      <c r="A51" s="19" t="n">
        <v>388384</v>
      </c>
      <c r="B51" s="19" t="n">
        <v>344423</v>
      </c>
      <c r="C51" s="19" t="n">
        <v>717479</v>
      </c>
      <c r="D51" s="19" t="n">
        <v>1345340</v>
      </c>
      <c r="E51" s="20" t="inlineStr">
        <is>
          <t>Temporary Medical Personnel Emergency Procurement.</t>
        </is>
      </c>
      <c r="F51" s="19" t="inlineStr">
        <is>
          <t>McKinley and Company Recruitment, Inc.</t>
        </is>
      </c>
      <c r="G51" s="19" t="inlineStr">
        <is>
          <t>41 - CHICAGO DEPARTMENT OF PUBLIC HEALTH</t>
        </is>
      </c>
      <c r="H51" s="19" t="inlineStr">
        <is>
          <t>PROFESSIONAL SERVICES</t>
        </is>
      </c>
      <c r="I51" s="31" t="n">
        <v>46153</v>
      </c>
      <c r="J51" s="19" t="inlineStr">
        <is>
          <t>2026-03-04</t>
        </is>
      </c>
      <c r="K51" s="21" t="n">
        <v>1000000</v>
      </c>
      <c r="L51" s="19" t="inlineStr">
        <is>
          <t>EMERGENCY</t>
        </is>
      </c>
      <c r="M51" s="19" t="inlineStr">
        <is>
          <t>No</t>
        </is>
      </c>
      <c r="N51" s="19" t="inlineStr">
        <is>
          <t>PRO SERV CONSULTING $250,000orABOVE</t>
        </is>
      </c>
      <c r="O51" s="19" t="inlineStr">
        <is>
          <t>STANDARD</t>
        </is>
      </c>
      <c r="P51" s="19" t="inlineStr">
        <is>
          <t>CORTES, ANN C</t>
        </is>
      </c>
      <c r="Q51" s="19" t="n">
        <v>68</v>
      </c>
    </row>
    <row r="52">
      <c r="A52" s="19" t="n">
        <v>385651</v>
      </c>
      <c r="B52" s="19" t="n">
        <v>344574</v>
      </c>
      <c r="C52" s="19" t="n">
        <v>677687</v>
      </c>
      <c r="D52" s="19" t="n">
        <v>1330319</v>
      </c>
      <c r="E52" s="20" t="inlineStr">
        <is>
          <t>MAINTENANCE, REPAIR AND INSTALLATION OF TERRAZZO (SPEC #1330319)</t>
        </is>
      </c>
      <c r="F52" s="19" t="inlineStr">
        <is>
          <t>MCDONAGH DEMOLITION, INC.</t>
        </is>
      </c>
      <c r="G52" s="19" t="inlineStr">
        <is>
          <t>85 - CHICAGO DEPARTMENT OF AVIATION</t>
        </is>
      </c>
      <c r="H52" s="19" t="inlineStr">
        <is>
          <t>AVIATION</t>
        </is>
      </c>
      <c r="I52" s="31" t="n">
        <v>46177</v>
      </c>
      <c r="J52" s="19" t="inlineStr">
        <is>
          <t>2025-07-11</t>
        </is>
      </c>
      <c r="K52" s="21" t="n">
        <v>33934429.3</v>
      </c>
      <c r="L52" s="19" t="inlineStr">
        <is>
          <t>BID</t>
        </is>
      </c>
      <c r="M52" s="19" t="inlineStr">
        <is>
          <t>Yes</t>
        </is>
      </c>
      <c r="N52" s="19" t="inlineStr">
        <is>
          <t>WORK SERV-AVIATION</t>
        </is>
      </c>
      <c r="O52" s="19" t="inlineStr">
        <is>
          <t>BLANKET</t>
        </is>
      </c>
      <c r="P52" s="19" t="inlineStr">
        <is>
          <t>DUKE, KARL D</t>
        </is>
      </c>
      <c r="Q52" s="19" t="n">
        <v>328</v>
      </c>
    </row>
    <row r="53">
      <c r="A53" s="19" t="n">
        <v>388284</v>
      </c>
      <c r="B53" s="19" t="n">
        <v>345203</v>
      </c>
      <c r="C53" s="19" t="n">
        <v>715111</v>
      </c>
      <c r="D53" s="19" t="n">
        <v>134400</v>
      </c>
      <c r="E53" s="20" t="inlineStr">
        <is>
          <t>REFERENCE AGREEMENT THROUGH REGION 14 ESC &amp; OMNIA PARTNERS FOR</t>
        </is>
      </c>
      <c r="F53" s="19" t="inlineStr">
        <is>
          <t>ERNST &amp; YOUNG LLP</t>
        </is>
      </c>
      <c r="G53" s="19" t="inlineStr">
        <is>
          <t>05 - OFFICE OF BUDGET &amp; MANAGEMENT</t>
        </is>
      </c>
      <c r="H53" s="19" t="inlineStr">
        <is>
          <t>PROFESSIONAL SERVICES</t>
        </is>
      </c>
      <c r="I53" s="31" t="n">
        <v>46107</v>
      </c>
      <c r="J53" s="19" t="inlineStr">
        <is>
          <t>2026-02-19</t>
        </is>
      </c>
      <c r="K53" s="21" t="n">
        <v>6720000</v>
      </c>
      <c r="L53" s="19" t="inlineStr">
        <is>
          <t>REFERENCE CONTRACT</t>
        </is>
      </c>
      <c r="M53" s="19" t="inlineStr">
        <is>
          <t>No</t>
        </is>
      </c>
      <c r="N53" s="19" t="inlineStr">
        <is>
          <t>PRO SERV CONSULTING $250,000orABOVE</t>
        </is>
      </c>
      <c r="O53" s="19" t="inlineStr">
        <is>
          <t>BLANKET</t>
        </is>
      </c>
      <c r="P53" s="19" t="inlineStr">
        <is>
          <t>RICHY, MICHAEL A</t>
        </is>
      </c>
      <c r="Q53" s="19" t="n">
        <v>35</v>
      </c>
    </row>
    <row r="54">
      <c r="A54" s="19" t="n">
        <v>385131</v>
      </c>
      <c r="B54" s="19" t="n">
        <v>345303</v>
      </c>
      <c r="C54" s="19" t="n">
        <v>673005</v>
      </c>
      <c r="D54" s="19" t="n">
        <v>1316093</v>
      </c>
      <c r="E54" s="20" t="inlineStr">
        <is>
          <t>1316093: CATALPA AVENUE PLAZA IMPROVEMENTS, CDOT PROJECT NO.:  S-1-409</t>
        </is>
      </c>
      <c r="F54" s="19" t="inlineStr">
        <is>
          <t>SUMIT CONSTRUCTION CO., INC.</t>
        </is>
      </c>
      <c r="G54" s="19" t="inlineStr">
        <is>
          <t>84 - CHICAGO DEPARTMENT OF TRANSPORTATION</t>
        </is>
      </c>
      <c r="H54" s="19" t="inlineStr">
        <is>
          <t>CONSTRUCTION</t>
        </is>
      </c>
      <c r="I54" s="31" t="n">
        <v>46127</v>
      </c>
      <c r="J54" s="19" t="inlineStr">
        <is>
          <t>2025-06-16</t>
        </is>
      </c>
      <c r="K54" s="21" t="n">
        <v>2739500.5</v>
      </c>
      <c r="L54" s="19" t="inlineStr">
        <is>
          <t>BID</t>
        </is>
      </c>
      <c r="M54" s="19" t="inlineStr">
        <is>
          <t>Yes</t>
        </is>
      </c>
      <c r="N54" s="19" t="inlineStr">
        <is>
          <t>CONSTRUCTION-LARGE $3MILLIONorABOVE</t>
        </is>
      </c>
      <c r="O54" s="19" t="inlineStr">
        <is>
          <t>STANDARD</t>
        </is>
      </c>
      <c r="P54" s="19" t="inlineStr">
        <is>
          <t>PESHOFF, NANCY R</t>
        </is>
      </c>
      <c r="Q54" s="19" t="n">
        <v>303</v>
      </c>
    </row>
    <row r="55">
      <c r="A55" s="19" t="n">
        <v>387744</v>
      </c>
      <c r="B55" s="19" t="n">
        <v>345544</v>
      </c>
      <c r="C55" s="19" t="n">
        <v>707745</v>
      </c>
      <c r="D55" s="19" t="n">
        <v>1316729</v>
      </c>
      <c r="E55" s="20" t="inlineStr">
        <is>
          <t>1316729: 92nd Street Bascule Bridge of the Calumet River Rehabilitation</t>
        </is>
      </c>
      <c r="F55" s="19" t="inlineStr">
        <is>
          <t>FH PASCHEN SN NIELSEN &amp; ASSOCIATES LLC</t>
        </is>
      </c>
      <c r="G55" s="19" t="inlineStr">
        <is>
          <t>84 - CHICAGO DEPARTMENT OF TRANSPORTATION</t>
        </is>
      </c>
      <c r="H55" s="19" t="inlineStr">
        <is>
          <t>CONSTRUCTION</t>
        </is>
      </c>
      <c r="I55" s="31" t="n">
        <v>46241</v>
      </c>
      <c r="J55" s="19" t="inlineStr">
        <is>
          <t>2026-01-08</t>
        </is>
      </c>
      <c r="K55" s="21" t="n">
        <v>135063945.56</v>
      </c>
      <c r="L55" s="19" t="inlineStr">
        <is>
          <t>BID</t>
        </is>
      </c>
      <c r="M55" s="19" t="inlineStr">
        <is>
          <t>Yes</t>
        </is>
      </c>
      <c r="N55" s="19" t="inlineStr">
        <is>
          <t>CONSTRUCTION-LARGE $3MILLIONorABOVE</t>
        </is>
      </c>
      <c r="O55" s="19" t="inlineStr">
        <is>
          <t>STANDARD</t>
        </is>
      </c>
      <c r="P55" s="19" t="inlineStr">
        <is>
          <t>PESHOFF, NANCY R</t>
        </is>
      </c>
      <c r="Q55" s="19" t="n">
        <v>211</v>
      </c>
    </row>
    <row r="56">
      <c r="A56" s="19" t="n">
        <v>384233</v>
      </c>
      <c r="B56" s="19" t="n">
        <v>345601</v>
      </c>
      <c r="C56" s="19" t="n">
        <v>662082</v>
      </c>
      <c r="D56" s="19" t="inlineStr">
        <is>
          <t>1292540A</t>
        </is>
      </c>
      <c r="E56" s="20" t="inlineStr">
        <is>
          <t>1292540A: Sewer Cleaning and Televising Services (Groups - North, Central, and South Areas) Groups</t>
        </is>
      </c>
      <c r="F56" s="19" t="inlineStr">
        <is>
          <t>NATIONAL POWER RODDING CORP</t>
        </is>
      </c>
      <c r="G56" s="19" t="inlineStr">
        <is>
          <t>88 - DEPARTMENT OF WATER MANAGEMENT</t>
        </is>
      </c>
      <c r="H56" s="19" t="inlineStr">
        <is>
          <t>WORK SERVICES</t>
        </is>
      </c>
      <c r="I56" s="31" t="n">
        <v>46134</v>
      </c>
      <c r="J56" s="19" t="inlineStr">
        <is>
          <t>2025-04-22</t>
        </is>
      </c>
      <c r="K56" s="21" t="n">
        <v>68291000</v>
      </c>
      <c r="L56" s="19" t="inlineStr">
        <is>
          <t>BID</t>
        </is>
      </c>
      <c r="M56" s="19" t="inlineStr">
        <is>
          <t>Yes</t>
        </is>
      </c>
      <c r="N56" s="19" t="inlineStr">
        <is>
          <t>WORK SERVICES / FACILITIES MAINT.</t>
        </is>
      </c>
      <c r="O56" s="19" t="inlineStr">
        <is>
          <t>BLANKET</t>
        </is>
      </c>
      <c r="P56" s="19" t="inlineStr">
        <is>
          <t>POLK-STAMPS, MELANIE L</t>
        </is>
      </c>
      <c r="Q56" s="19" t="n">
        <v>365</v>
      </c>
    </row>
    <row r="57">
      <c r="A57" s="19" t="n">
        <v>376209</v>
      </c>
      <c r="B57" s="19" t="n">
        <v>345942</v>
      </c>
      <c r="C57" s="19" t="n">
        <v>534299</v>
      </c>
      <c r="D57" s="19" t="n">
        <v>1274349</v>
      </c>
      <c r="E57" s="20" t="inlineStr">
        <is>
          <t>Solid Surface Materials, Accessories and Related Supplies, Chicago Department of Aviation, Specification Number 1274349</t>
        </is>
      </c>
      <c r="F57" s="19" t="inlineStr">
        <is>
          <t>ROOT BROS MFG &amp; SUPPLY CO</t>
        </is>
      </c>
      <c r="G57" s="19" t="inlineStr">
        <is>
          <t>85 - CHICAGO DEPARTMENT OF AVIATION</t>
        </is>
      </c>
      <c r="H57" s="19" t="inlineStr">
        <is>
          <t>AVIATION</t>
        </is>
      </c>
      <c r="I57" s="31" t="n">
        <v>46220</v>
      </c>
      <c r="J57" s="19" t="inlineStr">
        <is>
          <t>2023-05-26</t>
        </is>
      </c>
      <c r="K57" s="21" t="n">
        <v>2081250</v>
      </c>
      <c r="L57" s="19" t="inlineStr">
        <is>
          <t>BID</t>
        </is>
      </c>
      <c r="M57" s="19" t="inlineStr">
        <is>
          <t>Yes</t>
        </is>
      </c>
      <c r="N57" s="19" t="inlineStr">
        <is>
          <t>COMMODITIES-AVIATION</t>
        </is>
      </c>
      <c r="O57" s="19" t="inlineStr">
        <is>
          <t>BLANKET</t>
        </is>
      </c>
      <c r="P57" s="19" t="inlineStr">
        <is>
          <t>BRIDGES, PORSHA D</t>
        </is>
      </c>
      <c r="Q57" s="19" t="n">
        <v>1148</v>
      </c>
    </row>
    <row r="58">
      <c r="A58" s="19" t="n">
        <v>385028</v>
      </c>
      <c r="B58" s="19" t="n">
        <v>346394</v>
      </c>
      <c r="C58" s="19" t="n">
        <v>653233</v>
      </c>
      <c r="D58" s="19" t="inlineStr">
        <is>
          <t>1281675A</t>
        </is>
      </c>
      <c r="E58" s="20" t="inlineStr">
        <is>
          <t>ID Badging Supplies for O'Hare and Midway</t>
        </is>
      </c>
      <c r="F58" s="19" t="inlineStr">
        <is>
          <t>PLASTIC CARD SOLUTIONS, INC.</t>
        </is>
      </c>
      <c r="G58" s="19" t="inlineStr">
        <is>
          <t>85 - CHICAGO DEPARTMENT OF AVIATION</t>
        </is>
      </c>
      <c r="H58" s="19" t="inlineStr">
        <is>
          <t>COMMODITIES</t>
        </is>
      </c>
      <c r="I58" s="31" t="n">
        <v>46176</v>
      </c>
      <c r="J58" s="19" t="inlineStr">
        <is>
          <t>2025-06-17</t>
        </is>
      </c>
      <c r="K58" s="21" t="n">
        <v>1701613.8</v>
      </c>
      <c r="L58" s="19" t="inlineStr">
        <is>
          <t>BID</t>
        </is>
      </c>
      <c r="M58" s="19" t="inlineStr">
        <is>
          <t>Yes</t>
        </is>
      </c>
      <c r="N58" s="19" t="inlineStr">
        <is>
          <t>COMMODITIES</t>
        </is>
      </c>
      <c r="O58" s="19" t="inlineStr">
        <is>
          <t>BLANKET</t>
        </is>
      </c>
      <c r="P58" s="19" t="inlineStr">
        <is>
          <t>BRIDGES, PORSHA D</t>
        </is>
      </c>
      <c r="Q58" s="19" t="n">
        <v>351</v>
      </c>
    </row>
    <row r="59">
      <c r="A59" s="19" t="n">
        <v>388839</v>
      </c>
      <c r="B59" s="19" t="n">
        <v>346792</v>
      </c>
      <c r="C59" s="19" t="n">
        <v>593511</v>
      </c>
      <c r="D59" s="19" t="n">
        <v>1296416</v>
      </c>
      <c r="E59" s="20" t="inlineStr">
        <is>
          <t>Professional Sewer Construction Management Engineering Services - Target Market (Task Order Services)</t>
        </is>
      </c>
      <c r="F59" s="19" t="inlineStr">
        <is>
          <t>THE RODERICK GROUP INC DBA ARDMORE RODERICK</t>
        </is>
      </c>
      <c r="G59" s="19" t="inlineStr">
        <is>
          <t>88 - DEPARTMENT OF WATER MANAGEMENT</t>
        </is>
      </c>
      <c r="H59" s="19" t="inlineStr">
        <is>
          <t>ARCH &amp; ENGINEERING</t>
        </is>
      </c>
      <c r="I59" s="31" t="n">
        <v>46191</v>
      </c>
      <c r="J59" s="19" t="inlineStr">
        <is>
          <t>2024-12-04</t>
        </is>
      </c>
      <c r="K59" s="21" t="n">
        <v>15000000</v>
      </c>
      <c r="L59" s="19" t="inlineStr">
        <is>
          <t>RFQ</t>
        </is>
      </c>
      <c r="M59" s="19" t="inlineStr">
        <is>
          <t>Yes</t>
        </is>
      </c>
      <c r="N59" s="19" t="inlineStr">
        <is>
          <t>ARCH/ENGINEERING</t>
        </is>
      </c>
      <c r="O59" s="19" t="inlineStr">
        <is>
          <t>BLANKET</t>
        </is>
      </c>
      <c r="P59" s="19" t="inlineStr">
        <is>
          <t>PESHOFF, NANCY R</t>
        </is>
      </c>
      <c r="Q59" s="19" t="n">
        <v>561</v>
      </c>
    </row>
    <row r="60">
      <c r="A60" s="19" t="n">
        <v>382539</v>
      </c>
      <c r="B60" s="19" t="n">
        <v>346793</v>
      </c>
      <c r="C60" s="19" t="n">
        <v>593511</v>
      </c>
      <c r="D60" s="19" t="n">
        <v>1296416</v>
      </c>
      <c r="E60" s="20" t="inlineStr">
        <is>
          <t>Professional Sewer Construction Management Engineering Services - Target Market (Task Order Services)</t>
        </is>
      </c>
      <c r="F60" s="19" t="inlineStr">
        <is>
          <t>COMPREHENSIVE CONSTRUCTION CONSULTING INC</t>
        </is>
      </c>
      <c r="G60" s="19" t="inlineStr">
        <is>
          <t>88 - DEPARTMENT OF WATER MANAGEMENT</t>
        </is>
      </c>
      <c r="H60" s="19" t="inlineStr">
        <is>
          <t>ARCH &amp; ENGINEERING</t>
        </is>
      </c>
      <c r="I60" s="31" t="n">
        <v>46191</v>
      </c>
      <c r="J60" s="19" t="inlineStr">
        <is>
          <t>2024-12-04</t>
        </is>
      </c>
      <c r="K60" s="21" t="n">
        <v>15000000</v>
      </c>
      <c r="L60" s="19" t="inlineStr">
        <is>
          <t>RFQ</t>
        </is>
      </c>
      <c r="M60" s="19" t="inlineStr">
        <is>
          <t>Yes</t>
        </is>
      </c>
      <c r="N60" s="19" t="inlineStr">
        <is>
          <t>ARCH/ENGINEERING</t>
        </is>
      </c>
      <c r="O60" s="19" t="inlineStr">
        <is>
          <t>BLANKET</t>
        </is>
      </c>
      <c r="P60" s="19" t="inlineStr">
        <is>
          <t>PESHOFF, NANCY R</t>
        </is>
      </c>
      <c r="Q60" s="19" t="n">
        <v>561</v>
      </c>
    </row>
    <row r="61">
      <c r="A61" s="19" t="n">
        <v>388840</v>
      </c>
      <c r="B61" s="19" t="n">
        <v>346794</v>
      </c>
      <c r="C61" s="19" t="n">
        <v>593511</v>
      </c>
      <c r="D61" s="19" t="n">
        <v>1296416</v>
      </c>
      <c r="E61" s="20" t="inlineStr">
        <is>
          <t>Professional Sewer Construction Management Engineering Services - Target Market (Task Order Services)</t>
        </is>
      </c>
      <c r="F61" s="19" t="inlineStr">
        <is>
          <t>SQN Associates, LLC</t>
        </is>
      </c>
      <c r="G61" s="19" t="inlineStr">
        <is>
          <t>88 - DEPARTMENT OF WATER MANAGEMENT</t>
        </is>
      </c>
      <c r="H61" s="19" t="inlineStr">
        <is>
          <t>ARCH &amp; ENGINEERING</t>
        </is>
      </c>
      <c r="I61" s="31" t="n">
        <v>46203</v>
      </c>
      <c r="J61" s="19" t="inlineStr">
        <is>
          <t>2024-12-04</t>
        </is>
      </c>
      <c r="K61" s="21" t="n">
        <v>15000000</v>
      </c>
      <c r="L61" s="19" t="inlineStr">
        <is>
          <t>RFQ</t>
        </is>
      </c>
      <c r="M61" s="19" t="inlineStr">
        <is>
          <t>Yes</t>
        </is>
      </c>
      <c r="N61" s="19" t="inlineStr">
        <is>
          <t>ARCH/ENGINEERING</t>
        </is>
      </c>
      <c r="O61" s="19" t="inlineStr">
        <is>
          <t>BLANKET</t>
        </is>
      </c>
      <c r="P61" s="19" t="inlineStr">
        <is>
          <t>PESHOFF, NANCY R</t>
        </is>
      </c>
      <c r="Q61" s="19" t="n">
        <v>573</v>
      </c>
    </row>
    <row r="62">
      <c r="A62" s="19" t="n">
        <v>388833</v>
      </c>
      <c r="B62" s="19" t="n">
        <v>346795</v>
      </c>
      <c r="C62" s="19" t="n">
        <v>593511</v>
      </c>
      <c r="D62" s="19" t="n">
        <v>1296416</v>
      </c>
      <c r="E62" s="20" t="inlineStr">
        <is>
          <t>Professional Sewer Construction Management Engineering Services - Target Market (Task Order Services)</t>
        </is>
      </c>
      <c r="F62" s="19" t="inlineStr">
        <is>
          <t>D'ESCOTO, INC.</t>
        </is>
      </c>
      <c r="G62" s="19" t="inlineStr">
        <is>
          <t>88 - DEPARTMENT OF WATER MANAGEMENT</t>
        </is>
      </c>
      <c r="H62" s="19" t="inlineStr">
        <is>
          <t>ARCH &amp; ENGINEERING</t>
        </is>
      </c>
      <c r="I62" s="31" t="n">
        <v>46191</v>
      </c>
      <c r="J62" s="19" t="inlineStr">
        <is>
          <t>2024-12-04</t>
        </is>
      </c>
      <c r="K62" s="21" t="n">
        <v>15000000</v>
      </c>
      <c r="L62" s="19" t="inlineStr">
        <is>
          <t>RFQ</t>
        </is>
      </c>
      <c r="M62" s="19" t="inlineStr">
        <is>
          <t>Yes</t>
        </is>
      </c>
      <c r="N62" s="19" t="inlineStr">
        <is>
          <t>ARCH/ENGINEERING</t>
        </is>
      </c>
      <c r="O62" s="19" t="inlineStr">
        <is>
          <t>BLANKET</t>
        </is>
      </c>
      <c r="P62" s="19" t="inlineStr">
        <is>
          <t>PESHOFF, NANCY R</t>
        </is>
      </c>
      <c r="Q62" s="19" t="n">
        <v>561</v>
      </c>
    </row>
    <row r="63">
      <c r="A63" s="19" t="n">
        <v>388841</v>
      </c>
      <c r="B63" s="19" t="n">
        <v>346796</v>
      </c>
      <c r="C63" s="19" t="n">
        <v>593511</v>
      </c>
      <c r="D63" s="19" t="n">
        <v>1296416</v>
      </c>
      <c r="E63" s="20" t="inlineStr">
        <is>
          <t>Professional Sewer Construction Management Engineering Services - Target Market (Task Order Services)</t>
        </is>
      </c>
      <c r="F63" s="19" t="inlineStr">
        <is>
          <t>TERRA ENGINEERING LTD</t>
        </is>
      </c>
      <c r="G63" s="19" t="inlineStr">
        <is>
          <t>88 - DEPARTMENT OF WATER MANAGEMENT</t>
        </is>
      </c>
      <c r="H63" s="19" t="inlineStr">
        <is>
          <t>ARCH &amp; ENGINEERING</t>
        </is>
      </c>
      <c r="I63" s="31" t="n">
        <v>46203</v>
      </c>
      <c r="J63" s="19" t="inlineStr">
        <is>
          <t>2024-12-04</t>
        </is>
      </c>
      <c r="K63" s="21" t="n">
        <v>15000000</v>
      </c>
      <c r="L63" s="19" t="inlineStr">
        <is>
          <t>RFQ</t>
        </is>
      </c>
      <c r="M63" s="19" t="inlineStr">
        <is>
          <t>Yes</t>
        </is>
      </c>
      <c r="N63" s="19" t="inlineStr">
        <is>
          <t>ARCH/ENGINEERING</t>
        </is>
      </c>
      <c r="O63" s="19" t="inlineStr">
        <is>
          <t>BLANKET</t>
        </is>
      </c>
      <c r="P63" s="19" t="inlineStr">
        <is>
          <t>PESHOFF, NANCY R</t>
        </is>
      </c>
      <c r="Q63" s="19" t="n">
        <v>573</v>
      </c>
    </row>
    <row r="64">
      <c r="A64" s="19" t="n">
        <v>388832</v>
      </c>
      <c r="B64" s="19" t="n">
        <v>346797</v>
      </c>
      <c r="C64" s="19" t="n">
        <v>593511</v>
      </c>
      <c r="D64" s="19" t="n">
        <v>1296416</v>
      </c>
      <c r="E64" s="20" t="inlineStr">
        <is>
          <t>Professional Sewer Construction Management Engineering Services - Target Market (Task Order Services)</t>
        </is>
      </c>
      <c r="F64" s="19" t="inlineStr">
        <is>
          <t>D.B. STERLIN CONSULTANTS, INC.</t>
        </is>
      </c>
      <c r="G64" s="19" t="inlineStr">
        <is>
          <t>88 - DEPARTMENT OF WATER MANAGEMENT</t>
        </is>
      </c>
      <c r="H64" s="19" t="inlineStr">
        <is>
          <t>ARCH &amp; ENGINEERING</t>
        </is>
      </c>
      <c r="I64" s="31" t="n">
        <v>46191</v>
      </c>
      <c r="J64" s="19" t="inlineStr">
        <is>
          <t>2024-12-04</t>
        </is>
      </c>
      <c r="K64" s="21" t="n">
        <v>15000000</v>
      </c>
      <c r="L64" s="19" t="inlineStr">
        <is>
          <t>RFQ</t>
        </is>
      </c>
      <c r="M64" s="19" t="inlineStr">
        <is>
          <t>Yes</t>
        </is>
      </c>
      <c r="N64" s="19" t="inlineStr">
        <is>
          <t>ARCH/ENGINEERING</t>
        </is>
      </c>
      <c r="O64" s="19" t="inlineStr">
        <is>
          <t>BLANKET</t>
        </is>
      </c>
      <c r="P64" s="19" t="inlineStr">
        <is>
          <t>PESHOFF, NANCY R</t>
        </is>
      </c>
      <c r="Q64" s="19" t="n">
        <v>561</v>
      </c>
    </row>
    <row r="65">
      <c r="A65" s="19" t="n">
        <v>388838</v>
      </c>
      <c r="B65" s="19" t="n">
        <v>346798</v>
      </c>
      <c r="C65" s="19" t="n">
        <v>593511</v>
      </c>
      <c r="D65" s="19" t="n">
        <v>1296416</v>
      </c>
      <c r="E65" s="20" t="inlineStr">
        <is>
          <t>Professional Sewer Construction Management Engineering Services - Target Market (Task Order Services)</t>
        </is>
      </c>
      <c r="F65" s="19" t="inlineStr">
        <is>
          <t>PDF Engineering llc</t>
        </is>
      </c>
      <c r="G65" s="19" t="inlineStr">
        <is>
          <t>88 - DEPARTMENT OF WATER MANAGEMENT</t>
        </is>
      </c>
      <c r="H65" s="19" t="inlineStr">
        <is>
          <t>ARCH &amp; ENGINEERING</t>
        </is>
      </c>
      <c r="I65" s="31" t="n">
        <v>46191</v>
      </c>
      <c r="J65" s="19" t="inlineStr">
        <is>
          <t>2024-12-04</t>
        </is>
      </c>
      <c r="K65" s="21" t="n">
        <v>15000000</v>
      </c>
      <c r="L65" s="19" t="inlineStr">
        <is>
          <t>RFQ</t>
        </is>
      </c>
      <c r="M65" s="19" t="inlineStr">
        <is>
          <t>Yes</t>
        </is>
      </c>
      <c r="N65" s="19" t="inlineStr">
        <is>
          <t>ARCH/ENGINEERING</t>
        </is>
      </c>
      <c r="O65" s="19" t="inlineStr">
        <is>
          <t>BLANKET</t>
        </is>
      </c>
      <c r="P65" s="19" t="inlineStr">
        <is>
          <t>PESHOFF, NANCY R</t>
        </is>
      </c>
      <c r="Q65" s="19" t="n">
        <v>561</v>
      </c>
    </row>
    <row r="66">
      <c r="A66" s="19" t="n">
        <v>388837</v>
      </c>
      <c r="B66" s="19" t="n">
        <v>346799</v>
      </c>
      <c r="C66" s="19" t="n">
        <v>593511</v>
      </c>
      <c r="D66" s="19" t="n">
        <v>1296416</v>
      </c>
      <c r="E66" s="20" t="inlineStr">
        <is>
          <t>Professional Sewer Construction Management Engineering Services - Target Market (Task Order Services)</t>
        </is>
      </c>
      <c r="F66" s="19" t="inlineStr">
        <is>
          <t>MILHOUSE ENGINEERING &amp; CONSTRUCTION INC.</t>
        </is>
      </c>
      <c r="G66" s="19" t="inlineStr">
        <is>
          <t>88 - DEPARTMENT OF WATER MANAGEMENT</t>
        </is>
      </c>
      <c r="H66" s="19" t="inlineStr">
        <is>
          <t>ARCH &amp; ENGINEERING</t>
        </is>
      </c>
      <c r="I66" s="31" t="n">
        <v>46191</v>
      </c>
      <c r="J66" s="19" t="inlineStr">
        <is>
          <t>2024-12-04</t>
        </is>
      </c>
      <c r="K66" s="21" t="n">
        <v>15000000</v>
      </c>
      <c r="L66" s="19" t="inlineStr">
        <is>
          <t>RFQ</t>
        </is>
      </c>
      <c r="M66" s="19" t="inlineStr">
        <is>
          <t>Yes</t>
        </is>
      </c>
      <c r="N66" s="19" t="inlineStr">
        <is>
          <t>ARCH/ENGINEERING</t>
        </is>
      </c>
      <c r="O66" s="19" t="inlineStr">
        <is>
          <t>BLANKET</t>
        </is>
      </c>
      <c r="P66" s="19" t="inlineStr">
        <is>
          <t>PESHOFF, NANCY R</t>
        </is>
      </c>
      <c r="Q66" s="19" t="n">
        <v>561</v>
      </c>
    </row>
    <row r="67">
      <c r="A67" s="19" t="n">
        <v>388835</v>
      </c>
      <c r="B67" s="19" t="n">
        <v>346800</v>
      </c>
      <c r="C67" s="19" t="n">
        <v>593511</v>
      </c>
      <c r="D67" s="19" t="n">
        <v>1296416</v>
      </c>
      <c r="E67" s="20" t="inlineStr">
        <is>
          <t>Professional Sewer Construction Management Engineering Services - Target Market (Task Order Services)</t>
        </is>
      </c>
      <c r="F67" s="19" t="inlineStr">
        <is>
          <t>GSG CONSULTANTS, INC.</t>
        </is>
      </c>
      <c r="G67" s="19" t="inlineStr">
        <is>
          <t>88 - DEPARTMENT OF WATER MANAGEMENT</t>
        </is>
      </c>
      <c r="H67" s="19" t="inlineStr">
        <is>
          <t>ARCH &amp; ENGINEERING</t>
        </is>
      </c>
      <c r="I67" s="31" t="n">
        <v>46191</v>
      </c>
      <c r="J67" s="19" t="inlineStr">
        <is>
          <t>2024-12-04</t>
        </is>
      </c>
      <c r="K67" s="21" t="n">
        <v>15000000</v>
      </c>
      <c r="L67" s="19" t="inlineStr">
        <is>
          <t>RFQ</t>
        </is>
      </c>
      <c r="M67" s="19" t="inlineStr">
        <is>
          <t>Yes</t>
        </is>
      </c>
      <c r="N67" s="19" t="inlineStr">
        <is>
          <t>ARCH/ENGINEERING</t>
        </is>
      </c>
      <c r="O67" s="19" t="inlineStr">
        <is>
          <t>BLANKET</t>
        </is>
      </c>
      <c r="P67" s="19" t="inlineStr">
        <is>
          <t>PESHOFF, NANCY R</t>
        </is>
      </c>
      <c r="Q67" s="19" t="n">
        <v>561</v>
      </c>
    </row>
    <row r="68">
      <c r="A68" s="19" t="n">
        <v>388836</v>
      </c>
      <c r="B68" s="19" t="n">
        <v>346801</v>
      </c>
      <c r="C68" s="19" t="n">
        <v>593511</v>
      </c>
      <c r="D68" s="19" t="n">
        <v>1296416</v>
      </c>
      <c r="E68" s="20" t="inlineStr">
        <is>
          <t>Professional Sewer Construction Management Engineering Services - Target Market (Task Order Services)</t>
        </is>
      </c>
      <c r="F68" s="19" t="inlineStr">
        <is>
          <t>INFRASTRUCTURE ENGINEERING INC</t>
        </is>
      </c>
      <c r="G68" s="19" t="inlineStr">
        <is>
          <t>88 - DEPARTMENT OF WATER MANAGEMENT</t>
        </is>
      </c>
      <c r="H68" s="19" t="inlineStr">
        <is>
          <t>ARCH &amp; ENGINEERING</t>
        </is>
      </c>
      <c r="I68" s="31" t="n">
        <v>46191</v>
      </c>
      <c r="J68" s="19" t="inlineStr">
        <is>
          <t>2024-12-04</t>
        </is>
      </c>
      <c r="K68" s="21" t="n">
        <v>15000000</v>
      </c>
      <c r="L68" s="19" t="inlineStr">
        <is>
          <t>RFQ</t>
        </is>
      </c>
      <c r="M68" s="19" t="inlineStr">
        <is>
          <t>Yes</t>
        </is>
      </c>
      <c r="N68" s="19" t="inlineStr">
        <is>
          <t>ARCH/ENGINEERING</t>
        </is>
      </c>
      <c r="O68" s="19" t="inlineStr">
        <is>
          <t>BLANKET</t>
        </is>
      </c>
      <c r="P68" s="19" t="inlineStr">
        <is>
          <t>PESHOFF, NANCY R</t>
        </is>
      </c>
      <c r="Q68" s="19" t="n">
        <v>561</v>
      </c>
    </row>
    <row r="69">
      <c r="A69" s="19" t="n">
        <v>388834</v>
      </c>
      <c r="B69" s="19" t="n">
        <v>346802</v>
      </c>
      <c r="C69" s="19" t="n">
        <v>593511</v>
      </c>
      <c r="D69" s="19" t="n">
        <v>1296416</v>
      </c>
      <c r="E69" s="20" t="inlineStr">
        <is>
          <t>Professional Sewer Construction Management Engineering Services - Target Market (Task Order Services)</t>
        </is>
      </c>
      <c r="F69" s="19" t="inlineStr">
        <is>
          <t>ENVIRONMENTAL DESIGN INT'L</t>
        </is>
      </c>
      <c r="G69" s="19" t="inlineStr">
        <is>
          <t>88 - DEPARTMENT OF WATER MANAGEMENT</t>
        </is>
      </c>
      <c r="H69" s="19" t="inlineStr">
        <is>
          <t>ARCH &amp; ENGINEERING</t>
        </is>
      </c>
      <c r="I69" s="31" t="n">
        <v>46191</v>
      </c>
      <c r="J69" s="19" t="inlineStr">
        <is>
          <t>2024-12-04</t>
        </is>
      </c>
      <c r="K69" s="21" t="n">
        <v>15000000</v>
      </c>
      <c r="L69" s="19" t="inlineStr">
        <is>
          <t>RFQ</t>
        </is>
      </c>
      <c r="M69" s="19" t="inlineStr">
        <is>
          <t>Yes</t>
        </is>
      </c>
      <c r="N69" s="19" t="inlineStr">
        <is>
          <t>ARCH/ENGINEERING</t>
        </is>
      </c>
      <c r="O69" s="19" t="inlineStr">
        <is>
          <t>BLANKET</t>
        </is>
      </c>
      <c r="P69" s="19" t="inlineStr">
        <is>
          <t>PESHOFF, NANCY R</t>
        </is>
      </c>
      <c r="Q69" s="19" t="n">
        <v>561</v>
      </c>
    </row>
    <row r="70">
      <c r="A70" s="19" t="n">
        <v>388646</v>
      </c>
      <c r="B70" s="19" t="n">
        <v>346937</v>
      </c>
      <c r="C70" s="19" t="n">
        <v>608211</v>
      </c>
      <c r="D70" s="19" t="n">
        <v>1301822</v>
      </c>
      <c r="E70" s="20" t="inlineStr">
        <is>
          <t>OSHKOSH STRIKER AIRCRAFT RESCUE AND FIRE FIGHTING ("ARFF") VEHICLES (SPEC #1301822) Contract No. 346937 is hereby issued in replacement of Contract No. 341812 for administrative purposes, as the original contract did not include line items</t>
        </is>
      </c>
      <c r="F70" s="19" t="inlineStr">
        <is>
          <t>PIERCE MANUFACTURING INC</t>
        </is>
      </c>
      <c r="G70" s="19" t="inlineStr">
        <is>
          <t>85 - CHICAGO DEPARTMENT OF AVIATION</t>
        </is>
      </c>
      <c r="H70" s="19" t="inlineStr">
        <is>
          <t>VEHICLES &amp; HEAVY EQUIPMENT</t>
        </is>
      </c>
      <c r="I70" s="31" t="n">
        <v>46126</v>
      </c>
      <c r="J70" s="19" t="inlineStr">
        <is>
          <t>2024-06-25</t>
        </is>
      </c>
      <c r="K70" s="21" t="n">
        <v>11112382</v>
      </c>
      <c r="L70" s="19" t="inlineStr">
        <is>
          <t>REFERENCE CONTRACT</t>
        </is>
      </c>
      <c r="M70" s="19" t="inlineStr">
        <is>
          <t>No</t>
        </is>
      </c>
      <c r="N70" s="19" t="inlineStr">
        <is>
          <t>VEHICLES/HEAVY EQUIPMENT (CAPITAL)</t>
        </is>
      </c>
      <c r="O70" s="19" t="inlineStr">
        <is>
          <t>BLANKET</t>
        </is>
      </c>
      <c r="P70" s="19" t="inlineStr">
        <is>
          <t>DUKE, KARL D</t>
        </is>
      </c>
      <c r="Q70" s="19" t="n">
        <v>658</v>
      </c>
    </row>
    <row r="71">
      <c r="A71" s="19" t="n">
        <v>388647</v>
      </c>
      <c r="B71" s="19" t="n">
        <v>347257</v>
      </c>
      <c r="C71" s="19" t="inlineStr"/>
      <c r="D71" s="19" t="n">
        <v>132865</v>
      </c>
      <c r="E71" s="20" t="inlineStr">
        <is>
          <t>Oracle Software Renewal for the period of 
9/1/2024 through 08/31/2025 for a total cost of $178,650.71- and one-year software update license &amp; Support for Multitenant-Processor for the period of 9/1/2025 through 8/31/2026</t>
        </is>
      </c>
      <c r="F71" s="19" t="inlineStr">
        <is>
          <t>Mythics, LLC</t>
        </is>
      </c>
      <c r="G71" s="19" t="inlineStr">
        <is>
          <t>85 - CHICAGO DEPARTMENT OF AVIATION</t>
        </is>
      </c>
      <c r="H71" s="19" t="inlineStr">
        <is>
          <t>PROFESSIONAL SERVICES</t>
        </is>
      </c>
      <c r="I71" s="31" t="n">
        <v>46120</v>
      </c>
      <c r="J71" s="19" t="inlineStr">
        <is>
          <t>2026-04-07</t>
        </is>
      </c>
      <c r="K71" s="21" t="n">
        <v>197323.89</v>
      </c>
      <c r="L71" s="19" t="inlineStr">
        <is>
          <t>JOINT PURCHASE</t>
        </is>
      </c>
      <c r="M71" s="19" t="inlineStr">
        <is>
          <t>No</t>
        </is>
      </c>
      <c r="N71" s="19" t="inlineStr">
        <is>
          <t>SOFTWARE</t>
        </is>
      </c>
      <c r="O71" s="19" t="inlineStr">
        <is>
          <t>STANDARD</t>
        </is>
      </c>
      <c r="P71" s="19" t="inlineStr">
        <is>
          <t>KNIGHT JR, DERRICK</t>
        </is>
      </c>
      <c r="Q71" s="19" t="n">
        <v>1</v>
      </c>
    </row>
    <row r="72">
      <c r="A72" s="19" t="n">
        <v>388766</v>
      </c>
      <c r="B72" s="19" t="n">
        <v>347319</v>
      </c>
      <c r="C72" s="19" t="inlineStr"/>
      <c r="D72" s="19" t="n">
        <v>579313</v>
      </c>
      <c r="E72" s="20" t="inlineStr">
        <is>
          <t>Transfer from PO 100786 Phase 1 &amp; Phase 2 Design Engineering &amp; Architectural Services for Replacement of the State/Lake Loop Elevated CTA Station</t>
        </is>
      </c>
      <c r="F72" s="19" t="inlineStr">
        <is>
          <t>GFT Infrastructure, Inc.</t>
        </is>
      </c>
      <c r="G72" s="19" t="inlineStr">
        <is>
          <t>84 - CHICAGO DEPARTMENT OF TRANSPORTATION</t>
        </is>
      </c>
      <c r="H72" s="19" t="inlineStr">
        <is>
          <t>ARCH &amp; ENGINEERING</t>
        </is>
      </c>
      <c r="I72" s="31" t="n">
        <v>46142</v>
      </c>
      <c r="J72" s="19" t="inlineStr">
        <is>
          <t>2026-04-29</t>
        </is>
      </c>
      <c r="K72" s="21" t="n">
        <v>2</v>
      </c>
      <c r="L72" s="19" t="inlineStr">
        <is>
          <t>CONTRACT ASSIGNMENT/TRANSFER</t>
        </is>
      </c>
      <c r="M72" s="19" t="inlineStr">
        <is>
          <t>No</t>
        </is>
      </c>
      <c r="N72" s="19" t="inlineStr">
        <is>
          <t>ARCH/ENGINEERING</t>
        </is>
      </c>
      <c r="O72" s="19" t="inlineStr">
        <is>
          <t>BLANKET</t>
        </is>
      </c>
      <c r="P72" s="19" t="inlineStr">
        <is>
          <t>CORTES, JEZIEEL T</t>
        </is>
      </c>
      <c r="Q72" s="19" t="n">
        <v>1</v>
      </c>
    </row>
    <row r="73">
      <c r="A73" s="19" t="n">
        <v>389107</v>
      </c>
      <c r="B73" s="19" t="n">
        <v>347622</v>
      </c>
      <c r="C73" s="19" t="inlineStr"/>
      <c r="D73" s="19" t="n">
        <v>781131</v>
      </c>
      <c r="E73" s="20" t="inlineStr">
        <is>
          <t>PICK-UP TRUCKS: GROUP A (FULL SIZE), GROUP B (MID-SIZE) AND GROUP C (PURSUIT RATED) (Transfer from PO 115511)</t>
        </is>
      </c>
      <c r="F73" s="19" t="inlineStr">
        <is>
          <t>ILF1, LLC dba ELMHURST FORD</t>
        </is>
      </c>
      <c r="G73" s="19" t="inlineStr">
        <is>
          <t>38 - DEPARTMENT OF FLEET AND FACILITY MANAGEMENT</t>
        </is>
      </c>
      <c r="H73" s="19" t="inlineStr">
        <is>
          <t>VEHICLES &amp; HEAVY EQUIPMENT</t>
        </is>
      </c>
      <c r="I73" s="31" t="n">
        <v>46183</v>
      </c>
      <c r="J73" s="19" t="inlineStr">
        <is>
          <t>2026-06-09</t>
        </is>
      </c>
      <c r="K73" s="21" t="n">
        <v>18299495.58</v>
      </c>
      <c r="L73" s="19" t="inlineStr">
        <is>
          <t>CONTRACT ASSIGNMENT/TRANSFER</t>
        </is>
      </c>
      <c r="M73" s="19" t="inlineStr">
        <is>
          <t>No</t>
        </is>
      </c>
      <c r="N73" s="19" t="inlineStr">
        <is>
          <t>VEHICLES/HEAVY EQUIPMENT (CAPITAL)</t>
        </is>
      </c>
      <c r="O73" s="19" t="inlineStr">
        <is>
          <t>BLANKET</t>
        </is>
      </c>
      <c r="P73" s="19" t="inlineStr">
        <is>
          <t>PIPERCANON, KIMBERLY</t>
        </is>
      </c>
      <c r="Q73" s="19" t="n">
        <v>1</v>
      </c>
    </row>
    <row r="74">
      <c r="A74" s="19" t="n">
        <v>388126</v>
      </c>
      <c r="B74" s="19" t="n">
        <v>347805</v>
      </c>
      <c r="C74" s="19" t="n">
        <v>697361</v>
      </c>
      <c r="D74" s="19" t="n">
        <v>1336819</v>
      </c>
      <c r="E74" s="20" t="inlineStr">
        <is>
          <t>Hansen and Infor Public Sector Software Maintenance and Support Services and Optional
Project Services</t>
        </is>
      </c>
      <c r="F74" s="19" t="inlineStr">
        <is>
          <t>INFOR PUBLIC SECTOR INC</t>
        </is>
      </c>
      <c r="G74" s="19" t="inlineStr">
        <is>
          <t>06 - DEPARTMENT OF TECHNOLOGY AND INNOVATION</t>
        </is>
      </c>
      <c r="H74" s="19" t="inlineStr">
        <is>
          <t>PROFESSIONAL SERVICES</t>
        </is>
      </c>
      <c r="I74" s="31" t="n">
        <v>46132</v>
      </c>
      <c r="J74" s="19" t="inlineStr">
        <is>
          <t>2026-02-10</t>
        </is>
      </c>
      <c r="K74" s="21" t="n">
        <v>18892897.22</v>
      </c>
      <c r="L74" s="19" t="inlineStr">
        <is>
          <t>SOLE SOURCE</t>
        </is>
      </c>
      <c r="M74" s="19" t="inlineStr">
        <is>
          <t>No</t>
        </is>
      </c>
      <c r="N74" s="19" t="inlineStr">
        <is>
          <t>PRO SERV CONSULTING $250,000orABOVE</t>
        </is>
      </c>
      <c r="O74" s="19" t="inlineStr">
        <is>
          <t>BLANKET</t>
        </is>
      </c>
      <c r="P74" s="19" t="inlineStr">
        <is>
          <t>CALLAHAN, PATRICK M</t>
        </is>
      </c>
      <c r="Q74" s="19" t="n">
        <v>69</v>
      </c>
    </row>
    <row r="75">
      <c r="A75" s="19" t="n">
        <v>388652</v>
      </c>
      <c r="B75" s="19" t="n">
        <v>348043</v>
      </c>
      <c r="C75" s="19" t="n">
        <v>721234</v>
      </c>
      <c r="D75" s="19" t="n">
        <v>450998</v>
      </c>
      <c r="E75" s="20" t="inlineStr">
        <is>
          <t>DLT Quote #5345877 for Oracle</t>
        </is>
      </c>
      <c r="F75" s="19" t="inlineStr">
        <is>
          <t>DLT SOLUTIONS LLC</t>
        </is>
      </c>
      <c r="G75" s="19" t="inlineStr">
        <is>
          <t>06 - DEPARTMENT OF TECHNOLOGY AND INNOVATION</t>
        </is>
      </c>
      <c r="H75" s="19" t="inlineStr">
        <is>
          <t>PROFESSIONAL SERVICES</t>
        </is>
      </c>
      <c r="I75" s="31" t="n">
        <v>46153</v>
      </c>
      <c r="J75" s="19" t="inlineStr">
        <is>
          <t>2026-04-08</t>
        </is>
      </c>
      <c r="K75" s="21" t="n">
        <v>1231661.37</v>
      </c>
      <c r="L75" s="19" t="inlineStr">
        <is>
          <t>JOINT PURCHASE</t>
        </is>
      </c>
      <c r="M75" s="19" t="inlineStr">
        <is>
          <t>No</t>
        </is>
      </c>
      <c r="N75" s="19" t="inlineStr">
        <is>
          <t>SOFTWARE</t>
        </is>
      </c>
      <c r="O75" s="19" t="inlineStr">
        <is>
          <t>STANDARD</t>
        </is>
      </c>
      <c r="P75" s="19" t="inlineStr">
        <is>
          <t>CORTES, ANN C</t>
        </is>
      </c>
      <c r="Q75" s="19" t="n">
        <v>33</v>
      </c>
    </row>
    <row r="76">
      <c r="A76" s="19" t="n">
        <v>388635</v>
      </c>
      <c r="B76" s="19" t="n">
        <v>348048</v>
      </c>
      <c r="C76" s="19" t="n">
        <v>722388</v>
      </c>
      <c r="D76" s="19" t="n">
        <v>450998</v>
      </c>
      <c r="E76" s="20" t="inlineStr">
        <is>
          <t>DLT Quote #5286479 for Oracle.</t>
        </is>
      </c>
      <c r="F76" s="19" t="inlineStr">
        <is>
          <t>DLT SOLUTIONS LLC</t>
        </is>
      </c>
      <c r="G76" s="19" t="inlineStr">
        <is>
          <t>06 - DEPARTMENT OF TECHNOLOGY AND INNOVATION</t>
        </is>
      </c>
      <c r="H76" s="19" t="inlineStr">
        <is>
          <t>PROFESSIONAL SERVICES</t>
        </is>
      </c>
      <c r="I76" s="31" t="n">
        <v>46153</v>
      </c>
      <c r="J76" s="19" t="inlineStr">
        <is>
          <t>2026-04-03</t>
        </is>
      </c>
      <c r="K76" s="21" t="n">
        <v>5941260</v>
      </c>
      <c r="L76" s="19" t="inlineStr">
        <is>
          <t>JOINT PURCHASE</t>
        </is>
      </c>
      <c r="M76" s="19" t="inlineStr">
        <is>
          <t>No</t>
        </is>
      </c>
      <c r="N76" s="19" t="inlineStr">
        <is>
          <t>SOFTWARE</t>
        </is>
      </c>
      <c r="O76" s="19" t="inlineStr">
        <is>
          <t>STANDARD</t>
        </is>
      </c>
      <c r="P76" s="19" t="inlineStr">
        <is>
          <t>CORTES, ANN C</t>
        </is>
      </c>
      <c r="Q76" s="19" t="n">
        <v>38</v>
      </c>
    </row>
    <row r="77">
      <c r="A77" s="19" t="n">
        <v>383493</v>
      </c>
      <c r="B77" s="19" t="n">
        <v>348918</v>
      </c>
      <c r="C77" s="19" t="n">
        <v>615702</v>
      </c>
      <c r="D77" s="19" t="n">
        <v>1304275</v>
      </c>
      <c r="E77" s="20" t="inlineStr">
        <is>
          <t>1304275: Protective Footwear with Mobile Shoe Unit</t>
        </is>
      </c>
      <c r="F77" s="19" t="inlineStr">
        <is>
          <t>HY TEST SAFETY SHOE SERVICE</t>
        </is>
      </c>
      <c r="G77" s="19" t="inlineStr">
        <is>
          <t>38 - DEPARTMENT OF FLEET AND FACILITY MANAGEMENT</t>
        </is>
      </c>
      <c r="H77" s="19" t="inlineStr">
        <is>
          <t>COMMODITIES</t>
        </is>
      </c>
      <c r="I77" s="31" t="n">
        <v>46203</v>
      </c>
      <c r="J77" s="19" t="inlineStr">
        <is>
          <t>2025-02-26</t>
        </is>
      </c>
      <c r="K77" s="21" t="n">
        <v>817320</v>
      </c>
      <c r="L77" s="19" t="inlineStr">
        <is>
          <t>BID</t>
        </is>
      </c>
      <c r="M77" s="19" t="inlineStr">
        <is>
          <t>Yes</t>
        </is>
      </c>
      <c r="N77" s="19" t="inlineStr">
        <is>
          <t>COMMODITIES</t>
        </is>
      </c>
      <c r="O77" s="19" t="inlineStr">
        <is>
          <t>BLANKET</t>
        </is>
      </c>
      <c r="P77" s="19" t="inlineStr">
        <is>
          <t>POLK-STAMPS, MELANIE L</t>
        </is>
      </c>
      <c r="Q77" s="19" t="n">
        <v>489</v>
      </c>
    </row>
    <row r="78">
      <c r="A78" s="19" t="n">
        <v>381051</v>
      </c>
      <c r="B78" s="19" t="n">
        <v>348927</v>
      </c>
      <c r="C78" s="19" t="n">
        <v>613315</v>
      </c>
      <c r="D78" s="19" t="n">
        <v>1303484</v>
      </c>
      <c r="E78" s="20" t="inlineStr">
        <is>
          <t>1303484: Rental and Maintenance of Portable Chemical Toilets, Sinks, Waste Water Barrels, Portable Waterless Hand Sanitizer Dispensers, Fresh Water Trailer and Portable Showers (Groups)</t>
        </is>
      </c>
      <c r="F78" s="19" t="inlineStr">
        <is>
          <t>Service Sanitation Inc.</t>
        </is>
      </c>
      <c r="G78" s="19" t="inlineStr">
        <is>
          <t>23 - DEPARTMENT OF CULTURAL AFFAIRS AND SPECIAL EVENTS</t>
        </is>
      </c>
      <c r="H78" s="19" t="inlineStr">
        <is>
          <t>WORK SERVICES</t>
        </is>
      </c>
      <c r="I78" s="31" t="n">
        <v>46203</v>
      </c>
      <c r="J78" s="19" t="inlineStr">
        <is>
          <t>2024-08-06</t>
        </is>
      </c>
      <c r="K78" s="21" t="n">
        <v>11251262.4</v>
      </c>
      <c r="L78" s="19" t="inlineStr">
        <is>
          <t>BID</t>
        </is>
      </c>
      <c r="M78" s="19" t="inlineStr">
        <is>
          <t>Yes</t>
        </is>
      </c>
      <c r="N78" s="19" t="inlineStr">
        <is>
          <t>WORK SERVICES / FACILITIES MAINT.</t>
        </is>
      </c>
      <c r="O78" s="19" t="inlineStr">
        <is>
          <t>BLANKET</t>
        </is>
      </c>
      <c r="P78" s="19" t="inlineStr">
        <is>
          <t>POLK-STAMPS, MELANIE L</t>
        </is>
      </c>
      <c r="Q78" s="19" t="n">
        <v>693</v>
      </c>
    </row>
    <row r="79">
      <c r="A79" s="19" t="n">
        <v>386230</v>
      </c>
      <c r="B79" s="19" t="n">
        <v>349635</v>
      </c>
      <c r="C79" s="19" t="n">
        <v>686932</v>
      </c>
      <c r="D79" s="19" t="n">
        <v>1201402</v>
      </c>
      <c r="E79" s="20" t="inlineStr">
        <is>
          <t>1201402: MILWAUKEE AVENUE SECTION 5 IMPROVEMENTS Logan Square Blue Line Station Headhouse Reconstruction</t>
        </is>
      </c>
      <c r="F79" s="19" t="inlineStr">
        <is>
          <t>FH PASCHEN SN NIELSEN &amp; ASSOCIATES LLC</t>
        </is>
      </c>
      <c r="G79" s="19" t="inlineStr">
        <is>
          <t>84 - CHICAGO DEPARTMENT OF TRANSPORTATION</t>
        </is>
      </c>
      <c r="H79" s="19" t="inlineStr">
        <is>
          <t>CONSTRUCTION</t>
        </is>
      </c>
      <c r="I79" s="31" t="n">
        <v>46156</v>
      </c>
      <c r="J79" s="19" t="inlineStr">
        <is>
          <t>2025-09-03</t>
        </is>
      </c>
      <c r="K79" s="21" t="n">
        <v>19736000</v>
      </c>
      <c r="L79" s="19" t="inlineStr">
        <is>
          <t>BID</t>
        </is>
      </c>
      <c r="M79" s="19" t="inlineStr">
        <is>
          <t>Yes</t>
        </is>
      </c>
      <c r="N79" s="19" t="inlineStr">
        <is>
          <t>CONSTRUCTION-LARGE $3MILLIONorABOVE</t>
        </is>
      </c>
      <c r="O79" s="19" t="inlineStr">
        <is>
          <t>STANDARD</t>
        </is>
      </c>
      <c r="P79" s="19" t="inlineStr">
        <is>
          <t>BROWNLEE, OSHA</t>
        </is>
      </c>
      <c r="Q79" s="19" t="n">
        <v>253</v>
      </c>
    </row>
    <row r="80">
      <c r="A80" s="19" t="n">
        <v>386113</v>
      </c>
      <c r="B80" s="19" t="n">
        <v>349808</v>
      </c>
      <c r="C80" s="19" t="n">
        <v>675350</v>
      </c>
      <c r="D80" s="19" t="n">
        <v>1327954</v>
      </c>
      <c r="E80" s="20" t="inlineStr">
        <is>
          <t>(SPEC 1327954) Taxiways S, S1, S2, and S3 Rehabilitation at O'Hare International Airport</t>
        </is>
      </c>
      <c r="F80" s="19" t="inlineStr">
        <is>
          <t>PLOTE CONSTRUCTION, INC.</t>
        </is>
      </c>
      <c r="G80" s="19" t="inlineStr">
        <is>
          <t>85 - CHICAGO DEPARTMENT OF AVIATION</t>
        </is>
      </c>
      <c r="H80" s="19" t="inlineStr">
        <is>
          <t>AVIATION</t>
        </is>
      </c>
      <c r="I80" s="31" t="n">
        <v>46176</v>
      </c>
      <c r="J80" s="19" t="inlineStr">
        <is>
          <t>2025-06-30</t>
        </is>
      </c>
      <c r="K80" s="21" t="n">
        <v>30283768.84</v>
      </c>
      <c r="L80" s="19" t="inlineStr">
        <is>
          <t>BID</t>
        </is>
      </c>
      <c r="M80" s="19" t="inlineStr">
        <is>
          <t>Yes</t>
        </is>
      </c>
      <c r="N80" s="19" t="inlineStr">
        <is>
          <t>CONSTRUCTION-AVIATION</t>
        </is>
      </c>
      <c r="O80" s="19" t="inlineStr">
        <is>
          <t>STANDARD</t>
        </is>
      </c>
      <c r="P80" s="19" t="inlineStr">
        <is>
          <t>DUKE, KARL D</t>
        </is>
      </c>
      <c r="Q80" s="19" t="n">
        <v>338</v>
      </c>
    </row>
    <row r="81">
      <c r="A81" s="19" t="n">
        <v>388769</v>
      </c>
      <c r="B81" s="19" t="n">
        <v>350300</v>
      </c>
      <c r="C81" s="19" t="inlineStr"/>
      <c r="D81" s="19" t="n">
        <v>1131763</v>
      </c>
      <c r="E81" s="20" t="inlineStr">
        <is>
          <t>TRANSFER FROM PO 200123 - PROFESSIONAL CONSTRUCTION ENGINEERING SERVICES FOR CITY-WIDE CDOT ROADWAY AND BRIDGE PROJECTS - TASK ORDER SERVICES- MASTER CONSULTING AGREEMENTS</t>
        </is>
      </c>
      <c r="F81" s="19" t="inlineStr">
        <is>
          <t>GFT Infrastructure, Inc.</t>
        </is>
      </c>
      <c r="G81" s="19" t="inlineStr">
        <is>
          <t>84 - CHICAGO DEPARTMENT OF TRANSPORTATION</t>
        </is>
      </c>
      <c r="H81" s="19" t="inlineStr">
        <is>
          <t>ARCH &amp; ENGINEERING</t>
        </is>
      </c>
      <c r="I81" s="31" t="n">
        <v>46141</v>
      </c>
      <c r="J81" s="19" t="inlineStr">
        <is>
          <t>2026-04-29</t>
        </is>
      </c>
      <c r="K81" s="21" t="n">
        <v>16141253.58</v>
      </c>
      <c r="L81" s="19" t="inlineStr">
        <is>
          <t>CONTRACT ASSIGNMENT/TRANSFER</t>
        </is>
      </c>
      <c r="M81" s="19" t="inlineStr">
        <is>
          <t>No</t>
        </is>
      </c>
      <c r="N81" s="19" t="inlineStr">
        <is>
          <t>ARCH/ENGINEERING</t>
        </is>
      </c>
      <c r="O81" s="19" t="inlineStr">
        <is>
          <t>BLANKET</t>
        </is>
      </c>
      <c r="P81" s="19" t="inlineStr">
        <is>
          <t>CORTES, JEZIEEL T</t>
        </is>
      </c>
      <c r="Q81" s="19" t="inlineStr"/>
    </row>
    <row r="82">
      <c r="A82" s="19" t="n">
        <v>388105</v>
      </c>
      <c r="B82" s="19" t="n">
        <v>351523</v>
      </c>
      <c r="C82" s="19" t="n">
        <v>711524</v>
      </c>
      <c r="D82" s="19" t="n">
        <v>1342948</v>
      </c>
      <c r="E82" s="20" t="inlineStr">
        <is>
          <t>Residential Sound Insulation Program Odor Mitigation Phase 1 - Spec 1342948</t>
        </is>
      </c>
      <c r="F82" s="19" t="inlineStr">
        <is>
          <t>BLINDERMAN CONSTRUCTION COMPANY INC</t>
        </is>
      </c>
      <c r="G82" s="19" t="inlineStr">
        <is>
          <t>85 - CHICAGO DEPARTMENT OF AVIATION</t>
        </is>
      </c>
      <c r="H82" s="19" t="inlineStr">
        <is>
          <t>AVIATION</t>
        </is>
      </c>
      <c r="I82" s="31" t="n">
        <v>46168</v>
      </c>
      <c r="J82" s="19" t="inlineStr">
        <is>
          <t>2026-01-29</t>
        </is>
      </c>
      <c r="K82" s="21" t="n">
        <v>17589950</v>
      </c>
      <c r="L82" s="19" t="inlineStr">
        <is>
          <t>BID</t>
        </is>
      </c>
      <c r="M82" s="19" t="inlineStr">
        <is>
          <t>Yes</t>
        </is>
      </c>
      <c r="N82" s="19" t="inlineStr">
        <is>
          <t>CONSTRUCTION-AVIATION</t>
        </is>
      </c>
      <c r="O82" s="19" t="inlineStr">
        <is>
          <t>STANDARD</t>
        </is>
      </c>
      <c r="P82" s="19" t="inlineStr">
        <is>
          <t>MAGNO, THOMAS</t>
        </is>
      </c>
      <c r="Q82" s="19" t="n">
        <v>117</v>
      </c>
    </row>
    <row r="83">
      <c r="A83" s="19" t="n">
        <v>388911</v>
      </c>
      <c r="B83" s="19" t="n">
        <v>351608</v>
      </c>
      <c r="C83" s="19" t="inlineStr"/>
      <c r="D83" s="19" t="n">
        <v>1197349</v>
      </c>
      <c r="E83" s="20" t="inlineStr">
        <is>
          <t>TRANSFER FROM PO 282542 - Professional Design Engineering Services for the Management of City's Underground Infrastructure</t>
        </is>
      </c>
      <c r="F83" s="19" t="inlineStr">
        <is>
          <t>GFT Infrastructure, Inc.</t>
        </is>
      </c>
      <c r="G83" s="19" t="inlineStr">
        <is>
          <t>84 - CHICAGO DEPARTMENT OF TRANSPORTATION</t>
        </is>
      </c>
      <c r="H83" s="19" t="inlineStr">
        <is>
          <t>ARCH &amp; ENGINEERING</t>
        </is>
      </c>
      <c r="I83" s="31" t="n">
        <v>46157</v>
      </c>
      <c r="J83" s="19" t="inlineStr">
        <is>
          <t>2026-05-14</t>
        </is>
      </c>
      <c r="K83" s="21" t="n">
        <v>13063062.62</v>
      </c>
      <c r="L83" s="19" t="inlineStr">
        <is>
          <t>CONTRACT ASSIGNMENT/TRANSFER</t>
        </is>
      </c>
      <c r="M83" s="19" t="inlineStr">
        <is>
          <t>No</t>
        </is>
      </c>
      <c r="N83" s="19" t="inlineStr">
        <is>
          <t>ARCH/ENGINEERING</t>
        </is>
      </c>
      <c r="O83" s="19" t="inlineStr">
        <is>
          <t>BLANKET</t>
        </is>
      </c>
      <c r="P83" s="19" t="inlineStr">
        <is>
          <t>CORTES, JEZIEEL T</t>
        </is>
      </c>
      <c r="Q83" s="19" t="n">
        <v>1</v>
      </c>
    </row>
    <row r="84">
      <c r="A84" s="19" t="n">
        <v>381309</v>
      </c>
      <c r="B84" s="19" t="n">
        <v>351919</v>
      </c>
      <c r="C84" s="19" t="n">
        <v>607558</v>
      </c>
      <c r="D84" s="19" t="n">
        <v>1301356</v>
      </c>
      <c r="E84" s="20" t="inlineStr">
        <is>
          <t>Meteorological Services</t>
        </is>
      </c>
      <c r="F84" s="19" t="inlineStr">
        <is>
          <t>MURRAY &amp; TRETTEL INC</t>
        </is>
      </c>
      <c r="G84" s="19" t="inlineStr">
        <is>
          <t>85 - CHICAGO DEPARTMENT OF AVIATION</t>
        </is>
      </c>
      <c r="H84" s="19" t="inlineStr">
        <is>
          <t>AVIATION</t>
        </is>
      </c>
      <c r="I84" s="31" t="n">
        <v>46229</v>
      </c>
      <c r="J84" s="19" t="inlineStr">
        <is>
          <t>2024-06-21</t>
        </is>
      </c>
      <c r="K84" s="21" t="n">
        <v>189900</v>
      </c>
      <c r="L84" s="19" t="inlineStr">
        <is>
          <t>BID</t>
        </is>
      </c>
      <c r="M84" s="19" t="inlineStr">
        <is>
          <t>Yes</t>
        </is>
      </c>
      <c r="N84" s="19" t="inlineStr">
        <is>
          <t>WORK SERV-AVIATION</t>
        </is>
      </c>
      <c r="O84" s="19" t="inlineStr">
        <is>
          <t>BLANKET</t>
        </is>
      </c>
      <c r="P84" s="19" t="inlineStr">
        <is>
          <t>MERRICK, TOBY</t>
        </is>
      </c>
      <c r="Q84" s="19" t="n">
        <v>765</v>
      </c>
    </row>
    <row r="85">
      <c r="A85" s="19" t="n">
        <v>388914</v>
      </c>
      <c r="B85" s="19" t="n">
        <v>352124</v>
      </c>
      <c r="C85" s="19" t="inlineStr"/>
      <c r="D85" s="19" t="n">
        <v>1204697</v>
      </c>
      <c r="E85" s="20" t="inlineStr">
        <is>
          <t>TRANSFER FROM PO 223980 - MASTER TASK ORDER CONTRACT PROFESSIONAL DESIGN ENGINEERING SERVICES FOR GROUPS 2 THROUGH 4 PHASE I AND II TASK ORDER SERVICES, GROUPS - 2: STRUCTURES (MOVABLE, 3: ROADWAY &amp; 4: TRAFFIC SIGNALS &amp; ROADWAY LIGHTING</t>
        </is>
      </c>
      <c r="F85" s="19" t="inlineStr">
        <is>
          <t>GFT Infrastructure, Inc.</t>
        </is>
      </c>
      <c r="G85" s="19" t="inlineStr">
        <is>
          <t>84 - CHICAGO DEPARTMENT OF TRANSPORTATION</t>
        </is>
      </c>
      <c r="H85" s="19" t="inlineStr">
        <is>
          <t>ARCH &amp; ENGINEERING</t>
        </is>
      </c>
      <c r="I85" s="31" t="n">
        <v>46157</v>
      </c>
      <c r="J85" s="19" t="inlineStr">
        <is>
          <t>2026-05-14</t>
        </is>
      </c>
      <c r="K85" s="21" t="n">
        <v>6848789.92</v>
      </c>
      <c r="L85" s="19" t="inlineStr">
        <is>
          <t>CONTRACT ASSIGNMENT/TRANSFER</t>
        </is>
      </c>
      <c r="M85" s="19" t="inlineStr">
        <is>
          <t>No</t>
        </is>
      </c>
      <c r="N85" s="19" t="inlineStr">
        <is>
          <t>ARCH/ENGINEERING</t>
        </is>
      </c>
      <c r="O85" s="19" t="inlineStr">
        <is>
          <t>BLANKET</t>
        </is>
      </c>
      <c r="P85" s="19" t="inlineStr">
        <is>
          <t>CORTES, JEZIEEL T</t>
        </is>
      </c>
      <c r="Q85" s="19" t="n">
        <v>1</v>
      </c>
    </row>
    <row r="86">
      <c r="A86" s="19" t="n">
        <v>388920</v>
      </c>
      <c r="B86" s="19" t="n">
        <v>352557</v>
      </c>
      <c r="C86" s="19" t="n">
        <v>730967</v>
      </c>
      <c r="D86" s="19" t="n">
        <v>450998</v>
      </c>
      <c r="E86" s="20" t="inlineStr">
        <is>
          <t>DLT Quote# 5351341 for Oracle renewal</t>
        </is>
      </c>
      <c r="F86" s="19" t="inlineStr">
        <is>
          <t>DLT SOLUTIONS LLC</t>
        </is>
      </c>
      <c r="G86" s="19" t="inlineStr">
        <is>
          <t>06 - DEPARTMENT OF TECHNOLOGY AND INNOVATION</t>
        </is>
      </c>
      <c r="H86" s="19" t="inlineStr">
        <is>
          <t>PROFESSIONAL SERVICES</t>
        </is>
      </c>
      <c r="I86" s="31" t="n">
        <v>46209</v>
      </c>
      <c r="J86" s="19" t="inlineStr">
        <is>
          <t>2026-05-15</t>
        </is>
      </c>
      <c r="K86" s="21" t="n">
        <v>43089.55</v>
      </c>
      <c r="L86" s="19" t="inlineStr">
        <is>
          <t>JOINT PURCHASE</t>
        </is>
      </c>
      <c r="M86" s="19" t="inlineStr">
        <is>
          <t>No</t>
        </is>
      </c>
      <c r="N86" s="19" t="inlineStr">
        <is>
          <t>SOFTWARE</t>
        </is>
      </c>
      <c r="O86" s="19" t="inlineStr">
        <is>
          <t>STANDARD</t>
        </is>
      </c>
      <c r="P86" s="19" t="inlineStr">
        <is>
          <t>CORTES, ANN C</t>
        </is>
      </c>
      <c r="Q86" s="19" t="n">
        <v>52</v>
      </c>
    </row>
    <row r="87">
      <c r="A87" s="19" t="n">
        <v>388922</v>
      </c>
      <c r="B87" s="19" t="n">
        <v>352601</v>
      </c>
      <c r="C87" s="19" t="n">
        <v>730941</v>
      </c>
      <c r="D87" s="19" t="n">
        <v>450998</v>
      </c>
      <c r="E87" s="20" t="inlineStr">
        <is>
          <t>DLT Quote# 5355189 for software update license and support.</t>
        </is>
      </c>
      <c r="F87" s="19" t="inlineStr">
        <is>
          <t>DLT SOLUTIONS LLC</t>
        </is>
      </c>
      <c r="G87" s="19" t="inlineStr">
        <is>
          <t>06 - DEPARTMENT OF TECHNOLOGY AND INNOVATION</t>
        </is>
      </c>
      <c r="H87" s="19" t="inlineStr">
        <is>
          <t>PROFESSIONAL SERVICES</t>
        </is>
      </c>
      <c r="I87" s="31" t="n">
        <v>46209</v>
      </c>
      <c r="J87" s="19" t="inlineStr">
        <is>
          <t>2026-05-15</t>
        </is>
      </c>
      <c r="K87" s="21" t="n">
        <v>30333.8</v>
      </c>
      <c r="L87" s="19" t="inlineStr">
        <is>
          <t>JOINT PURCHASE</t>
        </is>
      </c>
      <c r="M87" s="19" t="inlineStr">
        <is>
          <t>No</t>
        </is>
      </c>
      <c r="N87" s="19" t="inlineStr">
        <is>
          <t>SOFTWARE</t>
        </is>
      </c>
      <c r="O87" s="19" t="inlineStr">
        <is>
          <t>STANDARD</t>
        </is>
      </c>
      <c r="P87" s="19" t="inlineStr">
        <is>
          <t>CORTES, ANN C</t>
        </is>
      </c>
      <c r="Q87" s="19" t="n">
        <v>52</v>
      </c>
    </row>
    <row r="88">
      <c r="A88" s="19" t="n">
        <v>388921</v>
      </c>
      <c r="B88" s="19" t="n">
        <v>352604</v>
      </c>
      <c r="C88" s="19" t="n">
        <v>730929</v>
      </c>
      <c r="D88" s="19" t="n">
        <v>450998</v>
      </c>
      <c r="E88" s="20" t="inlineStr">
        <is>
          <t>DLT Quote# 5366584 for enterprise technical support fees</t>
        </is>
      </c>
      <c r="F88" s="19" t="inlineStr">
        <is>
          <t>DLT SOLUTIONS LLC</t>
        </is>
      </c>
      <c r="G88" s="19" t="inlineStr">
        <is>
          <t>06 - DEPARTMENT OF TECHNOLOGY AND INNOVATION</t>
        </is>
      </c>
      <c r="H88" s="19" t="inlineStr">
        <is>
          <t>PROFESSIONAL SERVICES</t>
        </is>
      </c>
      <c r="I88" s="31" t="n">
        <v>46191</v>
      </c>
      <c r="J88" s="19" t="inlineStr">
        <is>
          <t>2026-05-15</t>
        </is>
      </c>
      <c r="K88" s="21" t="n">
        <v>36295.37</v>
      </c>
      <c r="L88" s="19" t="inlineStr">
        <is>
          <t>JOINT PURCHASE</t>
        </is>
      </c>
      <c r="M88" s="19" t="inlineStr">
        <is>
          <t>No</t>
        </is>
      </c>
      <c r="N88" s="19" t="inlineStr">
        <is>
          <t>SOFTWARE</t>
        </is>
      </c>
      <c r="O88" s="19" t="inlineStr">
        <is>
          <t>STANDARD</t>
        </is>
      </c>
      <c r="P88" s="19" t="inlineStr">
        <is>
          <t>CORTES, ANN C</t>
        </is>
      </c>
      <c r="Q88" s="19" t="n">
        <v>34</v>
      </c>
    </row>
    <row r="89">
      <c r="A89" s="19" t="n">
        <v>388923</v>
      </c>
      <c r="B89" s="19" t="n">
        <v>352606</v>
      </c>
      <c r="C89" s="19" t="n">
        <v>730961</v>
      </c>
      <c r="D89" s="19" t="n">
        <v>450998</v>
      </c>
      <c r="E89" s="20" t="inlineStr">
        <is>
          <t>DLT Quote# 5354528 Oracle renewal</t>
        </is>
      </c>
      <c r="F89" s="19" t="inlineStr">
        <is>
          <t>DLT SOLUTIONS LLC</t>
        </is>
      </c>
      <c r="G89" s="19" t="inlineStr">
        <is>
          <t>06 - DEPARTMENT OF TECHNOLOGY AND INNOVATION</t>
        </is>
      </c>
      <c r="H89" s="19" t="inlineStr">
        <is>
          <t>PROFESSIONAL SERVICES</t>
        </is>
      </c>
      <c r="I89" s="31" t="n">
        <v>46209</v>
      </c>
      <c r="J89" s="19" t="inlineStr">
        <is>
          <t>2026-05-15</t>
        </is>
      </c>
      <c r="K89" s="21" t="n">
        <v>274584.38</v>
      </c>
      <c r="L89" s="19" t="inlineStr">
        <is>
          <t>JOINT PURCHASE</t>
        </is>
      </c>
      <c r="M89" s="19" t="inlineStr">
        <is>
          <t>No</t>
        </is>
      </c>
      <c r="N89" s="19" t="inlineStr">
        <is>
          <t>SOFTWARE</t>
        </is>
      </c>
      <c r="O89" s="19" t="inlineStr">
        <is>
          <t>STANDARD</t>
        </is>
      </c>
      <c r="P89" s="19" t="inlineStr">
        <is>
          <t>CORTES, ANN C</t>
        </is>
      </c>
      <c r="Q89" s="19" t="n">
        <v>52</v>
      </c>
    </row>
    <row r="90">
      <c r="A90" s="19" t="n">
        <v>388927</v>
      </c>
      <c r="B90" s="19" t="n">
        <v>352841</v>
      </c>
      <c r="C90" s="19" t="n">
        <v>730950</v>
      </c>
      <c r="D90" s="19" t="n">
        <v>450998</v>
      </c>
      <c r="E90" s="20" t="inlineStr">
        <is>
          <t>DLT Quote# 5351385 for Oracle enterprise software and support</t>
        </is>
      </c>
      <c r="F90" s="19" t="inlineStr">
        <is>
          <t>DLT SOLUTIONS LLC</t>
        </is>
      </c>
      <c r="G90" s="19" t="inlineStr">
        <is>
          <t>06 - DEPARTMENT OF TECHNOLOGY AND INNOVATION</t>
        </is>
      </c>
      <c r="H90" s="19" t="inlineStr">
        <is>
          <t>PROFESSIONAL SERVICES</t>
        </is>
      </c>
      <c r="I90" s="31" t="n">
        <v>46191</v>
      </c>
      <c r="J90" s="19" t="inlineStr">
        <is>
          <t>2026-05-18</t>
        </is>
      </c>
      <c r="K90" s="21" t="n">
        <v>854301.3</v>
      </c>
      <c r="L90" s="19" t="inlineStr">
        <is>
          <t>JOINT PURCHASE</t>
        </is>
      </c>
      <c r="M90" s="19" t="inlineStr">
        <is>
          <t>No</t>
        </is>
      </c>
      <c r="N90" s="19" t="inlineStr">
        <is>
          <t>SOFTWARE</t>
        </is>
      </c>
      <c r="O90" s="19" t="inlineStr">
        <is>
          <t>STANDARD</t>
        </is>
      </c>
      <c r="P90" s="19" t="inlineStr">
        <is>
          <t>CORTES, ANN C</t>
        </is>
      </c>
      <c r="Q90" s="19" t="n">
        <v>31</v>
      </c>
    </row>
    <row r="91">
      <c r="A91" s="19" t="n">
        <v>388989</v>
      </c>
      <c r="B91" s="19" t="n">
        <v>353311</v>
      </c>
      <c r="C91" s="19" t="inlineStr"/>
      <c r="D91" s="19" t="n">
        <v>140827</v>
      </c>
      <c r="E91" s="20" t="inlineStr">
        <is>
          <t>TRANSFER FROM PO 241983 - PROFESSIONAL SEWER CONSTRUCTION ENGINEERING SERVICES</t>
        </is>
      </c>
      <c r="F91" s="19" t="inlineStr">
        <is>
          <t>GFT Infrastructure, Inc.</t>
        </is>
      </c>
      <c r="G91" s="19" t="inlineStr">
        <is>
          <t>88 - DEPARTMENT OF WATER MANAGEMENT</t>
        </is>
      </c>
      <c r="H91" s="19" t="inlineStr">
        <is>
          <t>ARCH &amp; ENGINEERING</t>
        </is>
      </c>
      <c r="I91" s="31" t="n">
        <v>46170</v>
      </c>
      <c r="J91" s="19" t="inlineStr">
        <is>
          <t>2026-05-26</t>
        </is>
      </c>
      <c r="K91" s="21" t="n">
        <v>2828363.24</v>
      </c>
      <c r="L91" s="19" t="inlineStr">
        <is>
          <t>CONTRACT ASSIGNMENT/TRANSFER</t>
        </is>
      </c>
      <c r="M91" s="19" t="inlineStr">
        <is>
          <t>No</t>
        </is>
      </c>
      <c r="N91" s="19" t="inlineStr">
        <is>
          <t>ARCH/ENGINEERING</t>
        </is>
      </c>
      <c r="O91" s="19" t="inlineStr">
        <is>
          <t>BLANKET</t>
        </is>
      </c>
      <c r="P91" s="19" t="inlineStr">
        <is>
          <t>CORTES, JEZIEEL T</t>
        </is>
      </c>
      <c r="Q91" s="19" t="n">
        <v>2</v>
      </c>
    </row>
    <row r="92">
      <c r="A92" s="19" t="n">
        <v>388990</v>
      </c>
      <c r="B92" s="19" t="n">
        <v>353314</v>
      </c>
      <c r="C92" s="19" t="inlineStr"/>
      <c r="D92" s="19" t="n">
        <v>140827</v>
      </c>
      <c r="E92" s="20" t="inlineStr">
        <is>
          <t>TRANSFER FROM PO 71114 - PROFESSIONAL SEWER CONSTRUCTION ENGINEERING SERVICES</t>
        </is>
      </c>
      <c r="F92" s="19" t="inlineStr">
        <is>
          <t>GFT Infrastructure, Inc.</t>
        </is>
      </c>
      <c r="G92" s="19" t="inlineStr">
        <is>
          <t>88 - DEPARTMENT OF WATER MANAGEMENT</t>
        </is>
      </c>
      <c r="H92" s="19" t="inlineStr">
        <is>
          <t>ARCH &amp; ENGINEERING</t>
        </is>
      </c>
      <c r="I92" s="31" t="n">
        <v>46168</v>
      </c>
      <c r="J92" s="19" t="inlineStr">
        <is>
          <t>2026-05-26</t>
        </is>
      </c>
      <c r="K92" s="21" t="n">
        <v>7465933.8</v>
      </c>
      <c r="L92" s="19" t="inlineStr">
        <is>
          <t>CONTRACT ASSIGNMENT/TRANSFER</t>
        </is>
      </c>
      <c r="M92" s="19" t="inlineStr">
        <is>
          <t>No</t>
        </is>
      </c>
      <c r="N92" s="19" t="inlineStr">
        <is>
          <t>ARCH/ENGINEERING</t>
        </is>
      </c>
      <c r="O92" s="19" t="inlineStr">
        <is>
          <t>BLANKET</t>
        </is>
      </c>
      <c r="P92" s="19" t="inlineStr">
        <is>
          <t>CORTES, JEZIEEL T</t>
        </is>
      </c>
      <c r="Q92" s="19" t="inlineStr"/>
    </row>
    <row r="93">
      <c r="A93" s="19" t="n">
        <v>386787</v>
      </c>
      <c r="B93" s="19" t="n">
        <v>353395</v>
      </c>
      <c r="C93" s="19" t="n">
        <v>686037</v>
      </c>
      <c r="D93" s="19" t="n">
        <v>1332122</v>
      </c>
      <c r="E93" s="20" t="inlineStr">
        <is>
          <t>Taxiway Y South, Y3 &amp; Y4 Pavement Rehabilitation</t>
        </is>
      </c>
      <c r="F93" s="19" t="inlineStr">
        <is>
          <t>WALSH CONSTRUCTION COMPANY II,  LLC.</t>
        </is>
      </c>
      <c r="G93" s="19" t="inlineStr">
        <is>
          <t>85 - CHICAGO DEPARTMENT OF AVIATION</t>
        </is>
      </c>
      <c r="H93" s="19" t="inlineStr">
        <is>
          <t>AVIATION</t>
        </is>
      </c>
      <c r="I93" s="31" t="n">
        <v>46203</v>
      </c>
      <c r="J93" s="19" t="inlineStr">
        <is>
          <t>2025-08-27</t>
        </is>
      </c>
      <c r="K93" s="21" t="n">
        <v>21154050</v>
      </c>
      <c r="L93" s="19" t="inlineStr">
        <is>
          <t>BID</t>
        </is>
      </c>
      <c r="M93" s="19" t="inlineStr">
        <is>
          <t>Yes</t>
        </is>
      </c>
      <c r="N93" s="19" t="inlineStr">
        <is>
          <t>CONSTRUCTION-AVIATION</t>
        </is>
      </c>
      <c r="O93" s="19" t="inlineStr">
        <is>
          <t>STANDARD</t>
        </is>
      </c>
      <c r="P93" s="19" t="inlineStr">
        <is>
          <t>MAGNO, THOMAS</t>
        </is>
      </c>
      <c r="Q93" s="19" t="n">
        <v>307</v>
      </c>
    </row>
    <row r="94">
      <c r="A94" s="19" t="n">
        <v>382207</v>
      </c>
      <c r="B94" s="19" t="n">
        <v>353680</v>
      </c>
      <c r="C94" s="19" t="n">
        <v>619968</v>
      </c>
      <c r="D94" s="19" t="n">
        <v>1305815</v>
      </c>
      <c r="E94" s="20" t="inlineStr">
        <is>
          <t>Spec 1305815: PROMOTIONAL PRODUCTS WEARABLES AND ACCESSORIES - TARGET MARKET</t>
        </is>
      </c>
      <c r="F94" s="19" t="inlineStr">
        <is>
          <t>SILK SCREEN EXPRESS, INC.</t>
        </is>
      </c>
      <c r="G94" s="19" t="inlineStr">
        <is>
          <t>57 - CHICAGO POLICE DEPARTMENT</t>
        </is>
      </c>
      <c r="H94" s="19" t="inlineStr">
        <is>
          <t>COMMODITIES</t>
        </is>
      </c>
      <c r="I94" s="31" t="n">
        <v>46241</v>
      </c>
      <c r="J94" s="19" t="inlineStr">
        <is>
          <t>2024-11-07</t>
        </is>
      </c>
      <c r="K94" s="21" t="n">
        <v>8356754</v>
      </c>
      <c r="L94" s="19" t="inlineStr">
        <is>
          <t>BID</t>
        </is>
      </c>
      <c r="M94" s="19" t="inlineStr">
        <is>
          <t>Yes</t>
        </is>
      </c>
      <c r="N94" s="19" t="inlineStr">
        <is>
          <t>COMMODITIES</t>
        </is>
      </c>
      <c r="O94" s="19" t="inlineStr">
        <is>
          <t>BLANKET</t>
        </is>
      </c>
      <c r="P94" s="19" t="inlineStr">
        <is>
          <t>HARRISON-BONNER, KENYA D</t>
        </is>
      </c>
      <c r="Q94" s="19" t="n">
        <v>638</v>
      </c>
    </row>
    <row r="95">
      <c r="A95" s="19" t="n">
        <v>389292</v>
      </c>
      <c r="B95" s="19" t="n">
        <v>355260</v>
      </c>
      <c r="C95" s="19" t="inlineStr"/>
      <c r="D95" s="19" t="n">
        <v>135025</v>
      </c>
      <c r="E95" s="20" t="inlineStr">
        <is>
          <t>(TRANSFER FROM PO 34921) IMPOUND FACILITY MANAGEMENT, BOOT RELEASE, TOWING AND RELATED SERVICES</t>
        </is>
      </c>
      <c r="F95" s="19" t="inlineStr">
        <is>
          <t>URT United Road Towing Inc.</t>
        </is>
      </c>
      <c r="G95" s="19" t="inlineStr">
        <is>
          <t>81 - DEPARTMENT OF STREETS AND SANITATION</t>
        </is>
      </c>
      <c r="H95" s="19" t="inlineStr">
        <is>
          <t>PROFESSIONAL SERVICES</t>
        </is>
      </c>
      <c r="I95" s="31" t="n">
        <v>46231</v>
      </c>
      <c r="J95" s="19" t="inlineStr">
        <is>
          <t>2026-07-01</t>
        </is>
      </c>
      <c r="K95" s="21" t="n">
        <v>16099244.66</v>
      </c>
      <c r="L95" s="19" t="inlineStr">
        <is>
          <t>CONTRACT ASSIGNMENT/TRANSFER</t>
        </is>
      </c>
      <c r="M95" s="19" t="inlineStr">
        <is>
          <t>No</t>
        </is>
      </c>
      <c r="N95" s="19" t="inlineStr">
        <is>
          <t>PRO SERV CONSULTING $250,000orABOVE</t>
        </is>
      </c>
      <c r="O95" s="19" t="inlineStr">
        <is>
          <t>BLANKET</t>
        </is>
      </c>
      <c r="P95" s="19" t="inlineStr">
        <is>
          <t>CALLAHAN, PATRICK M</t>
        </is>
      </c>
      <c r="Q95" s="19" t="n">
        <v>27</v>
      </c>
    </row>
    <row r="96">
      <c r="A96" s="19" t="n">
        <v>389247</v>
      </c>
      <c r="B96" s="19" t="n">
        <v>355559</v>
      </c>
      <c r="C96" s="19" t="n">
        <v>593509</v>
      </c>
      <c r="D96" s="19" t="n">
        <v>1296415</v>
      </c>
      <c r="E96" s="20" t="inlineStr">
        <is>
          <t>Professional Sewer Construction Management Engineering Services - non-Target Market (Task Order Services)</t>
        </is>
      </c>
      <c r="F96" s="19" t="inlineStr">
        <is>
          <t>WSP USA INC.</t>
        </is>
      </c>
      <c r="G96" s="19" t="inlineStr">
        <is>
          <t>88 - DEPARTMENT OF WATER MANAGEMENT</t>
        </is>
      </c>
      <c r="H96" s="19" t="inlineStr">
        <is>
          <t>ARCH &amp; ENGINEERING</t>
        </is>
      </c>
      <c r="I96" s="31" t="n">
        <v>46245</v>
      </c>
      <c r="J96" s="19" t="inlineStr">
        <is>
          <t>2024-12-04</t>
        </is>
      </c>
      <c r="K96" s="21" t="n">
        <v>15000000</v>
      </c>
      <c r="L96" s="19" t="inlineStr">
        <is>
          <t>RFQ</t>
        </is>
      </c>
      <c r="M96" s="19" t="inlineStr">
        <is>
          <t>Yes</t>
        </is>
      </c>
      <c r="N96" s="19" t="inlineStr">
        <is>
          <t>ARCH/ENGINEERING</t>
        </is>
      </c>
      <c r="O96" s="19" t="inlineStr">
        <is>
          <t>BLANKET</t>
        </is>
      </c>
      <c r="P96" s="19" t="inlineStr">
        <is>
          <t>PESHOFF, NANCY R</t>
        </is>
      </c>
      <c r="Q96" s="19" t="n">
        <v>615</v>
      </c>
    </row>
    <row r="97">
      <c r="A97" s="19" t="n">
        <v>389238</v>
      </c>
      <c r="B97" s="19" t="n">
        <v>355560</v>
      </c>
      <c r="C97" s="19" t="n">
        <v>593509</v>
      </c>
      <c r="D97" s="19" t="n">
        <v>1296415</v>
      </c>
      <c r="E97" s="20" t="inlineStr">
        <is>
          <t>Professional Sewer Construction Management Engineering Services - non-Target Market (Task Order Services)</t>
        </is>
      </c>
      <c r="F97" s="19" t="inlineStr">
        <is>
          <t>COTTER CONSULTING, INC.</t>
        </is>
      </c>
      <c r="G97" s="19" t="inlineStr">
        <is>
          <t>88 - DEPARTMENT OF WATER MANAGEMENT</t>
        </is>
      </c>
      <c r="H97" s="19" t="inlineStr">
        <is>
          <t>ARCH &amp; ENGINEERING</t>
        </is>
      </c>
      <c r="I97" s="31" t="n">
        <v>46245</v>
      </c>
      <c r="J97" s="19" t="inlineStr">
        <is>
          <t>2024-12-04</t>
        </is>
      </c>
      <c r="K97" s="21" t="n">
        <v>15000000</v>
      </c>
      <c r="L97" s="19" t="inlineStr">
        <is>
          <t>RFQ</t>
        </is>
      </c>
      <c r="M97" s="19" t="inlineStr">
        <is>
          <t>Yes</t>
        </is>
      </c>
      <c r="N97" s="19" t="inlineStr">
        <is>
          <t>ARCH/ENGINEERING</t>
        </is>
      </c>
      <c r="O97" s="19" t="inlineStr">
        <is>
          <t>BLANKET</t>
        </is>
      </c>
      <c r="P97" s="19" t="inlineStr">
        <is>
          <t>PESHOFF, NANCY R</t>
        </is>
      </c>
      <c r="Q97" s="19" t="n">
        <v>615</v>
      </c>
    </row>
    <row r="98">
      <c r="A98" s="19" t="n">
        <v>382535</v>
      </c>
      <c r="B98" s="19" t="n">
        <v>355561</v>
      </c>
      <c r="C98" s="19" t="n">
        <v>593509</v>
      </c>
      <c r="D98" s="19" t="n">
        <v>1296415</v>
      </c>
      <c r="E98" s="20" t="inlineStr">
        <is>
          <t>Professional Sewer Construction Management Engineering Services - non-Target Market (Task Order Services)</t>
        </is>
      </c>
      <c r="F98" s="19" t="inlineStr">
        <is>
          <t>ALFRED BENESCH &amp; CO</t>
        </is>
      </c>
      <c r="G98" s="19" t="inlineStr">
        <is>
          <t>88 - DEPARTMENT OF WATER MANAGEMENT</t>
        </is>
      </c>
      <c r="H98" s="19" t="inlineStr">
        <is>
          <t>ARCH &amp; ENGINEERING</t>
        </is>
      </c>
      <c r="I98" s="31" t="n">
        <v>46245</v>
      </c>
      <c r="J98" s="19" t="inlineStr">
        <is>
          <t>2024-12-04</t>
        </is>
      </c>
      <c r="K98" s="21" t="n">
        <v>15000000</v>
      </c>
      <c r="L98" s="19" t="inlineStr">
        <is>
          <t>RFQ</t>
        </is>
      </c>
      <c r="M98" s="19" t="inlineStr">
        <is>
          <t>Yes</t>
        </is>
      </c>
      <c r="N98" s="19" t="inlineStr">
        <is>
          <t>ARCH/ENGINEERING</t>
        </is>
      </c>
      <c r="O98" s="19" t="inlineStr">
        <is>
          <t>BLANKET</t>
        </is>
      </c>
      <c r="P98" s="19" t="inlineStr">
        <is>
          <t>PESHOFF, NANCY R</t>
        </is>
      </c>
      <c r="Q98" s="19" t="n">
        <v>615</v>
      </c>
    </row>
    <row r="99">
      <c r="A99" s="19" t="n">
        <v>389244</v>
      </c>
      <c r="B99" s="19" t="n">
        <v>355564</v>
      </c>
      <c r="C99" s="19" t="n">
        <v>593509</v>
      </c>
      <c r="D99" s="19" t="n">
        <v>1296415</v>
      </c>
      <c r="E99" s="20" t="inlineStr">
        <is>
          <t>Professional Sewer Construction Management Engineering Services - non-Target Market (Task Order Services)</t>
        </is>
      </c>
      <c r="F99" s="19" t="inlineStr">
        <is>
          <t>THE RODERICK GROUP INC DBA ARDMORE RODERICK</t>
        </is>
      </c>
      <c r="G99" s="19" t="inlineStr">
        <is>
          <t>88 - DEPARTMENT OF WATER MANAGEMENT</t>
        </is>
      </c>
      <c r="H99" s="19" t="inlineStr">
        <is>
          <t>ARCH &amp; ENGINEERING</t>
        </is>
      </c>
      <c r="I99" s="31" t="n">
        <v>46245</v>
      </c>
      <c r="J99" s="19" t="inlineStr">
        <is>
          <t>2024-12-04</t>
        </is>
      </c>
      <c r="K99" s="21" t="n">
        <v>15000000</v>
      </c>
      <c r="L99" s="19" t="inlineStr">
        <is>
          <t>RFQ</t>
        </is>
      </c>
      <c r="M99" s="19" t="inlineStr">
        <is>
          <t>Yes</t>
        </is>
      </c>
      <c r="N99" s="19" t="inlineStr">
        <is>
          <t>ARCH/ENGINEERING</t>
        </is>
      </c>
      <c r="O99" s="19" t="inlineStr">
        <is>
          <t>BLANKET</t>
        </is>
      </c>
      <c r="P99" s="19" t="inlineStr">
        <is>
          <t>PESHOFF, NANCY R</t>
        </is>
      </c>
      <c r="Q99" s="19" t="n">
        <v>615</v>
      </c>
    </row>
    <row r="100">
      <c r="A100" s="19" t="n">
        <v>389093</v>
      </c>
      <c r="B100" s="19" t="n">
        <v>356057</v>
      </c>
      <c r="C100" s="19" t="n">
        <v>734373</v>
      </c>
      <c r="D100" s="19" t="n">
        <v>1318223</v>
      </c>
      <c r="E100" s="20" t="inlineStr">
        <is>
          <t>(Spec 1318223) Operation and Maintenance of the Airport Transit System (ATS) at Chicago O'Hare International Airport</t>
        </is>
      </c>
      <c r="F100" s="19" t="inlineStr">
        <is>
          <t>AOR TRANSIT</t>
        </is>
      </c>
      <c r="G100" s="19" t="inlineStr">
        <is>
          <t>85 - CHICAGO DEPARTMENT OF AVIATION</t>
        </is>
      </c>
      <c r="H100" s="19" t="inlineStr">
        <is>
          <t>PROFESSIONAL SERVICES</t>
        </is>
      </c>
      <c r="I100" s="31" t="n">
        <v>46216</v>
      </c>
      <c r="J100" s="19" t="inlineStr">
        <is>
          <t>2026-06-04</t>
        </is>
      </c>
      <c r="K100" s="21" t="n">
        <v>1050000000</v>
      </c>
      <c r="L100" s="19" t="inlineStr">
        <is>
          <t>SOLE SOURCE</t>
        </is>
      </c>
      <c r="M100" s="19" t="inlineStr">
        <is>
          <t>No</t>
        </is>
      </c>
      <c r="N100" s="19" t="inlineStr">
        <is>
          <t>PRO SERV-AVIATION</t>
        </is>
      </c>
      <c r="O100" s="19" t="inlineStr">
        <is>
          <t>BLANKET</t>
        </is>
      </c>
      <c r="P100" s="19" t="inlineStr">
        <is>
          <t>DUKE, KARL D</t>
        </is>
      </c>
      <c r="Q100" s="19" t="n">
        <v>39</v>
      </c>
    </row>
    <row r="101">
      <c r="A101" s="19" t="n">
        <v>389274</v>
      </c>
      <c r="B101" s="19" t="n">
        <v>357467</v>
      </c>
      <c r="C101" s="19" t="n">
        <v>738998</v>
      </c>
      <c r="D101" s="19" t="n">
        <v>1297152</v>
      </c>
      <c r="E101" s="20" t="inlineStr">
        <is>
          <t>Ring Tunnel Exhaust System, Emergency Hazardous Gas, and Smoke Evacuation at Chicago O'Hare Int'l Airport, Spec 1297152, (MBI) Mid-Sized Business Enterprise</t>
        </is>
      </c>
      <c r="F101" s="19" t="inlineStr">
        <is>
          <t>BLINDERMAN CONSTRUCTION COMPANY INC</t>
        </is>
      </c>
      <c r="G101" s="19" t="inlineStr">
        <is>
          <t>85 - CHICAGO DEPARTMENT OF AVIATION</t>
        </is>
      </c>
      <c r="H101" s="19" t="inlineStr">
        <is>
          <t>AVIATION</t>
        </is>
      </c>
      <c r="I101" s="31" t="n">
        <v>46231</v>
      </c>
      <c r="J101" s="19" t="inlineStr">
        <is>
          <t>2026-07-01</t>
        </is>
      </c>
      <c r="K101" s="21" t="n">
        <v>18797000</v>
      </c>
      <c r="L101" s="19" t="inlineStr">
        <is>
          <t>BID</t>
        </is>
      </c>
      <c r="M101" s="19" t="inlineStr">
        <is>
          <t>Yes</t>
        </is>
      </c>
      <c r="N101" s="19" t="inlineStr">
        <is>
          <t>CONSTRUCTION-AVIATION</t>
        </is>
      </c>
      <c r="O101" s="19" t="inlineStr">
        <is>
          <t>STANDARD</t>
        </is>
      </c>
      <c r="P101" s="19" t="inlineStr">
        <is>
          <t>MAGNO, THOMAS</t>
        </is>
      </c>
      <c r="Q101" s="19" t="n">
        <v>27</v>
      </c>
    </row>
  </sheetData>
  <autoFilter ref="A1:Q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2026-08-21T19:46:01Z</dcterms:created>
  <dcterms:modified xsi:type="dcterms:W3CDTF">2026-08-21T19:46:03Z</dcterms:modified>
</cp:coreProperties>
</file>