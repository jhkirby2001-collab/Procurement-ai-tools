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rified Conversions" sheetId="2" state="visible" r:id="rId4"/>
    <sheet name="Backing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<sst xmlns="http://schemas.openxmlformats.org/spreadsheetml/2006/main" count="351" uniqueCount="167">
  <si>
    <t xml:space="preserve">EXHIBIT B SPEND VERIFIED AS MOVED TO AN AWARDED CONTRACT</t>
  </si>
  <si>
    <t xml:space="preserve">January 1 - August 21, 2026   |   only conversions that can be independently proven</t>
  </si>
  <si>
    <t xml:space="preserve">THE ANSWER</t>
  </si>
  <si>
    <t xml:space="preserve">Yes - 8 Exhibit B items moved onto an awarded contract this year, covering 22 requisitions and $175,233.91 of maverick spend. 6 of the 8 went to a competitively bid contract - the correct outcome. The other 2 left Exhibit B through an emergency or sole-source award.</t>
  </si>
  <si>
    <t xml:space="preserve">THE NUMBERS</t>
  </si>
  <si>
    <t xml:space="preserve">Measure</t>
  </si>
  <si>
    <t xml:space="preserve">Value</t>
  </si>
  <si>
    <t xml:space="preserve">How it is counted</t>
  </si>
  <si>
    <t xml:space="preserve">Exhibit B items converted</t>
  </si>
  <si>
    <t xml:space="preserve">One per sourcing effort - the item being put under contract</t>
  </si>
  <si>
    <t xml:space="preserve">Requisitions behind them</t>
  </si>
  <si>
    <t xml:space="preserve">Individual Exhibit B requisitions that rolled into those items</t>
  </si>
  <si>
    <t xml:space="preserve">Maverick spend converted</t>
  </si>
  <si>
    <t xml:space="preserve">Exhibit B dollars now covered by an awarded contract</t>
  </si>
  <si>
    <t xml:space="preserve">Distinct contracts they landed on</t>
  </si>
  <si>
    <t xml:space="preserve">Fewer than the item count - separate Exhibit B items can converge on one contract</t>
  </si>
  <si>
    <t xml:space="preserve">Went COMPETITIVE (Bid)</t>
  </si>
  <si>
    <t xml:space="preserve">Competitively bid - the procurement-correct destination</t>
  </si>
  <si>
    <t xml:space="preserve">Went non-competitive</t>
  </si>
  <si>
    <t xml:space="preserve">Emergency or sole source - off Exhibit B, but not competitively sourced</t>
  </si>
  <si>
    <t xml:space="preserve">Proven by requisition ID</t>
  </si>
  <si>
    <t xml:space="preserve">Hardest evidence - same requisition number in both systems</t>
  </si>
  <si>
    <t xml:space="preserve">Proven by vendor + commodity</t>
  </si>
  <si>
    <t xml:space="preserve">Same vendor, matching commodity, award dated after</t>
  </si>
  <si>
    <t xml:space="preserve">WHAT THE PROOF MEANS</t>
  </si>
  <si>
    <t xml:space="preserve">Requisition ID link</t>
  </si>
  <si>
    <t xml:space="preserve">The new-contract requisition number the department wrote on the Exhibit B form appears as the originating requisition on the awarded contract. Same number, both systems. This is the hardest evidence available and covers most of the conversions listed.</t>
  </si>
  <si>
    <t xml:space="preserve">Vendor + commodity match</t>
  </si>
  <si>
    <t xml:space="preserve">No matching requisition number, but the same vendor holds the new contract, the commodity descriptions overlap, and the award is dated after the Exhibit B request. Strong, but one step softer than an ID match - the similarity score is shown so it can be judged individually.</t>
  </si>
  <si>
    <t xml:space="preserve">Timing test applied to every row</t>
  </si>
  <si>
    <t xml:space="preserve">Every conversion listed has its contract awarded AFTER the Exhibit B request. Matches where the contract already existed are excluded - those are not conversions.</t>
  </si>
  <si>
    <t xml:space="preserve">ONE CAVEAT</t>
  </si>
  <si>
    <t xml:space="preserve">This is what can be PROVEN from the two tabs supplied - 730 Exhibit B requisitions and the awarded contract list. The two systems share no reliable common key, so a conversion that left no traceable link would not appear here. Treat this as the floor, not the ceiling.</t>
  </si>
  <si>
    <t xml:space="preserve">VERIFIED CONVERSIONS - MAVERICK SPEND NOW UNDER CONTRACT</t>
  </si>
  <si>
    <t xml:space="preserve">Each row is one Exhibit B item proven to have moved onto an awarded contract. The Proof column states the evidence.</t>
  </si>
  <si>
    <t xml:space="preserve">EXHIBIT B SIDE</t>
  </si>
  <si>
    <t xml:space="preserve">AWARDED CONTRACT SIDE</t>
  </si>
  <si>
    <t xml:space="preserve">#</t>
  </si>
  <si>
    <t xml:space="preserve">Exhibit B Item</t>
  </si>
  <si>
    <t xml:space="preserve">Department</t>
  </si>
  <si>
    <t xml:space="preserve">Exhibit B Reqs</t>
  </si>
  <si>
    <t xml:space="preserve">Exhibit B Spend</t>
  </si>
  <si>
    <t xml:space="preserve">First Exhibit B</t>
  </si>
  <si>
    <t xml:space="preserve">Awarded Contract</t>
  </si>
  <si>
    <t xml:space="preserve">Awarded Vendor</t>
  </si>
  <si>
    <t xml:space="preserve">Award Date</t>
  </si>
  <si>
    <t xml:space="preserve">Award Type</t>
  </si>
  <si>
    <t xml:space="preserve">Competitive?</t>
  </si>
  <si>
    <t xml:space="preserve">Proof</t>
  </si>
  <si>
    <t xml:space="preserve">2FM currently holds two helicopter maintenance contracts; however, the Bell 407 and 429 aircraf</t>
  </si>
  <si>
    <t xml:space="preserve">2FM</t>
  </si>
  <si>
    <t xml:space="preserve">386844</t>
  </si>
  <si>
    <t xml:space="preserve">Helicopters, Inc.</t>
  </si>
  <si>
    <t xml:space="preserve">EMERGENCY</t>
  </si>
  <si>
    <t xml:space="preserve">NO</t>
  </si>
  <si>
    <t xml:space="preserve">DCASE submitted a new contract request for RENTAL AND MAINTENANCE OF PORTABLE CHEMICAL TOILETS,</t>
  </si>
  <si>
    <t xml:space="preserve">381051</t>
  </si>
  <si>
    <t xml:space="preserve">Service Sanitation Inc.</t>
  </si>
  <si>
    <t xml:space="preserve">BID</t>
  </si>
  <si>
    <t xml:space="preserve">YES</t>
  </si>
  <si>
    <t xml:space="preserve">Vendor + commodity match (0.64)</t>
  </si>
  <si>
    <t xml:space="preserve">3 Invoices forACCT#1750627 Weather Augment Forecasting Services: 210-00278025 Period: 3/1/2026-</t>
  </si>
  <si>
    <t xml:space="preserve">CDA</t>
  </si>
  <si>
    <t xml:space="preserve">381309</t>
  </si>
  <si>
    <t xml:space="preserve">MURRAY &amp; TRETTEL INC</t>
  </si>
  <si>
    <t xml:space="preserve">Consulting Fee June 2026</t>
  </si>
  <si>
    <t xml:space="preserve">CDPH</t>
  </si>
  <si>
    <t xml:space="preserve">386925</t>
  </si>
  <si>
    <t xml:space="preserve">INTEGRATED SOLUTIONS CONSULTING CORPORATION</t>
  </si>
  <si>
    <t xml:space="preserve">SOLE SOURCE</t>
  </si>
  <si>
    <t xml:space="preserve">Service Sanitation Inv 9090265 $1,250</t>
  </si>
  <si>
    <t xml:space="preserve">CPD</t>
  </si>
  <si>
    <t xml:space="preserve">#4 Invoices $10,558.002025 Midway Snow Equipment &amp; Snow Vehicles washing (Services 11/9, 11/10,</t>
  </si>
  <si>
    <t xml:space="preserve">375509</t>
  </si>
  <si>
    <t xml:space="preserve">Halliday Technologies</t>
  </si>
  <si>
    <t xml:space="preserve">RENTAL AND MAINTENANCE OF PORTABLE CHEMICAL TOILETS, SINKS, WASTE WATER BARRELS, PORTABLE WATER</t>
  </si>
  <si>
    <t xml:space="preserve">DPS</t>
  </si>
  <si>
    <t xml:space="preserve">Vendor + commodity match (0.50)</t>
  </si>
  <si>
    <t xml:space="preserve">MAINTENANCE AND REPAIR SERVICE ON TRUCK SCALES. - QUARTERLY TRUCK SCALE MAINTENANCE AND REPAIRS</t>
  </si>
  <si>
    <t xml:space="preserve">383993</t>
  </si>
  <si>
    <t xml:space="preserve">ABEST SCALE CO., INC.</t>
  </si>
  <si>
    <t xml:space="preserve">TOTAL</t>
  </si>
  <si>
    <t xml:space="preserve">BACKING DATA - EVERY ROW BEHIND THE PROOF</t>
  </si>
  <si>
    <t xml:space="preserve">Section 1: the Exhibit B requisitions that converted.  Section 2: the awarded contracts they landed on. Every figure above traces to these rows.</t>
  </si>
  <si>
    <t xml:space="preserve">SECTION 1 - EXHIBIT B REQUISITIONS THAT CONVERTED (22 rows)</t>
  </si>
  <si>
    <t xml:space="preserve">Sourcing Key</t>
  </si>
  <si>
    <t xml:space="preserve">Exhibit B Req#</t>
  </si>
  <si>
    <t xml:space="preserve">Exhibit B Date</t>
  </si>
  <si>
    <t xml:space="preserve">Exhibit B Vendor</t>
  </si>
  <si>
    <t xml:space="preserve">Description</t>
  </si>
  <si>
    <t xml:space="preserve">Amount</t>
  </si>
  <si>
    <t xml:space="preserve">Justification</t>
  </si>
  <si>
    <t xml:space="preserve">New Contract Req# on form</t>
  </si>
  <si>
    <t xml:space="preserve">Matched Contract</t>
  </si>
  <si>
    <t xml:space="preserve">Evidence</t>
  </si>
  <si>
    <t xml:space="preserve">RX530823</t>
  </si>
  <si>
    <t xml:space="preserve">CHICAGO DEPARTMENT OF AVIATION</t>
  </si>
  <si>
    <t xml:space="preserve">P.W.S. ENVIRONMENTAL, INC.</t>
  </si>
  <si>
    <t xml:space="preserve">#4 Invoices $10,558.002025 Midway Snow Equipment &amp; Snow Vehicles washing (Services 11/9, 11/10, 11/30 to 12/2 </t>
  </si>
  <si>
    <t xml:space="preserve">1. Pending New Contract - Original Contract Expired. New Contract in P</t>
  </si>
  <si>
    <t xml:space="preserve">530823</t>
  </si>
  <si>
    <t xml:space="preserve">Requisition ID link: Exhibit B new-contract RX = awarded REQ</t>
  </si>
  <si>
    <t xml:space="preserve">SHERWIN INDUSTRIES</t>
  </si>
  <si>
    <t xml:space="preserve">#2 Invoices  $2,394.34  2025 FAA 139 Regulatory Compliance- Annual calibration of 3 decelerometers and Charger</t>
  </si>
  <si>
    <t xml:space="preserve">RX607558</t>
  </si>
  <si>
    <t xml:space="preserve">DTN, LLC</t>
  </si>
  <si>
    <t xml:space="preserve">3 Invoices forACCT#1750627 Weather Augment Forecasting Services: 210-00278025 Period: 3/1/2026-3/31/2026; 210-</t>
  </si>
  <si>
    <t xml:space="preserve">4. Invoice Reconciliation - Invoice Received after Contract Expiration</t>
  </si>
  <si>
    <t xml:space="preserve">607558</t>
  </si>
  <si>
    <t xml:space="preserve">RX613315</t>
  </si>
  <si>
    <t xml:space="preserve">CHICAGO POLICE DEPARTMENT</t>
  </si>
  <si>
    <t xml:space="preserve">613315</t>
  </si>
  <si>
    <t xml:space="preserve">DEPARTMENT OF WATER MANAGEMENT</t>
  </si>
  <si>
    <t xml:space="preserve">SERVICE SANTATION REQ#613315. DCASE IS THE LEAD DEPARTMENT AND THE REQ WAS SENT TO DPS FOR A new contract on 8</t>
  </si>
  <si>
    <t xml:space="preserve">RX653063</t>
  </si>
  <si>
    <t xml:space="preserve">DEPARTMENT OF PROCUREMENT SERVICES</t>
  </si>
  <si>
    <t xml:space="preserve">A BEST SCALE CO</t>
  </si>
  <si>
    <t xml:space="preserve">MAINTENANCE AND REPAIR SERVICE ON TRUCK SCALES. - QUARTERLY TRUCK SCALE MAINTENANCE AND REPAIRS PER DETAILED S</t>
  </si>
  <si>
    <t xml:space="preserve">653063</t>
  </si>
  <si>
    <t xml:space="preserve">RX657660</t>
  </si>
  <si>
    <t xml:space="preserve">CHICAGO DEPARTMENT OF PUBLIC HEALTH</t>
  </si>
  <si>
    <t xml:space="preserve">Consulting Fee February 2026Hosting Fee: February 2026Hosting Fee: January 2026</t>
  </si>
  <si>
    <t xml:space="preserve">657660</t>
  </si>
  <si>
    <t xml:space="preserve">Hosting Fee</t>
  </si>
  <si>
    <t xml:space="preserve">RX690671</t>
  </si>
  <si>
    <t xml:space="preserve">DEPARTMENT OF FLEET AND FACILITY MANAGEMENT</t>
  </si>
  <si>
    <t xml:space="preserve">2FM currently holds two helicopter maintenance contracts, however the Bell 407s and 429 aircraft are not under</t>
  </si>
  <si>
    <t xml:space="preserve">690671</t>
  </si>
  <si>
    <t xml:space="preserve">Helicopter 10633647 A    JS/ BJ/ 6-Invoices/ $18,010.22/ PD911Z/ WO 2603623/ ASR</t>
  </si>
  <si>
    <t xml:space="preserve">2FM currently holds two helicopter maintenance contracts; however, the Bell 407 and 429 aircraft are not cover</t>
  </si>
  <si>
    <t xml:space="preserve">TB/MM/INVOICE #Q25143/$3458.74</t>
  </si>
  <si>
    <t xml:space="preserve">RX700212</t>
  </si>
  <si>
    <t xml:space="preserve">DCASE submitted a new contract request for RENTAL AND MAINTENANCE OF PORTABLE CHEMICAL TOILETS, SINKS, WASTE W</t>
  </si>
  <si>
    <t xml:space="preserve">700212</t>
  </si>
  <si>
    <t xml:space="preserve">Vendor match + commodity overlap (similarity 0.64)</t>
  </si>
  <si>
    <t xml:space="preserve">RX701842</t>
  </si>
  <si>
    <t xml:space="preserve">RENTAL AND MAINTENANCE OF PORTABLE CHEMICAL TOILETS, SINKS, WASTE WATER BARRELS, PORTABLE WATERLESS HAND SANIT</t>
  </si>
  <si>
    <t xml:space="preserve">2. Pending Amendment/Modification - Line Item Addition / Vendor Limit </t>
  </si>
  <si>
    <t xml:space="preserve">701842</t>
  </si>
  <si>
    <t xml:space="preserve">Vendor match + commodity overlap (similarity 0.50)</t>
  </si>
  <si>
    <t xml:space="preserve">SECTION 1 TOTAL</t>
  </si>
  <si>
    <t xml:space="preserve">SECTION 2 - AWARDED CONTRACTS THEY LANDED ON (6 contracts)</t>
  </si>
  <si>
    <t xml:space="preserve">Contract ID</t>
  </si>
  <si>
    <t xml:space="preserve">PO</t>
  </si>
  <si>
    <t xml:space="preserve">Requisition</t>
  </si>
  <si>
    <t xml:space="preserve">Spec</t>
  </si>
  <si>
    <t xml:space="preserve">Vendor</t>
  </si>
  <si>
    <t xml:space="preserve">Award Amount</t>
  </si>
  <si>
    <t xml:space="preserve">Procurement Type</t>
  </si>
  <si>
    <t xml:space="preserve">Competitive</t>
  </si>
  <si>
    <t xml:space="preserve">1232177</t>
  </si>
  <si>
    <t xml:space="preserve">Group B: Purchase of FAA Approved Portable Runway Friction Testing Decelerometers and Continuous Friction Meas</t>
  </si>
  <si>
    <t xml:space="preserve">85 - CHICAGO DEPARTMENT OF AVIATION</t>
  </si>
  <si>
    <t xml:space="preserve">1321639</t>
  </si>
  <si>
    <t xml:space="preserve">COMPREHENSIVE EMERGENCY MANAGEMENT PLAN (CEMP) SERVICES</t>
  </si>
  <si>
    <t xml:space="preserve">41 - CHICAGO DEPARTMENT OF PUBLIC HEALTH</t>
  </si>
  <si>
    <t xml:space="preserve">1276708C</t>
  </si>
  <si>
    <t xml:space="preserve">Maintenance, Parts and Repair Services for The Cambridge Axle Scale</t>
  </si>
  <si>
    <t xml:space="preserve">35 - DEPARTMENT OF PROCUREMENT SERVICES</t>
  </si>
  <si>
    <t xml:space="preserve">1334021</t>
  </si>
  <si>
    <t xml:space="preserve">EMERGENCY CONTRACT FOR PARTS, LABOR, REPAIR, MAINTENANCE, ACCESSORIES, AND SUPPLIES TO OPERATE CITY-OWNED BELL</t>
  </si>
  <si>
    <t xml:space="preserve">38 - DEPARTMENT OF FLEET AND FACILITY MANAGEMENT</t>
  </si>
  <si>
    <t xml:space="preserve">1303484</t>
  </si>
  <si>
    <t xml:space="preserve">1303484: Rental and Maintenance of Portable Chemical Toilets, Sinks, Waste Water Barrels, Portable Waterless H</t>
  </si>
  <si>
    <t xml:space="preserve">23 - DEPARTMENT OF CULTURAL AFFAIRS AND SPECIAL EVENTS</t>
  </si>
  <si>
    <t xml:space="preserve">1301356</t>
  </si>
  <si>
    <t xml:space="preserve">Meteorological Services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</si>
</sst>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;&quot;($&quot;#,##0.00\);\-"/>
    <numFmt numFmtId="167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2"/>
      <color rgb="FF002F6C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2F6C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DA291C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B26B00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2F6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2F6C"/>
        <bgColor rgb="FF333399"/>
      </patternFill>
    </fill>
    <fill>
      <patternFill patternType="solid">
        <fgColor rgb="FFD6EEF9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41B6E6"/>
        <bgColor rgb="FF00CCFF"/>
      </patternFill>
    </fill>
    <fill>
      <patternFill patternType="solid">
        <fgColor rgb="FF1E7B34"/>
        <bgColor rgb="FF008080"/>
      </patternFill>
    </fill>
    <fill>
      <patternFill patternType="solid">
        <fgColor rgb="FFDA291C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26B00"/>
      <rgbColor rgb="FF800080"/>
      <rgbColor rgb="FF008080"/>
      <rgbColor rgb="FFBFBFBF"/>
      <rgbColor rgb="FF808080"/>
      <rgbColor rgb="FF9999FF"/>
      <rgbColor rgb="FF993366"/>
      <rgbColor rgb="FFFFFFCC"/>
      <rgbColor rgb="FFD6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1B6E6"/>
      <rgbColor rgb="FF99CC00"/>
      <rgbColor rgb="FFFFCC00"/>
      <rgbColor rgb="FFFF9900"/>
      <rgbColor rgb="FFFF6600"/>
      <rgbColor rgb="FF555555"/>
      <rgbColor rgb="FF969696"/>
      <rgbColor rgb="FF002F6C"/>
      <rgbColor rgb="FF339966"/>
      <rgbColor rgb="FF003300"/>
      <rgbColor rgb="FF333300"/>
      <rgbColor rgb="FFDA291C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6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4"/>
      <c r="D5" s="4"/>
    </row>
    <row r="6" customFormat="false" ht="30" hidden="false" customHeight="true" outlineLevel="0" collapsed="false">
      <c r="B6" s="4"/>
      <c r="C6" s="4"/>
      <c r="D6" s="4"/>
    </row>
    <row r="8" customFormat="false" ht="15" hidden="false" customHeight="false" outlineLevel="0" collapsed="false">
      <c r="B8" s="3" t="s">
        <v>4</v>
      </c>
    </row>
    <row r="9" customFormat="false" ht="30" hidden="false" customHeight="true" outlineLevel="0" collapsed="false">
      <c r="A9" s="5"/>
      <c r="B9" s="6" t="s">
        <v>5</v>
      </c>
      <c r="C9" s="6" t="s">
        <v>6</v>
      </c>
      <c r="D9" s="6" t="s">
        <v>7</v>
      </c>
    </row>
    <row r="10" customFormat="false" ht="24" hidden="false" customHeight="true" outlineLevel="0" collapsed="false">
      <c r="B10" s="7" t="s">
        <v>8</v>
      </c>
      <c r="C10" s="8" t="n">
        <f aca="false">COUNTA('Verified Conversions'!$B$6:$B$13)</f>
        <v>8</v>
      </c>
      <c r="D10" s="9" t="s">
        <v>9</v>
      </c>
    </row>
    <row r="11" customFormat="false" ht="24" hidden="false" customHeight="true" outlineLevel="0" collapsed="false">
      <c r="B11" s="7" t="s">
        <v>10</v>
      </c>
      <c r="C11" s="8" t="n">
        <f aca="false">SUM('Verified Conversions'!$D$6:$D$13)</f>
        <v>22</v>
      </c>
      <c r="D11" s="9" t="s">
        <v>11</v>
      </c>
    </row>
    <row r="12" customFormat="false" ht="24" hidden="false" customHeight="true" outlineLevel="0" collapsed="false">
      <c r="B12" s="7" t="s">
        <v>12</v>
      </c>
      <c r="C12" s="10" t="n">
        <f aca="false">SUM('Verified Conversions'!$E$6:$E$13)</f>
        <v>175233.91</v>
      </c>
      <c r="D12" s="9" t="s">
        <v>13</v>
      </c>
    </row>
    <row r="13" customFormat="false" ht="24" hidden="false" customHeight="true" outlineLevel="0" collapsed="false">
      <c r="B13" s="7" t="s">
        <v>14</v>
      </c>
      <c r="C13" s="8" t="n">
        <f aca="false">SUMPRODUCT(1/COUNTIF('Verified Conversions'!$G$6:$G$13,'Verified Conversions'!$G$6:$G$13))</f>
        <v>6</v>
      </c>
      <c r="D13" s="9" t="s">
        <v>15</v>
      </c>
    </row>
    <row r="14" customFormat="false" ht="24" hidden="false" customHeight="true" outlineLevel="0" collapsed="false">
      <c r="B14" s="7" t="s">
        <v>16</v>
      </c>
      <c r="C14" s="8" t="n">
        <f aca="false">COUNTIF('Verified Conversions'!$K$6:$K$13,"YES")</f>
        <v>6</v>
      </c>
      <c r="D14" s="9" t="s">
        <v>17</v>
      </c>
    </row>
    <row r="15" customFormat="false" ht="24" hidden="false" customHeight="true" outlineLevel="0" collapsed="false">
      <c r="B15" s="7" t="s">
        <v>18</v>
      </c>
      <c r="C15" s="8" t="n">
        <f aca="false">COUNTIF('Verified Conversions'!$K$6:$K$13,"NO")</f>
        <v>2</v>
      </c>
      <c r="D15" s="9" t="s">
        <v>19</v>
      </c>
    </row>
    <row r="16" customFormat="false" ht="24" hidden="false" customHeight="true" outlineLevel="0" collapsed="false">
      <c r="B16" s="7" t="s">
        <v>20</v>
      </c>
      <c r="C16" s="8" t="n">
        <f aca="false">COUNTIF('Verified Conversions'!$L$6:$L$13,"Requisition ID link")</f>
        <v>6</v>
      </c>
      <c r="D16" s="9" t="s">
        <v>21</v>
      </c>
    </row>
    <row r="17" customFormat="false" ht="24" hidden="false" customHeight="true" outlineLevel="0" collapsed="false">
      <c r="B17" s="7" t="s">
        <v>22</v>
      </c>
      <c r="C17" s="8" t="n">
        <f aca="false">COUNTA('Verified Conversions'!$L$6:$L$13)-COUNTIF('Verified Conversions'!$L$6:$L$13,"Requisition ID link")</f>
        <v>2</v>
      </c>
      <c r="D17" s="9" t="s">
        <v>23</v>
      </c>
    </row>
    <row r="19" customFormat="false" ht="15" hidden="false" customHeight="false" outlineLevel="0" collapsed="false">
      <c r="B19" s="3" t="s">
        <v>24</v>
      </c>
    </row>
    <row r="20" customFormat="false" ht="39.75" hidden="false" customHeight="true" outlineLevel="0" collapsed="false">
      <c r="B20" s="11" t="s">
        <v>25</v>
      </c>
      <c r="C20" s="12" t="s">
        <v>26</v>
      </c>
      <c r="D20" s="12"/>
    </row>
    <row r="21" customFormat="false" ht="39.75" hidden="false" customHeight="true" outlineLevel="0" collapsed="false">
      <c r="B21" s="11" t="s">
        <v>27</v>
      </c>
      <c r="C21" s="12" t="s">
        <v>28</v>
      </c>
      <c r="D21" s="12"/>
    </row>
    <row r="22" customFormat="false" ht="39.75" hidden="false" customHeight="true" outlineLevel="0" collapsed="false">
      <c r="B22" s="11" t="s">
        <v>29</v>
      </c>
      <c r="C22" s="12" t="s">
        <v>30</v>
      </c>
      <c r="D22" s="12"/>
    </row>
    <row r="24" customFormat="false" ht="15" hidden="false" customHeight="false" outlineLevel="0" collapsed="false">
      <c r="B24" s="13" t="s">
        <v>31</v>
      </c>
    </row>
    <row r="25" customFormat="false" ht="15" hidden="false" customHeight="true" outlineLevel="0" collapsed="false">
      <c r="B25" s="14" t="s">
        <v>32</v>
      </c>
      <c r="C25" s="14"/>
      <c r="D25" s="14"/>
    </row>
    <row r="26" customFormat="false" ht="15" hidden="false" customHeight="false" outlineLevel="0" collapsed="false">
      <c r="B26" s="14"/>
      <c r="C26" s="14"/>
      <c r="D26" s="14"/>
    </row>
  </sheetData>
  <mergeCells count="7">
    <mergeCell ref="A1:D1"/>
    <mergeCell ref="A2:D2"/>
    <mergeCell ref="B5:D6"/>
    <mergeCell ref="C20:D20"/>
    <mergeCell ref="C21:D21"/>
    <mergeCell ref="C22:D22"/>
    <mergeCell ref="B25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5" t="s">
        <v>35</v>
      </c>
      <c r="B4" s="15"/>
      <c r="C4" s="15"/>
      <c r="D4" s="15"/>
      <c r="E4" s="15"/>
      <c r="F4" s="15"/>
      <c r="G4" s="16" t="s">
        <v>36</v>
      </c>
      <c r="H4" s="16"/>
      <c r="I4" s="16"/>
      <c r="J4" s="16"/>
      <c r="K4" s="16"/>
      <c r="L4" s="16"/>
    </row>
    <row r="5" customFormat="false" ht="30" hidden="false" customHeight="true" outlineLevel="0" collapsed="false">
      <c r="A5" s="6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</row>
    <row r="6" customFormat="false" ht="42" hidden="false" customHeight="true" outlineLevel="0" collapsed="false">
      <c r="A6" s="17" t="n">
        <v>1</v>
      </c>
      <c r="B6" s="18" t="s">
        <v>49</v>
      </c>
      <c r="C6" s="17" t="s">
        <v>50</v>
      </c>
      <c r="D6" s="17" t="n">
        <v>6</v>
      </c>
      <c r="E6" s="19" t="n">
        <v>132276.27</v>
      </c>
      <c r="F6" s="20" t="n">
        <v>46045</v>
      </c>
      <c r="G6" s="17" t="s">
        <v>51</v>
      </c>
      <c r="H6" s="17" t="s">
        <v>52</v>
      </c>
      <c r="I6" s="20" t="n">
        <v>46203</v>
      </c>
      <c r="J6" s="17" t="s">
        <v>53</v>
      </c>
      <c r="K6" s="21" t="s">
        <v>54</v>
      </c>
      <c r="L6" s="18" t="s">
        <v>25</v>
      </c>
    </row>
    <row r="7" customFormat="false" ht="42" hidden="false" customHeight="true" outlineLevel="0" collapsed="false">
      <c r="A7" s="22" t="n">
        <v>2</v>
      </c>
      <c r="B7" s="23" t="s">
        <v>55</v>
      </c>
      <c r="C7" s="22" t="s">
        <v>50</v>
      </c>
      <c r="D7" s="22" t="n">
        <v>3</v>
      </c>
      <c r="E7" s="24" t="n">
        <v>14697.5</v>
      </c>
      <c r="F7" s="25" t="n">
        <v>46052</v>
      </c>
      <c r="G7" s="22" t="s">
        <v>56</v>
      </c>
      <c r="H7" s="22" t="s">
        <v>57</v>
      </c>
      <c r="I7" s="25" t="n">
        <v>46203</v>
      </c>
      <c r="J7" s="22" t="s">
        <v>58</v>
      </c>
      <c r="K7" s="26" t="s">
        <v>59</v>
      </c>
      <c r="L7" s="23" t="s">
        <v>60</v>
      </c>
    </row>
    <row r="8" customFormat="false" ht="42" hidden="false" customHeight="true" outlineLevel="0" collapsed="false">
      <c r="A8" s="17" t="n">
        <v>3</v>
      </c>
      <c r="B8" s="18" t="s">
        <v>61</v>
      </c>
      <c r="C8" s="17" t="s">
        <v>62</v>
      </c>
      <c r="D8" s="17" t="n">
        <v>1</v>
      </c>
      <c r="E8" s="19" t="n">
        <v>9315</v>
      </c>
      <c r="F8" s="20" t="n">
        <v>46216</v>
      </c>
      <c r="G8" s="17" t="s">
        <v>63</v>
      </c>
      <c r="H8" s="17" t="s">
        <v>64</v>
      </c>
      <c r="I8" s="20" t="n">
        <v>46229</v>
      </c>
      <c r="J8" s="17" t="s">
        <v>58</v>
      </c>
      <c r="K8" s="27" t="s">
        <v>59</v>
      </c>
      <c r="L8" s="18" t="s">
        <v>25</v>
      </c>
    </row>
    <row r="9" customFormat="false" ht="42" hidden="false" customHeight="true" outlineLevel="0" collapsed="false">
      <c r="A9" s="22" t="n">
        <v>4</v>
      </c>
      <c r="B9" s="23" t="s">
        <v>65</v>
      </c>
      <c r="C9" s="22" t="s">
        <v>66</v>
      </c>
      <c r="D9" s="22" t="n">
        <v>3</v>
      </c>
      <c r="E9" s="24" t="n">
        <v>8208.8</v>
      </c>
      <c r="F9" s="25" t="n">
        <v>46119</v>
      </c>
      <c r="G9" s="22" t="s">
        <v>67</v>
      </c>
      <c r="H9" s="22" t="s">
        <v>68</v>
      </c>
      <c r="I9" s="25" t="n">
        <v>46220</v>
      </c>
      <c r="J9" s="22" t="s">
        <v>69</v>
      </c>
      <c r="K9" s="28" t="s">
        <v>54</v>
      </c>
      <c r="L9" s="23" t="s">
        <v>25</v>
      </c>
    </row>
    <row r="10" customFormat="false" ht="42" hidden="false" customHeight="true" outlineLevel="0" collapsed="false">
      <c r="A10" s="17" t="n">
        <v>5</v>
      </c>
      <c r="B10" s="18" t="s">
        <v>70</v>
      </c>
      <c r="C10" s="17" t="s">
        <v>71</v>
      </c>
      <c r="D10" s="17" t="n">
        <v>2</v>
      </c>
      <c r="E10" s="19" t="n">
        <v>7167</v>
      </c>
      <c r="F10" s="20" t="n">
        <v>46052</v>
      </c>
      <c r="G10" s="17" t="s">
        <v>56</v>
      </c>
      <c r="H10" s="17" t="s">
        <v>57</v>
      </c>
      <c r="I10" s="20" t="n">
        <v>46203</v>
      </c>
      <c r="J10" s="17" t="s">
        <v>58</v>
      </c>
      <c r="K10" s="27" t="s">
        <v>59</v>
      </c>
      <c r="L10" s="18" t="s">
        <v>25</v>
      </c>
    </row>
    <row r="11" customFormat="false" ht="42" hidden="false" customHeight="true" outlineLevel="0" collapsed="false">
      <c r="A11" s="22" t="n">
        <v>6</v>
      </c>
      <c r="B11" s="23" t="s">
        <v>72</v>
      </c>
      <c r="C11" s="22" t="s">
        <v>62</v>
      </c>
      <c r="D11" s="22" t="n">
        <v>2</v>
      </c>
      <c r="E11" s="24" t="n">
        <v>2394.34</v>
      </c>
      <c r="F11" s="25" t="n">
        <v>46058</v>
      </c>
      <c r="G11" s="22" t="s">
        <v>73</v>
      </c>
      <c r="H11" s="22" t="s">
        <v>74</v>
      </c>
      <c r="I11" s="25" t="n">
        <v>46106</v>
      </c>
      <c r="J11" s="22" t="s">
        <v>58</v>
      </c>
      <c r="K11" s="26" t="s">
        <v>59</v>
      </c>
      <c r="L11" s="23" t="s">
        <v>25</v>
      </c>
    </row>
    <row r="12" customFormat="false" ht="42" hidden="false" customHeight="true" outlineLevel="0" collapsed="false">
      <c r="A12" s="17" t="n">
        <v>7</v>
      </c>
      <c r="B12" s="18" t="s">
        <v>75</v>
      </c>
      <c r="C12" s="17" t="s">
        <v>76</v>
      </c>
      <c r="D12" s="17" t="n">
        <v>4</v>
      </c>
      <c r="E12" s="19" t="n">
        <v>725</v>
      </c>
      <c r="F12" s="20" t="n">
        <v>46038</v>
      </c>
      <c r="G12" s="17" t="s">
        <v>56</v>
      </c>
      <c r="H12" s="17" t="s">
        <v>57</v>
      </c>
      <c r="I12" s="20" t="n">
        <v>46203</v>
      </c>
      <c r="J12" s="17" t="s">
        <v>58</v>
      </c>
      <c r="K12" s="27" t="s">
        <v>59</v>
      </c>
      <c r="L12" s="18" t="s">
        <v>77</v>
      </c>
    </row>
    <row r="13" customFormat="false" ht="42" hidden="false" customHeight="true" outlineLevel="0" collapsed="false">
      <c r="A13" s="22" t="n">
        <v>8</v>
      </c>
      <c r="B13" s="23" t="s">
        <v>78</v>
      </c>
      <c r="C13" s="22" t="s">
        <v>76</v>
      </c>
      <c r="D13" s="22" t="n">
        <v>1</v>
      </c>
      <c r="E13" s="24" t="n">
        <v>450</v>
      </c>
      <c r="F13" s="25" t="n">
        <v>46036</v>
      </c>
      <c r="G13" s="22" t="s">
        <v>79</v>
      </c>
      <c r="H13" s="22" t="s">
        <v>80</v>
      </c>
      <c r="I13" s="25" t="n">
        <v>46063</v>
      </c>
      <c r="J13" s="22" t="s">
        <v>58</v>
      </c>
      <c r="K13" s="26" t="s">
        <v>59</v>
      </c>
      <c r="L13" s="23" t="s">
        <v>25</v>
      </c>
    </row>
    <row r="14" customFormat="false" ht="15" hidden="false" customHeight="false" outlineLevel="0" collapsed="false">
      <c r="A14" s="29"/>
      <c r="B14" s="29" t="s">
        <v>81</v>
      </c>
      <c r="C14" s="29"/>
      <c r="D14" s="30" t="n">
        <f aca="false">SUM(D6:D13)</f>
        <v>22</v>
      </c>
      <c r="E14" s="31" t="n">
        <f aca="false">SUM(E6:E13)</f>
        <v>175233.91</v>
      </c>
      <c r="F14" s="29"/>
      <c r="G14" s="29"/>
      <c r="H14" s="29"/>
      <c r="I14" s="29"/>
      <c r="J14" s="29"/>
      <c r="K14" s="29"/>
      <c r="L14" s="29"/>
    </row>
  </sheetData>
  <mergeCells count="4">
    <mergeCell ref="A1:L1"/>
    <mergeCell ref="A2:L2"/>
    <mergeCell ref="A4:F4"/>
    <mergeCell ref="G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54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24"/>
    <col collapsed="false" customWidth="true" hidden="false" outlineLevel="0" max="10" min="10" style="0" width="17"/>
    <col collapsed="false" customWidth="true" hidden="false" outlineLevel="0" max="11" min="11" style="0" width="34"/>
  </cols>
  <sheetData>
    <row r="1" customFormat="false" ht="27.7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83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2" t="s">
        <v>84</v>
      </c>
    </row>
    <row r="5" customFormat="false" ht="30" hidden="false" customHeight="true" outlineLevel="0" collapsed="false">
      <c r="A5" s="6" t="s">
        <v>85</v>
      </c>
      <c r="B5" s="6" t="s">
        <v>86</v>
      </c>
      <c r="C5" s="6" t="s">
        <v>87</v>
      </c>
      <c r="D5" s="6" t="s">
        <v>39</v>
      </c>
      <c r="E5" s="6" t="s">
        <v>88</v>
      </c>
      <c r="F5" s="6" t="s">
        <v>89</v>
      </c>
      <c r="G5" s="6" t="s">
        <v>90</v>
      </c>
      <c r="H5" s="6" t="s">
        <v>91</v>
      </c>
      <c r="I5" s="6" t="s">
        <v>92</v>
      </c>
      <c r="J5" s="6" t="s">
        <v>93</v>
      </c>
      <c r="K5" s="6" t="s">
        <v>94</v>
      </c>
    </row>
    <row r="6" customFormat="false" ht="22.35" hidden="false" customHeight="false" outlineLevel="0" collapsed="false">
      <c r="A6" s="17" t="s">
        <v>95</v>
      </c>
      <c r="B6" s="17" t="n">
        <v>707665</v>
      </c>
      <c r="C6" s="20" t="n">
        <v>46058</v>
      </c>
      <c r="D6" s="17" t="s">
        <v>96</v>
      </c>
      <c r="E6" s="17" t="s">
        <v>97</v>
      </c>
      <c r="F6" s="18" t="s">
        <v>98</v>
      </c>
      <c r="G6" s="19" t="n">
        <v>0</v>
      </c>
      <c r="H6" s="18" t="s">
        <v>99</v>
      </c>
      <c r="I6" s="17" t="s">
        <v>100</v>
      </c>
      <c r="J6" s="17" t="s">
        <v>73</v>
      </c>
      <c r="K6" s="18" t="s">
        <v>101</v>
      </c>
    </row>
    <row r="7" customFormat="false" ht="22.35" hidden="false" customHeight="false" outlineLevel="0" collapsed="false">
      <c r="A7" s="22" t="s">
        <v>95</v>
      </c>
      <c r="B7" s="22" t="n">
        <v>716927</v>
      </c>
      <c r="C7" s="25" t="n">
        <v>46080</v>
      </c>
      <c r="D7" s="22" t="s">
        <v>96</v>
      </c>
      <c r="E7" s="22" t="s">
        <v>102</v>
      </c>
      <c r="F7" s="23" t="s">
        <v>103</v>
      </c>
      <c r="G7" s="24" t="n">
        <v>2394.34</v>
      </c>
      <c r="H7" s="23" t="s">
        <v>99</v>
      </c>
      <c r="I7" s="22" t="s">
        <v>100</v>
      </c>
      <c r="J7" s="22" t="s">
        <v>73</v>
      </c>
      <c r="K7" s="23" t="s">
        <v>101</v>
      </c>
    </row>
    <row r="8" customFormat="false" ht="22.35" hidden="false" customHeight="false" outlineLevel="0" collapsed="false">
      <c r="A8" s="17" t="s">
        <v>104</v>
      </c>
      <c r="B8" s="17" t="n">
        <v>739971</v>
      </c>
      <c r="C8" s="20" t="n">
        <v>46216</v>
      </c>
      <c r="D8" s="17" t="s">
        <v>96</v>
      </c>
      <c r="E8" s="17" t="s">
        <v>105</v>
      </c>
      <c r="F8" s="18" t="s">
        <v>106</v>
      </c>
      <c r="G8" s="19" t="n">
        <v>9315</v>
      </c>
      <c r="H8" s="18" t="s">
        <v>107</v>
      </c>
      <c r="I8" s="17" t="s">
        <v>108</v>
      </c>
      <c r="J8" s="17" t="s">
        <v>63</v>
      </c>
      <c r="K8" s="18" t="s">
        <v>101</v>
      </c>
    </row>
    <row r="9" customFormat="false" ht="22.35" hidden="false" customHeight="false" outlineLevel="0" collapsed="false">
      <c r="A9" s="22" t="s">
        <v>109</v>
      </c>
      <c r="B9" s="22" t="n">
        <v>711725</v>
      </c>
      <c r="C9" s="25" t="n">
        <v>46052</v>
      </c>
      <c r="D9" s="22" t="s">
        <v>110</v>
      </c>
      <c r="E9" s="22" t="s">
        <v>57</v>
      </c>
      <c r="F9" s="23" t="s">
        <v>70</v>
      </c>
      <c r="G9" s="24" t="n">
        <v>1250</v>
      </c>
      <c r="H9" s="23" t="s">
        <v>99</v>
      </c>
      <c r="I9" s="22" t="s">
        <v>111</v>
      </c>
      <c r="J9" s="22" t="s">
        <v>56</v>
      </c>
      <c r="K9" s="23" t="s">
        <v>101</v>
      </c>
    </row>
    <row r="10" customFormat="false" ht="22.35" hidden="false" customHeight="false" outlineLevel="0" collapsed="false">
      <c r="A10" s="17" t="s">
        <v>109</v>
      </c>
      <c r="B10" s="17" t="n">
        <v>716858</v>
      </c>
      <c r="C10" s="20" t="n">
        <v>46080</v>
      </c>
      <c r="D10" s="17" t="s">
        <v>112</v>
      </c>
      <c r="E10" s="17" t="s">
        <v>57</v>
      </c>
      <c r="F10" s="18" t="s">
        <v>113</v>
      </c>
      <c r="G10" s="19" t="n">
        <v>5917</v>
      </c>
      <c r="H10" s="18" t="s">
        <v>99</v>
      </c>
      <c r="I10" s="17" t="s">
        <v>111</v>
      </c>
      <c r="J10" s="17" t="s">
        <v>56</v>
      </c>
      <c r="K10" s="18" t="s">
        <v>101</v>
      </c>
    </row>
    <row r="11" customFormat="false" ht="22.35" hidden="false" customHeight="false" outlineLevel="0" collapsed="false">
      <c r="A11" s="22" t="s">
        <v>114</v>
      </c>
      <c r="B11" s="22" t="n">
        <v>708543</v>
      </c>
      <c r="C11" s="25" t="n">
        <v>46036</v>
      </c>
      <c r="D11" s="22" t="s">
        <v>115</v>
      </c>
      <c r="E11" s="22" t="s">
        <v>116</v>
      </c>
      <c r="F11" s="23" t="s">
        <v>117</v>
      </c>
      <c r="G11" s="24" t="n">
        <v>450</v>
      </c>
      <c r="H11" s="23" t="s">
        <v>107</v>
      </c>
      <c r="I11" s="22" t="s">
        <v>118</v>
      </c>
      <c r="J11" s="22" t="s">
        <v>79</v>
      </c>
      <c r="K11" s="23" t="s">
        <v>101</v>
      </c>
    </row>
    <row r="12" customFormat="false" ht="22.35" hidden="false" customHeight="false" outlineLevel="0" collapsed="false">
      <c r="A12" s="17" t="s">
        <v>119</v>
      </c>
      <c r="B12" s="17" t="n">
        <v>722898</v>
      </c>
      <c r="C12" s="20" t="n">
        <v>46119</v>
      </c>
      <c r="D12" s="17" t="s">
        <v>120</v>
      </c>
      <c r="E12" s="17" t="s">
        <v>68</v>
      </c>
      <c r="F12" s="18" t="s">
        <v>121</v>
      </c>
      <c r="G12" s="19" t="n">
        <v>1890.66</v>
      </c>
      <c r="H12" s="18" t="s">
        <v>99</v>
      </c>
      <c r="I12" s="17" t="s">
        <v>122</v>
      </c>
      <c r="J12" s="17" t="s">
        <v>67</v>
      </c>
      <c r="K12" s="18" t="s">
        <v>101</v>
      </c>
    </row>
    <row r="13" customFormat="false" ht="22.35" hidden="false" customHeight="false" outlineLevel="0" collapsed="false">
      <c r="A13" s="22" t="s">
        <v>119</v>
      </c>
      <c r="B13" s="22" t="n">
        <v>734145</v>
      </c>
      <c r="C13" s="25" t="n">
        <v>46177</v>
      </c>
      <c r="D13" s="22" t="s">
        <v>120</v>
      </c>
      <c r="E13" s="22" t="s">
        <v>68</v>
      </c>
      <c r="F13" s="23" t="s">
        <v>123</v>
      </c>
      <c r="G13" s="24" t="n">
        <v>2499</v>
      </c>
      <c r="H13" s="23" t="s">
        <v>99</v>
      </c>
      <c r="I13" s="22" t="s">
        <v>122</v>
      </c>
      <c r="J13" s="22" t="s">
        <v>67</v>
      </c>
      <c r="K13" s="23" t="s">
        <v>101</v>
      </c>
    </row>
    <row r="14" customFormat="false" ht="22.35" hidden="false" customHeight="false" outlineLevel="0" collapsed="false">
      <c r="A14" s="17" t="s">
        <v>119</v>
      </c>
      <c r="B14" s="17" t="n">
        <v>738810</v>
      </c>
      <c r="C14" s="20" t="n">
        <v>46212</v>
      </c>
      <c r="D14" s="17" t="s">
        <v>120</v>
      </c>
      <c r="E14" s="17" t="s">
        <v>68</v>
      </c>
      <c r="F14" s="18" t="s">
        <v>65</v>
      </c>
      <c r="G14" s="19" t="n">
        <v>3819.14</v>
      </c>
      <c r="H14" s="18" t="s">
        <v>99</v>
      </c>
      <c r="I14" s="17" t="s">
        <v>122</v>
      </c>
      <c r="J14" s="17" t="s">
        <v>67</v>
      </c>
      <c r="K14" s="18" t="s">
        <v>101</v>
      </c>
    </row>
    <row r="15" customFormat="false" ht="22.35" hidden="false" customHeight="false" outlineLevel="0" collapsed="false">
      <c r="A15" s="22" t="s">
        <v>124</v>
      </c>
      <c r="B15" s="22" t="n">
        <v>709848</v>
      </c>
      <c r="C15" s="25" t="n">
        <v>46045</v>
      </c>
      <c r="D15" s="22" t="s">
        <v>125</v>
      </c>
      <c r="E15" s="22" t="s">
        <v>52</v>
      </c>
      <c r="F15" s="23" t="s">
        <v>126</v>
      </c>
      <c r="G15" s="24" t="n">
        <v>1297.26</v>
      </c>
      <c r="H15" s="23" t="s">
        <v>99</v>
      </c>
      <c r="I15" s="22" t="s">
        <v>127</v>
      </c>
      <c r="J15" s="22" t="s">
        <v>51</v>
      </c>
      <c r="K15" s="23" t="s">
        <v>101</v>
      </c>
    </row>
    <row r="16" customFormat="false" ht="22.35" hidden="false" customHeight="false" outlineLevel="0" collapsed="false">
      <c r="A16" s="17" t="s">
        <v>124</v>
      </c>
      <c r="B16" s="17" t="n">
        <v>709600</v>
      </c>
      <c r="C16" s="20" t="n">
        <v>46048</v>
      </c>
      <c r="D16" s="17" t="s">
        <v>125</v>
      </c>
      <c r="E16" s="17" t="s">
        <v>52</v>
      </c>
      <c r="F16" s="18" t="s">
        <v>126</v>
      </c>
      <c r="G16" s="19" t="n">
        <v>840</v>
      </c>
      <c r="H16" s="18" t="s">
        <v>99</v>
      </c>
      <c r="I16" s="17" t="s">
        <v>127</v>
      </c>
      <c r="J16" s="17" t="s">
        <v>51</v>
      </c>
      <c r="K16" s="18" t="s">
        <v>101</v>
      </c>
    </row>
    <row r="17" customFormat="false" ht="22.35" hidden="false" customHeight="false" outlineLevel="0" collapsed="false">
      <c r="A17" s="22" t="s">
        <v>124</v>
      </c>
      <c r="B17" s="22" t="n">
        <v>710068</v>
      </c>
      <c r="C17" s="25" t="n">
        <v>46048</v>
      </c>
      <c r="D17" s="22" t="s">
        <v>125</v>
      </c>
      <c r="E17" s="22" t="s">
        <v>52</v>
      </c>
      <c r="F17" s="23" t="s">
        <v>128</v>
      </c>
      <c r="G17" s="24" t="n">
        <v>18010.22</v>
      </c>
      <c r="H17" s="23" t="s">
        <v>99</v>
      </c>
      <c r="I17" s="22" t="s">
        <v>127</v>
      </c>
      <c r="J17" s="22" t="s">
        <v>51</v>
      </c>
      <c r="K17" s="23" t="s">
        <v>101</v>
      </c>
    </row>
    <row r="18" customFormat="false" ht="22.35" hidden="false" customHeight="false" outlineLevel="0" collapsed="false">
      <c r="A18" s="17" t="s">
        <v>124</v>
      </c>
      <c r="B18" s="17" t="n">
        <v>718284</v>
      </c>
      <c r="C18" s="20" t="n">
        <v>46097</v>
      </c>
      <c r="D18" s="17" t="s">
        <v>125</v>
      </c>
      <c r="E18" s="17" t="s">
        <v>52</v>
      </c>
      <c r="F18" s="18" t="s">
        <v>126</v>
      </c>
      <c r="G18" s="19" t="n">
        <v>18935.29</v>
      </c>
      <c r="H18" s="18" t="s">
        <v>99</v>
      </c>
      <c r="I18" s="17" t="s">
        <v>127</v>
      </c>
      <c r="J18" s="17" t="s">
        <v>51</v>
      </c>
      <c r="K18" s="18" t="s">
        <v>101</v>
      </c>
    </row>
    <row r="19" customFormat="false" ht="22.35" hidden="false" customHeight="false" outlineLevel="0" collapsed="false">
      <c r="A19" s="22" t="s">
        <v>124</v>
      </c>
      <c r="B19" s="22" t="n">
        <v>728515</v>
      </c>
      <c r="C19" s="25" t="n">
        <v>46146</v>
      </c>
      <c r="D19" s="22" t="s">
        <v>125</v>
      </c>
      <c r="E19" s="22" t="s">
        <v>52</v>
      </c>
      <c r="F19" s="23" t="s">
        <v>129</v>
      </c>
      <c r="G19" s="24" t="n">
        <v>89734.76</v>
      </c>
      <c r="H19" s="23" t="s">
        <v>99</v>
      </c>
      <c r="I19" s="22" t="s">
        <v>127</v>
      </c>
      <c r="J19" s="22" t="s">
        <v>51</v>
      </c>
      <c r="K19" s="23" t="s">
        <v>101</v>
      </c>
    </row>
    <row r="20" customFormat="false" ht="22.35" hidden="false" customHeight="false" outlineLevel="0" collapsed="false">
      <c r="A20" s="17" t="s">
        <v>124</v>
      </c>
      <c r="B20" s="17" t="n">
        <v>730529</v>
      </c>
      <c r="C20" s="20" t="n">
        <v>46161</v>
      </c>
      <c r="D20" s="17" t="s">
        <v>125</v>
      </c>
      <c r="E20" s="17" t="s">
        <v>52</v>
      </c>
      <c r="F20" s="18" t="s">
        <v>130</v>
      </c>
      <c r="G20" s="19" t="n">
        <v>3458.74</v>
      </c>
      <c r="H20" s="18" t="s">
        <v>99</v>
      </c>
      <c r="I20" s="17" t="s">
        <v>127</v>
      </c>
      <c r="J20" s="17" t="s">
        <v>51</v>
      </c>
      <c r="K20" s="18" t="s">
        <v>101</v>
      </c>
    </row>
    <row r="21" customFormat="false" ht="22.35" hidden="false" customHeight="false" outlineLevel="0" collapsed="false">
      <c r="A21" s="22" t="s">
        <v>131</v>
      </c>
      <c r="B21" s="22" t="n">
        <v>711517</v>
      </c>
      <c r="C21" s="25" t="n">
        <v>46052</v>
      </c>
      <c r="D21" s="22" t="s">
        <v>125</v>
      </c>
      <c r="E21" s="22" t="s">
        <v>57</v>
      </c>
      <c r="F21" s="23" t="s">
        <v>132</v>
      </c>
      <c r="G21" s="24" t="n">
        <v>7750</v>
      </c>
      <c r="H21" s="23" t="s">
        <v>99</v>
      </c>
      <c r="I21" s="22" t="s">
        <v>133</v>
      </c>
      <c r="J21" s="22" t="s">
        <v>56</v>
      </c>
      <c r="K21" s="23" t="s">
        <v>134</v>
      </c>
    </row>
    <row r="22" customFormat="false" ht="22.35" hidden="false" customHeight="false" outlineLevel="0" collapsed="false">
      <c r="A22" s="17" t="s">
        <v>131</v>
      </c>
      <c r="B22" s="17" t="n">
        <v>711510</v>
      </c>
      <c r="C22" s="20" t="n">
        <v>46052</v>
      </c>
      <c r="D22" s="17" t="s">
        <v>125</v>
      </c>
      <c r="E22" s="17" t="s">
        <v>57</v>
      </c>
      <c r="F22" s="18" t="s">
        <v>132</v>
      </c>
      <c r="G22" s="19" t="n">
        <v>6700</v>
      </c>
      <c r="H22" s="18" t="s">
        <v>99</v>
      </c>
      <c r="I22" s="17" t="s">
        <v>133</v>
      </c>
      <c r="J22" s="17" t="s">
        <v>56</v>
      </c>
      <c r="K22" s="18" t="s">
        <v>134</v>
      </c>
    </row>
    <row r="23" customFormat="false" ht="22.35" hidden="false" customHeight="false" outlineLevel="0" collapsed="false">
      <c r="A23" s="22" t="s">
        <v>131</v>
      </c>
      <c r="B23" s="22" t="n">
        <v>721747</v>
      </c>
      <c r="C23" s="25" t="n">
        <v>46107</v>
      </c>
      <c r="D23" s="22" t="s">
        <v>125</v>
      </c>
      <c r="E23" s="22" t="s">
        <v>57</v>
      </c>
      <c r="F23" s="23" t="s">
        <v>132</v>
      </c>
      <c r="G23" s="24" t="n">
        <v>247.5</v>
      </c>
      <c r="H23" s="23" t="s">
        <v>99</v>
      </c>
      <c r="I23" s="22" t="s">
        <v>133</v>
      </c>
      <c r="J23" s="22" t="s">
        <v>56</v>
      </c>
      <c r="K23" s="23" t="s">
        <v>134</v>
      </c>
    </row>
    <row r="24" customFormat="false" ht="22.35" hidden="false" customHeight="false" outlineLevel="0" collapsed="false">
      <c r="A24" s="17" t="s">
        <v>135</v>
      </c>
      <c r="B24" s="17" t="n">
        <v>708558</v>
      </c>
      <c r="C24" s="20" t="n">
        <v>46038</v>
      </c>
      <c r="D24" s="17" t="s">
        <v>115</v>
      </c>
      <c r="E24" s="17" t="s">
        <v>57</v>
      </c>
      <c r="F24" s="18" t="s">
        <v>136</v>
      </c>
      <c r="G24" s="19" t="n">
        <v>250</v>
      </c>
      <c r="H24" s="18" t="s">
        <v>137</v>
      </c>
      <c r="I24" s="17" t="s">
        <v>138</v>
      </c>
      <c r="J24" s="17" t="s">
        <v>56</v>
      </c>
      <c r="K24" s="18" t="s">
        <v>139</v>
      </c>
    </row>
    <row r="25" customFormat="false" ht="22.35" hidden="false" customHeight="false" outlineLevel="0" collapsed="false">
      <c r="A25" s="22" t="s">
        <v>135</v>
      </c>
      <c r="B25" s="22" t="n">
        <v>716043</v>
      </c>
      <c r="C25" s="25" t="n">
        <v>46078</v>
      </c>
      <c r="D25" s="22" t="s">
        <v>115</v>
      </c>
      <c r="E25" s="22" t="s">
        <v>57</v>
      </c>
      <c r="F25" s="23" t="s">
        <v>136</v>
      </c>
      <c r="G25" s="24" t="n">
        <v>225</v>
      </c>
      <c r="H25" s="23" t="s">
        <v>137</v>
      </c>
      <c r="I25" s="22" t="s">
        <v>138</v>
      </c>
      <c r="J25" s="22" t="s">
        <v>56</v>
      </c>
      <c r="K25" s="23" t="s">
        <v>139</v>
      </c>
    </row>
    <row r="26" customFormat="false" ht="22.35" hidden="false" customHeight="false" outlineLevel="0" collapsed="false">
      <c r="A26" s="17" t="s">
        <v>135</v>
      </c>
      <c r="B26" s="17" t="n">
        <v>716047</v>
      </c>
      <c r="C26" s="20" t="n">
        <v>46078</v>
      </c>
      <c r="D26" s="17" t="s">
        <v>115</v>
      </c>
      <c r="E26" s="17" t="s">
        <v>57</v>
      </c>
      <c r="F26" s="18" t="s">
        <v>136</v>
      </c>
      <c r="G26" s="19" t="n">
        <v>250</v>
      </c>
      <c r="H26" s="18" t="s">
        <v>137</v>
      </c>
      <c r="I26" s="17" t="s">
        <v>138</v>
      </c>
      <c r="J26" s="17" t="s">
        <v>56</v>
      </c>
      <c r="K26" s="18" t="s">
        <v>139</v>
      </c>
    </row>
    <row r="27" customFormat="false" ht="22.35" hidden="false" customHeight="false" outlineLevel="0" collapsed="false">
      <c r="A27" s="22" t="s">
        <v>135</v>
      </c>
      <c r="B27" s="22" t="n">
        <v>722165</v>
      </c>
      <c r="C27" s="25" t="n">
        <v>46118</v>
      </c>
      <c r="D27" s="22" t="s">
        <v>115</v>
      </c>
      <c r="E27" s="22" t="s">
        <v>57</v>
      </c>
      <c r="F27" s="23" t="s">
        <v>136</v>
      </c>
      <c r="G27" s="24" t="n">
        <v>0</v>
      </c>
      <c r="H27" s="23" t="s">
        <v>137</v>
      </c>
      <c r="I27" s="22" t="s">
        <v>138</v>
      </c>
      <c r="J27" s="22" t="s">
        <v>56</v>
      </c>
      <c r="K27" s="23" t="s">
        <v>139</v>
      </c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 t="s">
        <v>140</v>
      </c>
      <c r="G28" s="34" t="n">
        <f aca="false">SUM(G6:G27)</f>
        <v>175233.91</v>
      </c>
      <c r="H28" s="33"/>
      <c r="I28" s="33"/>
      <c r="J28" s="33"/>
      <c r="K28" s="33"/>
    </row>
    <row r="30" customFormat="false" ht="15" hidden="false" customHeight="false" outlineLevel="0" collapsed="false">
      <c r="A30" s="32" t="s">
        <v>141</v>
      </c>
    </row>
    <row r="31" customFormat="false" ht="30" hidden="false" customHeight="true" outlineLevel="0" collapsed="false">
      <c r="A31" s="6" t="s">
        <v>142</v>
      </c>
      <c r="B31" s="6" t="s">
        <v>143</v>
      </c>
      <c r="C31" s="6" t="s">
        <v>144</v>
      </c>
      <c r="D31" s="6" t="s">
        <v>145</v>
      </c>
      <c r="E31" s="6" t="s">
        <v>89</v>
      </c>
      <c r="F31" s="6" t="s">
        <v>146</v>
      </c>
      <c r="G31" s="6" t="s">
        <v>39</v>
      </c>
      <c r="H31" s="6" t="s">
        <v>45</v>
      </c>
      <c r="I31" s="6" t="s">
        <v>147</v>
      </c>
      <c r="J31" s="6" t="s">
        <v>148</v>
      </c>
      <c r="K31" s="6" t="s">
        <v>149</v>
      </c>
    </row>
    <row r="32" customFormat="false" ht="43.25" hidden="false" customHeight="false" outlineLevel="0" collapsed="false">
      <c r="A32" s="17" t="s">
        <v>73</v>
      </c>
      <c r="B32" s="17" t="n">
        <v>329774</v>
      </c>
      <c r="C32" s="17" t="n">
        <v>530823</v>
      </c>
      <c r="D32" s="17" t="s">
        <v>150</v>
      </c>
      <c r="E32" s="18" t="s">
        <v>151</v>
      </c>
      <c r="F32" s="17" t="s">
        <v>74</v>
      </c>
      <c r="G32" s="17" t="s">
        <v>152</v>
      </c>
      <c r="H32" s="20" t="n">
        <v>46106</v>
      </c>
      <c r="I32" s="19" t="n">
        <v>2542840.08</v>
      </c>
      <c r="J32" s="17" t="s">
        <v>58</v>
      </c>
      <c r="K32" s="17" t="s">
        <v>59</v>
      </c>
    </row>
    <row r="33" customFormat="false" ht="22.35" hidden="false" customHeight="false" outlineLevel="0" collapsed="false">
      <c r="A33" s="22" t="s">
        <v>67</v>
      </c>
      <c r="B33" s="22" t="n">
        <v>331452</v>
      </c>
      <c r="C33" s="22" t="n">
        <v>657660</v>
      </c>
      <c r="D33" s="22" t="s">
        <v>153</v>
      </c>
      <c r="E33" s="23" t="s">
        <v>154</v>
      </c>
      <c r="F33" s="22" t="s">
        <v>68</v>
      </c>
      <c r="G33" s="22" t="s">
        <v>155</v>
      </c>
      <c r="H33" s="25" t="n">
        <v>46220</v>
      </c>
      <c r="I33" s="24" t="n">
        <v>2100000</v>
      </c>
      <c r="J33" s="22" t="s">
        <v>69</v>
      </c>
      <c r="K33" s="22" t="s">
        <v>54</v>
      </c>
    </row>
    <row r="34" customFormat="false" ht="22.35" hidden="false" customHeight="false" outlineLevel="0" collapsed="false">
      <c r="A34" s="17" t="s">
        <v>79</v>
      </c>
      <c r="B34" s="17" t="n">
        <v>337037</v>
      </c>
      <c r="C34" s="17" t="n">
        <v>653063</v>
      </c>
      <c r="D34" s="17" t="s">
        <v>156</v>
      </c>
      <c r="E34" s="18" t="s">
        <v>157</v>
      </c>
      <c r="F34" s="17" t="s">
        <v>80</v>
      </c>
      <c r="G34" s="17" t="s">
        <v>158</v>
      </c>
      <c r="H34" s="20" t="n">
        <v>46063</v>
      </c>
      <c r="I34" s="19" t="n">
        <v>22300</v>
      </c>
      <c r="J34" s="17" t="s">
        <v>58</v>
      </c>
      <c r="K34" s="17" t="s">
        <v>59</v>
      </c>
    </row>
    <row r="35" customFormat="false" ht="43.25" hidden="false" customHeight="false" outlineLevel="0" collapsed="false">
      <c r="A35" s="22" t="s">
        <v>51</v>
      </c>
      <c r="B35" s="22" t="n">
        <v>342138</v>
      </c>
      <c r="C35" s="22" t="n">
        <v>690671</v>
      </c>
      <c r="D35" s="22" t="s">
        <v>159</v>
      </c>
      <c r="E35" s="23" t="s">
        <v>160</v>
      </c>
      <c r="F35" s="22" t="s">
        <v>52</v>
      </c>
      <c r="G35" s="22" t="s">
        <v>161</v>
      </c>
      <c r="H35" s="25" t="n">
        <v>46203</v>
      </c>
      <c r="I35" s="24" t="n">
        <v>1000000</v>
      </c>
      <c r="J35" s="22" t="s">
        <v>53</v>
      </c>
      <c r="K35" s="22" t="s">
        <v>54</v>
      </c>
    </row>
    <row r="36" customFormat="false" ht="32.8" hidden="false" customHeight="false" outlineLevel="0" collapsed="false">
      <c r="A36" s="17" t="s">
        <v>56</v>
      </c>
      <c r="B36" s="17" t="n">
        <v>348927</v>
      </c>
      <c r="C36" s="17" t="n">
        <v>613315</v>
      </c>
      <c r="D36" s="17" t="s">
        <v>162</v>
      </c>
      <c r="E36" s="18" t="s">
        <v>163</v>
      </c>
      <c r="F36" s="17" t="s">
        <v>57</v>
      </c>
      <c r="G36" s="17" t="s">
        <v>164</v>
      </c>
      <c r="H36" s="20" t="n">
        <v>46203</v>
      </c>
      <c r="I36" s="19" t="n">
        <v>11251262.4</v>
      </c>
      <c r="J36" s="17" t="s">
        <v>58</v>
      </c>
      <c r="K36" s="17" t="s">
        <v>59</v>
      </c>
    </row>
    <row r="37" customFormat="false" ht="15" hidden="false" customHeight="false" outlineLevel="0" collapsed="false">
      <c r="A37" s="22" t="s">
        <v>63</v>
      </c>
      <c r="B37" s="22" t="n">
        <v>351919</v>
      </c>
      <c r="C37" s="22" t="n">
        <v>607558</v>
      </c>
      <c r="D37" s="22" t="s">
        <v>165</v>
      </c>
      <c r="E37" s="23" t="s">
        <v>166</v>
      </c>
      <c r="F37" s="22" t="s">
        <v>64</v>
      </c>
      <c r="G37" s="22" t="s">
        <v>152</v>
      </c>
      <c r="H37" s="25" t="n">
        <v>46229</v>
      </c>
      <c r="I37" s="24" t="n">
        <v>189900</v>
      </c>
      <c r="J37" s="22" t="s">
        <v>58</v>
      </c>
      <c r="K37" s="22" t="s">
        <v>59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2026-08-21T18:49:59Z</dcterms:created>
  <dc:creator>openpyxl</dc:creator>
  <dc:description/>
  <dc:language>en-US</dc:language>
  <cp:lastModifiedBy/>
  <dcterms:modified xsi:type="dcterms:W3CDTF">2026-08-21T18:49:59Z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