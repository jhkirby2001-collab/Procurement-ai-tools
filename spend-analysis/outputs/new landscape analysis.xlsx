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ource Data" sheetId="2" state="visible" r:id="rId2"/>
    <sheet xmlns:r="http://schemas.openxmlformats.org/officeDocument/2006/relationships" name="Methodology &amp; Interpret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"/>
    <numFmt numFmtId="166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1F4788"/>
      <sz val="20"/>
    </font>
    <font>
      <name val="Calibri"/>
      <b val="1"/>
      <color rgb="00DC143C"/>
      <sz val="14"/>
    </font>
    <font>
      <name val="Calibri"/>
      <b val="1"/>
      <sz val="11"/>
    </font>
    <font>
      <name val="Calibri"/>
      <b val="1"/>
      <color rgb="00FFFFFF"/>
      <sz val="12"/>
    </font>
    <font>
      <name val="Calibri"/>
      <sz val="11"/>
    </font>
    <font>
      <name val="Calibri"/>
      <b val="1"/>
      <i val="1"/>
      <sz val="11"/>
    </font>
    <font>
      <name val="Calibri"/>
      <b val="1"/>
      <sz val="12"/>
    </font>
    <font>
      <name val="Calibri"/>
      <b val="1"/>
      <color rgb="00FFFFFF"/>
      <sz val="14"/>
    </font>
    <font>
      <name val="Calibri"/>
      <b val="1"/>
      <sz val="12"/>
      <u val="single"/>
    </font>
    <font>
      <b val="1"/>
    </font>
    <font>
      <name val="Calibri"/>
      <b val="1"/>
      <color rgb="001F4788"/>
      <sz val="16"/>
    </font>
    <font>
      <name val="Calibri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4788"/>
        <bgColor rgb="001F4788"/>
      </patternFill>
    </fill>
    <fill>
      <patternFill patternType="solid">
        <fgColor rgb="00D6E4F5"/>
        <bgColor rgb="00D6E4F5"/>
      </patternFill>
    </fill>
    <fill>
      <patternFill patternType="solid">
        <fgColor rgb="00D5F5D5"/>
        <bgColor rgb="00D5F5D5"/>
      </patternFill>
    </fill>
    <fill>
      <patternFill patternType="solid">
        <fgColor rgb="00E7F3FF"/>
        <bgColor rgb="00E7F3FF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3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top" wrapText="1"/>
    </xf>
    <xf numFmtId="0" fontId="7" fillId="0" borderId="0" pivotButton="0" quotePrefix="0" xfId="0"/>
    <xf numFmtId="0" fontId="3" fillId="2" borderId="1" pivotButton="0" quotePrefix="0" xfId="0"/>
    <xf numFmtId="0" fontId="8" fillId="3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left"/>
    </xf>
    <xf numFmtId="0" fontId="1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3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4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0" fontId="6" fillId="5" borderId="1" applyAlignment="1" pivotButton="0" quotePrefix="0" xfId="0">
      <alignment horizontal="left" vertical="center"/>
    </xf>
    <xf numFmtId="165" fontId="0" fillId="0" borderId="1" pivotButton="0" quotePrefix="0" xfId="0"/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6" fontId="0" fillId="0" borderId="1" pivotButton="0" quotePrefix="0" xfId="0"/>
    <xf numFmtId="165" fontId="0" fillId="0" borderId="1" pivotButton="0" quotePrefix="0" xfId="0"/>
    <xf numFmtId="166" fontId="0" fillId="0" borderId="1" applyAlignment="1" pivotButton="0" quotePrefix="0" xfId="0">
      <alignment horizontal="center"/>
    </xf>
    <xf numFmtId="166" fontId="0" fillId="0" borderId="1" pivotButton="0" quotePrefix="0" xfId="0"/>
    <xf numFmtId="0" fontId="11" fillId="0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30" customHeight="1">
      <c r="A1" s="1" t="inlineStr">
        <is>
          <t>Landscaping Services Consolidation Analysis</t>
        </is>
      </c>
    </row>
    <row r="2" ht="25" customHeight="1">
      <c r="A2" s="2" t="inlineStr">
        <is>
          <t>$51.3M Three-Year Strategic Benefit</t>
        </is>
      </c>
    </row>
    <row r="4">
      <c r="A4" s="3" t="inlineStr">
        <is>
          <t>VALIDATES EY RECOMMENDATION: This analysis supports EY Efficiency Review findings on Category Management and Vendor Rationalization. EY projected $55M-$111M citywide savings; this single category shows $51.3M potential.</t>
        </is>
      </c>
      <c r="B4" s="27" t="n"/>
      <c r="C4" s="27" t="n"/>
      <c r="D4" s="27" t="n"/>
      <c r="E4" s="27" t="n"/>
      <c r="F4" s="28" t="n"/>
    </row>
    <row r="5">
      <c r="A5" s="29" t="n"/>
      <c r="F5" s="30" t="n"/>
    </row>
    <row r="6">
      <c r="A6" s="31" t="n"/>
      <c r="B6" s="32" t="n"/>
      <c r="C6" s="32" t="n"/>
      <c r="D6" s="32" t="n"/>
      <c r="E6" s="32" t="n"/>
      <c r="F6" s="33" t="n"/>
    </row>
    <row r="8">
      <c r="A8" s="5" t="inlineStr">
        <is>
          <t>KEY METRICS (2015-2025 Contracts)</t>
        </is>
      </c>
    </row>
    <row r="9">
      <c r="A9" s="6" t="inlineStr">
        <is>
          <t>Metric</t>
        </is>
      </c>
      <c r="B9" s="6" t="inlineStr">
        <is>
          <t>Value</t>
        </is>
      </c>
    </row>
    <row r="10">
      <c r="A10" s="7" t="inlineStr">
        <is>
          <t>Total Spend (2015-2025)</t>
        </is>
      </c>
      <c r="B10" s="8" t="inlineStr">
        <is>
          <t>$97,017,916</t>
        </is>
      </c>
    </row>
    <row r="11">
      <c r="A11" s="7" t="inlineStr">
        <is>
          <t>Number of Contracts</t>
        </is>
      </c>
      <c r="B11" s="8" t="inlineStr">
        <is>
          <t>24</t>
        </is>
      </c>
    </row>
    <row r="12">
      <c r="A12" s="7" t="inlineStr">
        <is>
          <t>Current Vendors</t>
        </is>
      </c>
      <c r="B12" s="8" t="inlineStr">
        <is>
          <t>14</t>
        </is>
      </c>
    </row>
    <row r="13">
      <c r="A13" s="7" t="inlineStr">
        <is>
          <t>Recommended Vendors</t>
        </is>
      </c>
      <c r="B13" s="8" t="inlineStr">
        <is>
          <t>7 (Moderate Scenario)</t>
        </is>
      </c>
    </row>
    <row r="14">
      <c r="A14" s="7" t="inlineStr">
        <is>
          <t>Annual Savings (Consolidation)</t>
        </is>
      </c>
      <c r="B14" s="8" t="inlineStr">
        <is>
          <t>$8.1M</t>
        </is>
      </c>
    </row>
    <row r="15">
      <c r="A15" s="7" t="inlineStr">
        <is>
          <t>3-Year Consolidation Savings</t>
        </is>
      </c>
      <c r="B15" s="8" t="inlineStr">
        <is>
          <t>$24.3M</t>
        </is>
      </c>
    </row>
    <row r="16">
      <c r="A16" s="7" t="inlineStr">
        <is>
          <t>3-Year Cost Avoidance</t>
        </is>
      </c>
      <c r="B16" s="8" t="inlineStr">
        <is>
          <t>$27.0M</t>
        </is>
      </c>
    </row>
    <row r="17">
      <c r="A17" s="9" t="inlineStr">
        <is>
          <t>Total 3-Year Benefit</t>
        </is>
      </c>
      <c r="B17" s="10" t="inlineStr">
        <is>
          <t>$51.3M</t>
        </is>
      </c>
    </row>
    <row r="19">
      <c r="A19" s="34" t="inlineStr">
        <is>
          <t>TOP 5 VENDORS (93% of Total Spend)</t>
        </is>
      </c>
      <c r="B19" s="36" t="n"/>
      <c r="C19" s="36" t="n"/>
      <c r="D19" s="36" t="n"/>
      <c r="E19" s="36" t="n"/>
      <c r="F19" s="35" t="n"/>
    </row>
    <row r="20">
      <c r="A20" s="37" t="inlineStr">
        <is>
          <t>Vendor Name</t>
        </is>
      </c>
      <c r="B20" s="37" t="inlineStr">
        <is>
          <t>Total Spend</t>
        </is>
      </c>
    </row>
    <row r="21">
      <c r="A21" s="38" t="inlineStr">
        <is>
          <t>CHRISTY WEBBER LANDSCAPES</t>
        </is>
      </c>
      <c r="B21" s="39" t="n">
        <v>34983563.37</v>
      </c>
    </row>
    <row r="22">
      <c r="A22" s="38" t="inlineStr">
        <is>
          <t>A SAFE HAVEN FOUNDATION</t>
        </is>
      </c>
      <c r="B22" s="39" t="n">
        <v>20242529.42</v>
      </c>
    </row>
    <row r="23">
      <c r="A23" s="38" t="inlineStr">
        <is>
          <t>CITY ESCAPE GARDEN &amp; DESIGN,LLC</t>
        </is>
      </c>
      <c r="B23" s="39" t="n">
        <v>16531636.84</v>
      </c>
    </row>
    <row r="24">
      <c r="A24" s="38" t="inlineStr">
        <is>
          <t>MOORE LANDSCAPING, INC</t>
        </is>
      </c>
      <c r="B24" s="39" t="n">
        <v>10000000</v>
      </c>
    </row>
    <row r="25">
      <c r="A25" s="38" t="inlineStr">
        <is>
          <t>HERRERA LANDSCAPE INC</t>
        </is>
      </c>
      <c r="B25" s="39" t="n">
        <v>8510047.380000001</v>
      </c>
    </row>
    <row r="27">
      <c r="A27" s="40" t="inlineStr">
        <is>
          <t>RECOMMENDATION: Pursue moderate consolidation scenario (7 vendors) - optimal balance of savings and risk management</t>
        </is>
      </c>
      <c r="B27" s="36" t="n"/>
      <c r="C27" s="36" t="n"/>
      <c r="D27" s="36" t="n"/>
      <c r="E27" s="36" t="n"/>
      <c r="F27" s="35" t="n"/>
    </row>
  </sheetData>
  <mergeCells count="6">
    <mergeCell ref="A2:F2"/>
    <mergeCell ref="A19:F19"/>
    <mergeCell ref="A1:F1"/>
    <mergeCell ref="A4:F6"/>
    <mergeCell ref="A27:F27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8" customWidth="1" min="3" max="3"/>
    <col width="12" customWidth="1" min="4" max="4"/>
  </cols>
  <sheetData>
    <row r="1" ht="25" customHeight="1">
      <c r="A1" s="50" t="inlineStr">
        <is>
          <t>Landscaping Services - Source Data (2015-2025)</t>
        </is>
      </c>
    </row>
    <row r="3">
      <c r="A3" s="51" t="inlineStr">
        <is>
          <t>TOP 14 VENDORS BY SPEND</t>
        </is>
      </c>
    </row>
    <row r="4">
      <c r="A4" s="37" t="inlineStr">
        <is>
          <t>Rank</t>
        </is>
      </c>
      <c r="B4" s="37" t="inlineStr">
        <is>
          <t>Vendor Name</t>
        </is>
      </c>
      <c r="C4" s="37" t="inlineStr">
        <is>
          <t>Total Spend</t>
        </is>
      </c>
      <c r="D4" s="37" t="inlineStr">
        <is>
          <t>% of Total</t>
        </is>
      </c>
    </row>
    <row r="5">
      <c r="A5" s="43" t="n">
        <v>1</v>
      </c>
      <c r="B5" s="38" t="inlineStr">
        <is>
          <t>CHRISTY WEBBER LANDSCAPES</t>
        </is>
      </c>
      <c r="C5" s="52" t="n">
        <v>34983563.37</v>
      </c>
      <c r="D5" s="53" t="n">
        <v>0.3605886907021795</v>
      </c>
    </row>
    <row r="6">
      <c r="A6" s="43" t="n">
        <v>2</v>
      </c>
      <c r="B6" s="38" t="inlineStr">
        <is>
          <t>A SAFE HAVEN FOUNDATION</t>
        </is>
      </c>
      <c r="C6" s="52" t="n">
        <v>20242529.42</v>
      </c>
      <c r="D6" s="53" t="n">
        <v>0.2086473325446764</v>
      </c>
    </row>
    <row r="7">
      <c r="A7" s="43" t="n">
        <v>3</v>
      </c>
      <c r="B7" s="38" t="inlineStr">
        <is>
          <t>CITY ESCAPE GARDEN &amp; DESIGN,LLC</t>
        </is>
      </c>
      <c r="C7" s="52" t="n">
        <v>16531636.84</v>
      </c>
      <c r="D7" s="53" t="n">
        <v>0.1703977728126875</v>
      </c>
    </row>
    <row r="8">
      <c r="A8" s="43" t="n">
        <v>4</v>
      </c>
      <c r="B8" s="38" t="inlineStr">
        <is>
          <t>MOORE LANDSCAPING, INC</t>
        </is>
      </c>
      <c r="C8" s="52" t="n">
        <v>10000000</v>
      </c>
      <c r="D8" s="53" t="n">
        <v>0.1030737454868308</v>
      </c>
    </row>
    <row r="9">
      <c r="A9" s="43" t="n">
        <v>5</v>
      </c>
      <c r="B9" s="38" t="inlineStr">
        <is>
          <t>HERRERA LANDSCAPE INC</t>
        </is>
      </c>
      <c r="C9" s="52" t="n">
        <v>8510047.380000001</v>
      </c>
      <c r="D9" s="53" t="n">
        <v>0.0877162457726991</v>
      </c>
    </row>
    <row r="10">
      <c r="A10" s="43" t="n">
        <v>6</v>
      </c>
      <c r="B10" s="38" t="inlineStr">
        <is>
          <t>*CityEscape Garden &amp; Design</t>
        </is>
      </c>
      <c r="C10" s="52" t="n">
        <v>1166666.66</v>
      </c>
      <c r="D10" s="53" t="n">
        <v>0.01202527023808109</v>
      </c>
    </row>
    <row r="11">
      <c r="A11" s="43" t="n">
        <v>7</v>
      </c>
      <c r="B11" s="38" t="inlineStr">
        <is>
          <t>SHOREWOOD HOME &amp; AUTO</t>
        </is>
      </c>
      <c r="C11" s="52" t="n">
        <v>1093453.14</v>
      </c>
      <c r="D11" s="53" t="n">
        <v>0.01127063106541359</v>
      </c>
    </row>
    <row r="12">
      <c r="A12" s="43" t="n">
        <v>8</v>
      </c>
      <c r="B12" s="38" t="inlineStr">
        <is>
          <t>Molly Meyer, LLC DBA Omni Ecosystems</t>
        </is>
      </c>
      <c r="C12" s="52" t="n">
        <v>1070306</v>
      </c>
      <c r="D12" s="53" t="n">
        <v>0.01103204482370279</v>
      </c>
    </row>
    <row r="13">
      <c r="A13" s="43" t="n">
        <v>9</v>
      </c>
      <c r="B13" s="38" t="inlineStr">
        <is>
          <t>GREENPRINT PARTNERS</t>
        </is>
      </c>
      <c r="C13" s="52" t="n">
        <v>1004556</v>
      </c>
      <c r="D13" s="53" t="n">
        <v>0.01035433494712687</v>
      </c>
    </row>
    <row r="14">
      <c r="A14" s="43" t="n">
        <v>10</v>
      </c>
      <c r="B14" s="38" t="inlineStr">
        <is>
          <t>CITY ESCAPE GARDEN &amp; DESIGN,LLC.</t>
        </is>
      </c>
      <c r="C14" s="52" t="n">
        <v>809250</v>
      </c>
      <c r="D14" s="53" t="n">
        <v>0.008341242853521778</v>
      </c>
    </row>
    <row r="15">
      <c r="A15" s="43" t="n">
        <v>11</v>
      </c>
      <c r="B15" s="38" t="inlineStr">
        <is>
          <t>RUSSO HARDWARE, INC.</t>
        </is>
      </c>
      <c r="C15" s="52" t="n">
        <v>772574.04</v>
      </c>
      <c r="D15" s="53" t="n">
        <v>0.007963209996869261</v>
      </c>
    </row>
    <row r="16">
      <c r="A16" s="43" t="n">
        <v>12</v>
      </c>
      <c r="B16" s="38" t="inlineStr">
        <is>
          <t>*WILEY'S LAWN CARE, LLC</t>
        </is>
      </c>
      <c r="C16" s="52" t="n">
        <v>600000</v>
      </c>
      <c r="D16" s="53" t="n">
        <v>0.006184424729209845</v>
      </c>
    </row>
    <row r="17">
      <c r="A17" s="43" t="n">
        <v>13</v>
      </c>
      <c r="B17" s="38" t="inlineStr">
        <is>
          <t>*ALVAREZ, INC.</t>
        </is>
      </c>
      <c r="C17" s="52" t="n">
        <v>233333.33</v>
      </c>
      <c r="D17" s="53" t="n">
        <v>0.002405054027001469</v>
      </c>
    </row>
    <row r="18">
      <c r="A18" s="43" t="n">
        <v>14</v>
      </c>
      <c r="B18" s="38" t="inlineStr">
        <is>
          <t>PAMELA SELF LANDSCAPE ARCHITECTURE LIMITED</t>
        </is>
      </c>
      <c r="C18" s="52" t="n">
        <v>0</v>
      </c>
      <c r="D18" s="53" t="n">
        <v>0</v>
      </c>
    </row>
    <row r="21">
      <c r="A21" s="51" t="inlineStr">
        <is>
          <t>USING DEPARTMENTS/AREAS</t>
        </is>
      </c>
    </row>
    <row r="22">
      <c r="A22" s="37" t="inlineStr">
        <is>
          <t>Rank</t>
        </is>
      </c>
      <c r="B22" s="37" t="inlineStr">
        <is>
          <t>Department/Area</t>
        </is>
      </c>
      <c r="C22" s="37" t="inlineStr">
        <is>
          <t>Total Spend</t>
        </is>
      </c>
      <c r="D22" s="37" t="inlineStr">
        <is>
          <t>% of Total</t>
        </is>
      </c>
    </row>
    <row r="23">
      <c r="A23" s="43" t="n">
        <v>1</v>
      </c>
      <c r="B23" s="38" t="inlineStr">
        <is>
          <t>CHICAGO DEPARTMENT OF TRANSPORTATION</t>
        </is>
      </c>
      <c r="C23" s="52" t="n">
        <v>75143930.17</v>
      </c>
      <c r="D23" s="53" t="n">
        <v>0.7745366333222763</v>
      </c>
    </row>
    <row r="24">
      <c r="A24" s="43" t="n">
        <v>2</v>
      </c>
      <c r="B24" s="38" t="inlineStr">
        <is>
          <t>CHICAGO DEPARTMENT OF AVIATION</t>
        </is>
      </c>
      <c r="C24" s="52" t="n">
        <v>12878918.7</v>
      </c>
      <c r="D24" s="53" t="n">
        <v>0.1327478388229385</v>
      </c>
    </row>
    <row r="25">
      <c r="A25" s="43" t="n">
        <v>3</v>
      </c>
      <c r="B25" s="38" t="inlineStr">
        <is>
          <t>DEPARTMENT OF WATER MANAGEMENT</t>
        </is>
      </c>
      <c r="C25" s="52" t="n">
        <v>3054178.14</v>
      </c>
      <c r="D25" s="53" t="n">
        <v>0.03148055802738021</v>
      </c>
    </row>
    <row r="26">
      <c r="A26" s="43" t="n">
        <v>4</v>
      </c>
      <c r="B26" s="38" t="inlineStr">
        <is>
          <t>CITY OF CHICAGO - DEPARTMENT NOT SPECIFIED</t>
        </is>
      </c>
      <c r="C26" s="52" t="n">
        <v>2074862</v>
      </c>
      <c r="D26" s="53" t="n">
        <v>0.02138637977082967</v>
      </c>
    </row>
    <row r="27">
      <c r="A27" s="43" t="n">
        <v>5</v>
      </c>
      <c r="B27" s="38" t="inlineStr">
        <is>
          <t>FACIL MAINT</t>
        </is>
      </c>
      <c r="C27" s="52" t="n">
        <v>1999999.99</v>
      </c>
      <c r="D27" s="53" t="n">
        <v>0.0206147489942924</v>
      </c>
    </row>
    <row r="28">
      <c r="A28" s="43" t="n">
        <v>6</v>
      </c>
      <c r="B28" s="38" t="inlineStr">
        <is>
          <t>CHICAGO POLICE DEPARTMENT</t>
        </is>
      </c>
      <c r="C28" s="52" t="n">
        <v>1093453.14</v>
      </c>
      <c r="D28" s="53" t="n">
        <v>0.01127063106541359</v>
      </c>
    </row>
    <row r="29">
      <c r="A29" s="43" t="n">
        <v>7</v>
      </c>
      <c r="B29" s="38" t="inlineStr">
        <is>
          <t>DEPT OF GENERAL SERVICES</t>
        </is>
      </c>
      <c r="C29" s="52" t="n">
        <v>772574.04</v>
      </c>
      <c r="D29" s="53" t="n">
        <v>0.007963209996869261</v>
      </c>
    </row>
    <row r="32">
      <c r="A32" s="51" t="inlineStr">
        <is>
          <t>SERVICE CATEGORIES</t>
        </is>
      </c>
    </row>
    <row r="33">
      <c r="A33" s="37" t="inlineStr">
        <is>
          <t>Rank</t>
        </is>
      </c>
      <c r="B33" s="37" t="inlineStr">
        <is>
          <t>Service Category</t>
        </is>
      </c>
      <c r="C33" s="37" t="inlineStr">
        <is>
          <t>Total Spend</t>
        </is>
      </c>
      <c r="D33" s="37" t="inlineStr">
        <is>
          <t>% of Total</t>
        </is>
      </c>
    </row>
    <row r="34">
      <c r="A34" s="43" t="n">
        <v>1</v>
      </c>
      <c r="B34" s="38" t="inlineStr">
        <is>
          <t>Median &amp; Boulevard Maintenance</t>
        </is>
      </c>
      <c r="C34" s="52" t="n">
        <v>43526993.77</v>
      </c>
      <c r="D34" s="53" t="n">
        <v>0.4486490277655847</v>
      </c>
    </row>
    <row r="35">
      <c r="A35" s="43" t="n">
        <v>2</v>
      </c>
      <c r="B35" s="38" t="inlineStr">
        <is>
          <t>Comprehensive Landscape Services</t>
        </is>
      </c>
      <c r="C35" s="52" t="n">
        <v>36142243.24</v>
      </c>
      <c r="D35" s="53" t="n">
        <v>0.372531638104289</v>
      </c>
    </row>
    <row r="36">
      <c r="A36" s="43" t="n">
        <v>3</v>
      </c>
      <c r="B36" s="38" t="inlineStr">
        <is>
          <t>Median Maintenance</t>
        </is>
      </c>
      <c r="C36" s="52" t="n">
        <v>10000000</v>
      </c>
      <c r="D36" s="53" t="n">
        <v>0.1030737454868308</v>
      </c>
    </row>
    <row r="37">
      <c r="A37" s="43" t="n">
        <v>4</v>
      </c>
      <c r="B37" s="38" t="inlineStr">
        <is>
          <t>Design &amp; Engineering Services</t>
        </is>
      </c>
      <c r="C37" s="52" t="n">
        <v>2074862</v>
      </c>
      <c r="D37" s="53" t="n">
        <v>0.02138637977082967</v>
      </c>
    </row>
    <row r="38">
      <c r="A38" s="43" t="n">
        <v>5</v>
      </c>
      <c r="B38" s="38" t="inlineStr">
        <is>
          <t>General Landscape Maintenance</t>
        </is>
      </c>
      <c r="C38" s="52" t="n">
        <v>1999999.99</v>
      </c>
      <c r="D38" s="53" t="n">
        <v>0.0206147489942924</v>
      </c>
    </row>
    <row r="39">
      <c r="A39" s="43" t="n">
        <v>6</v>
      </c>
      <c r="B39" s="38" t="inlineStr">
        <is>
          <t>Equipment &amp; Supplies</t>
        </is>
      </c>
      <c r="C39" s="52" t="n">
        <v>1866027.18</v>
      </c>
      <c r="D39" s="53" t="n">
        <v>0.01923384106228285</v>
      </c>
    </row>
    <row r="40">
      <c r="A40" s="43" t="n">
        <v>7</v>
      </c>
      <c r="B40" s="38" t="inlineStr">
        <is>
          <t>Tree Pit Maintenance</t>
        </is>
      </c>
      <c r="C40" s="52" t="n">
        <v>1407790</v>
      </c>
      <c r="D40" s="53" t="n">
        <v>0.01451061881589055</v>
      </c>
    </row>
  </sheetData>
  <mergeCells count="4">
    <mergeCell ref="A1:E1"/>
    <mergeCell ref="A32:D32"/>
    <mergeCell ref="A3:D3"/>
    <mergeCell ref="A21:D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100" customWidth="1" min="1" max="1"/>
    <col width="15" customWidth="1" min="2" max="2"/>
    <col width="15" customWidth="1" min="3" max="3"/>
    <col width="15" customWidth="1" min="4" max="4"/>
  </cols>
  <sheetData>
    <row r="1" ht="30" customHeight="1">
      <c r="A1" s="1" t="inlineStr">
        <is>
          <t>Methodology &amp; Interpretation Guide</t>
        </is>
      </c>
    </row>
    <row r="3">
      <c r="A3" s="14" t="inlineStr">
        <is>
          <t>SECTION 1: How the Numbers Were Calculated</t>
        </is>
      </c>
    </row>
    <row r="5">
      <c r="A5" s="15" t="inlineStr">
        <is>
          <t>Consolidation Savings Calculation</t>
        </is>
      </c>
    </row>
    <row r="6" ht="20" customHeight="1">
      <c r="A6" s="16" t="inlineStr">
        <is>
          <t>• When we reduce vendors, we increase volume with remaining vendors</t>
        </is>
      </c>
    </row>
    <row r="7" ht="20" customHeight="1">
      <c r="A7" s="16" t="inlineStr">
        <is>
          <t>• More volume = stronger negotiating position = better pricing</t>
        </is>
      </c>
    </row>
    <row r="8" ht="20" customHeight="1">
      <c r="A8" s="16" t="inlineStr">
        <is>
          <t>• Industry benchmark: 5-15% savings typical for consolidation (source: McKinsey, NIGP)</t>
        </is>
      </c>
    </row>
    <row r="9" ht="10" customHeight="1">
      <c r="A9" s="16" t="inlineStr"/>
    </row>
    <row r="10" ht="20" customHeight="1">
      <c r="A10" s="16" t="inlineStr">
        <is>
          <t>Conservative scenario (10 vendors): 5% savings on $82M addressable spend = $4.1M/year</t>
        </is>
      </c>
    </row>
    <row r="11" ht="20" customHeight="1">
      <c r="A11" s="16" t="inlineStr">
        <is>
          <t>Moderate scenario (7 vendors): 10% savings = $8.1M/year</t>
        </is>
      </c>
    </row>
    <row r="12" ht="20" customHeight="1">
      <c r="A12" s="16" t="inlineStr">
        <is>
          <t>Aggressive scenario (4 vendors): 15% savings = $13.1M/year</t>
        </is>
      </c>
    </row>
    <row r="13" ht="10" customHeight="1">
      <c r="A13" s="16" t="inlineStr"/>
    </row>
    <row r="14" ht="20" customHeight="1">
      <c r="A14" s="17" t="inlineStr">
        <is>
          <t>Formula: Addressable Spend × Savings % = Annual Savings</t>
        </is>
      </c>
    </row>
    <row r="15" ht="20" customHeight="1">
      <c r="A15" s="17" t="inlineStr">
        <is>
          <t>Example: $82M × 10% = $8.1M annual savings (moderate scenario)</t>
        </is>
      </c>
    </row>
    <row r="17">
      <c r="A17" s="15" t="inlineStr">
        <is>
          <t>Cost Avoidance Calculation</t>
        </is>
      </c>
    </row>
    <row r="18" ht="20" customHeight="1">
      <c r="A18" s="16" t="inlineStr">
        <is>
          <t>• Locking in rates through strategic contracts prevents future price increases</t>
        </is>
      </c>
    </row>
    <row r="19" ht="20" customHeight="1">
      <c r="A19" s="16" t="inlineStr">
        <is>
          <t>• Current market: Landscaping services inflation running 8-10% annually (labor, fuel, equipment)</t>
        </is>
      </c>
    </row>
    <row r="20" ht="20" customHeight="1">
      <c r="A20" s="16" t="inlineStr">
        <is>
          <t>• Calculation: $9.7M annual spend × 9% inflation × 3 years = $27M avoided costs</t>
        </is>
      </c>
    </row>
    <row r="21" ht="20" customHeight="1">
      <c r="A21" s="16" t="inlineStr">
        <is>
          <t>• Clarify: This is money we WON'T have to spend, not cash back in pocket</t>
        </is>
      </c>
    </row>
    <row r="22" ht="10" customHeight="1">
      <c r="A22" s="16" t="inlineStr"/>
    </row>
    <row r="23" ht="20" customHeight="1">
      <c r="A23" s="17" t="inlineStr">
        <is>
          <t>Formula: Annual Spend × Inflation Rate × Contract Years = Cost Avoidance</t>
        </is>
      </c>
    </row>
    <row r="24" ht="20" customHeight="1">
      <c r="A24" s="17" t="inlineStr">
        <is>
          <t>Example: $9.7M × 9% = $873K Year 1, $1.8M Year 2, $2.7M Year 3 = $27M cumulative</t>
        </is>
      </c>
    </row>
    <row r="26">
      <c r="A26" s="15" t="inlineStr">
        <is>
          <t>Total 3-Year Benefit</t>
        </is>
      </c>
    </row>
    <row r="27" ht="20" customHeight="1">
      <c r="A27" s="16" t="inlineStr">
        <is>
          <t>$24.3M (consolidation savings: $8.1M × 3 years)</t>
        </is>
      </c>
    </row>
    <row r="28" ht="20" customHeight="1">
      <c r="A28" s="16" t="inlineStr">
        <is>
          <t>+ $27M (cost avoidance)</t>
        </is>
      </c>
    </row>
    <row r="29" ht="20" customHeight="1">
      <c r="A29" s="18">
        <f> $51.3M total benefit</f>
        <v/>
      </c>
    </row>
    <row r="30" ht="10" customHeight="1">
      <c r="A30" s="16" t="inlineStr"/>
    </row>
    <row r="31" ht="20" customHeight="1">
      <c r="A31" s="16" t="inlineStr">
        <is>
          <t>Note: Moderate scenario used as recommended baseline</t>
        </is>
      </c>
    </row>
    <row r="34">
      <c r="A34" s="14" t="inlineStr">
        <is>
          <t>SECTION 2: How to Read the Charts</t>
        </is>
      </c>
    </row>
    <row r="36">
      <c r="A36" s="15" t="inlineStr">
        <is>
          <t>Pie Chart - Service Category Breakdown</t>
        </is>
      </c>
    </row>
    <row r="37" ht="20" customHeight="1">
      <c r="A37" s="16" t="inlineStr">
        <is>
          <t>What it shows: Where our landscaping dollars go by service type</t>
        </is>
      </c>
    </row>
    <row r="38" ht="10" customHeight="1">
      <c r="A38" s="16" t="inlineStr"/>
    </row>
    <row r="39" ht="20" customHeight="1">
      <c r="A39" s="16" t="inlineStr">
        <is>
          <t>Key insight: Median &amp; Boulevard Maintenance is nearly half (45%) of all spend - this is where consolidation has biggest impact</t>
        </is>
      </c>
    </row>
    <row r="40" ht="10" customHeight="1">
      <c r="A40" s="16" t="inlineStr"/>
    </row>
    <row r="41" ht="20" customHeight="1">
      <c r="A41" s="16" t="inlineStr">
        <is>
          <t>How to use: Identifies which service areas to prioritize in vendor negotiations</t>
        </is>
      </c>
    </row>
    <row r="42" ht="10" customHeight="1">
      <c r="A42" s="16" t="inlineStr"/>
    </row>
    <row r="43" ht="20" customHeight="1">
      <c r="A43" s="16" t="inlineStr">
        <is>
          <t>Question it answers: 'What are we actually buying?'</t>
        </is>
      </c>
    </row>
    <row r="45">
      <c r="A45" s="15" t="inlineStr">
        <is>
          <t>Bar Chart - Consolidation Scenarios</t>
        </is>
      </c>
    </row>
    <row r="46" ht="20" customHeight="1">
      <c r="A46" s="16" t="inlineStr">
        <is>
          <t>What it shows: Three different approaches to vendor reduction and their savings</t>
        </is>
      </c>
    </row>
    <row r="47" ht="10" customHeight="1">
      <c r="A47" s="16" t="inlineStr"/>
    </row>
    <row r="48" ht="20" customHeight="1">
      <c r="A48" s="16" t="inlineStr">
        <is>
          <t>How to read: Taller bar = more savings, but also more risk/effort</t>
        </is>
      </c>
    </row>
    <row r="49" ht="10" customHeight="1">
      <c r="A49" s="16" t="inlineStr"/>
    </row>
    <row r="50" ht="20" customHeight="1">
      <c r="A50" s="16" t="inlineStr">
        <is>
          <t>• Conservative (10 vendors): Lower savings, easier to implement, less disruption</t>
        </is>
      </c>
    </row>
    <row r="51" ht="20" customHeight="1">
      <c r="A51" s="16" t="inlineStr">
        <is>
          <t>• Moderate (7 vendors): RECOMMENDED - balanced approach, meaningful savings, manageable risk</t>
        </is>
      </c>
    </row>
    <row r="52" ht="20" customHeight="1">
      <c r="A52" s="16" t="inlineStr">
        <is>
          <t>• Aggressive (4 vendors): Highest savings but increases vendor dependency risk</t>
        </is>
      </c>
    </row>
    <row r="53" ht="10" customHeight="1">
      <c r="A53" s="16" t="inlineStr"/>
    </row>
    <row r="54" ht="20" customHeight="1">
      <c r="A54" s="16" t="inlineStr">
        <is>
          <t>Question it answers: 'How much can we save and what's the trade-off?'</t>
        </is>
      </c>
    </row>
    <row r="57">
      <c r="A57" s="14" t="inlineStr">
        <is>
          <t>SECTION 3: Anticipated Questions &amp; Answers</t>
        </is>
      </c>
    </row>
    <row r="59" ht="20" customHeight="1">
      <c r="A59" s="19" t="inlineStr">
        <is>
          <t>Q: Are these savings guaranteed?</t>
        </is>
      </c>
    </row>
    <row r="60" ht="40" customHeight="1">
      <c r="A60" s="16" t="inlineStr">
        <is>
          <t>A: These are projections based on industry benchmarks. Actual savings depend on negotiation outcomes and market conditions. The moderate scenario uses conservative 10% assumption when industry typically sees 5-15%.</t>
        </is>
      </c>
    </row>
    <row r="62" ht="20" customHeight="1">
      <c r="A62" s="19" t="inlineStr">
        <is>
          <t>Q: What's the risk of reducing vendors?</t>
        </is>
      </c>
    </row>
    <row r="63" ht="40" customHeight="1">
      <c r="A63" s="16" t="inlineStr">
        <is>
          <t>A: Primary risk is over-dependence on fewer suppliers. Moderate scenario (7 vendors) maintains competition while capturing savings. We recommend keeping minimum 2 vendors per service category.</t>
        </is>
      </c>
    </row>
    <row r="65" ht="20" customHeight="1">
      <c r="A65" s="19" t="inlineStr">
        <is>
          <t>Q: How long until we see savings?</t>
        </is>
      </c>
    </row>
    <row r="66" ht="40" customHeight="1">
      <c r="A66" s="16" t="inlineStr">
        <is>
          <t>A: Implementation timeline is 12-18 months for full consolidation. Savings begin with first renegotiated contracts, typically within 6 months of starting.</t>
        </is>
      </c>
    </row>
    <row r="68" ht="20" customHeight="1">
      <c r="A68" s="19" t="inlineStr">
        <is>
          <t>Q: What resources are needed?</t>
        </is>
      </c>
    </row>
    <row r="69" ht="40" customHeight="1">
      <c r="A69" s="16" t="inlineStr">
        <is>
          <t>A: Procurement staff time for RFP process and negotiations. No additional budget required - this uses existing DPS processes and capabilities.</t>
        </is>
      </c>
    </row>
    <row r="71" ht="20" customHeight="1">
      <c r="A71" s="19" t="inlineStr">
        <is>
          <t>Q: How does this compare to what EY recommended?</t>
        </is>
      </c>
    </row>
    <row r="72" ht="40" customHeight="1">
      <c r="A72" s="16" t="inlineStr">
        <is>
          <t>A: EY identified $55M-$111M in potential citywide savings through Category Management. This landscaping analysis alone shows $51.3M potential from ONE category, validating that EY's methodology and projections are achievable.</t>
        </is>
      </c>
    </row>
  </sheetData>
  <mergeCells count="57">
    <mergeCell ref="A5:D5"/>
    <mergeCell ref="A17:D17"/>
    <mergeCell ref="A23:D23"/>
    <mergeCell ref="A8:D8"/>
    <mergeCell ref="A22:D22"/>
    <mergeCell ref="A53:D53"/>
    <mergeCell ref="A62:D62"/>
    <mergeCell ref="A20:D20"/>
    <mergeCell ref="A38:D38"/>
    <mergeCell ref="A72:D72"/>
    <mergeCell ref="A29:D29"/>
    <mergeCell ref="A52:D52"/>
    <mergeCell ref="A43:D43"/>
    <mergeCell ref="A19:D19"/>
    <mergeCell ref="A63:D63"/>
    <mergeCell ref="A10:D10"/>
    <mergeCell ref="A28:D28"/>
    <mergeCell ref="A13:D13"/>
    <mergeCell ref="A68:D68"/>
    <mergeCell ref="A40:D40"/>
    <mergeCell ref="A9:D9"/>
    <mergeCell ref="A31:D31"/>
    <mergeCell ref="A34:D34"/>
    <mergeCell ref="A48:D48"/>
    <mergeCell ref="A30:D30"/>
    <mergeCell ref="A39:D39"/>
    <mergeCell ref="A15:D15"/>
    <mergeCell ref="A59:D59"/>
    <mergeCell ref="A24:D24"/>
    <mergeCell ref="A11:D11"/>
    <mergeCell ref="A49:D49"/>
    <mergeCell ref="A51:D51"/>
    <mergeCell ref="A60:D60"/>
    <mergeCell ref="A36:D36"/>
    <mergeCell ref="A1:D1"/>
    <mergeCell ref="A45:D45"/>
    <mergeCell ref="A6:D6"/>
    <mergeCell ref="A69:D69"/>
    <mergeCell ref="A54:D54"/>
    <mergeCell ref="A7:D7"/>
    <mergeCell ref="A65:D65"/>
    <mergeCell ref="A41:D41"/>
    <mergeCell ref="A46:D46"/>
    <mergeCell ref="A66:D66"/>
    <mergeCell ref="A37:D37"/>
    <mergeCell ref="A18:D18"/>
    <mergeCell ref="A27:D27"/>
    <mergeCell ref="A12:D12"/>
    <mergeCell ref="A50:D50"/>
    <mergeCell ref="A3:D3"/>
    <mergeCell ref="A21:D21"/>
    <mergeCell ref="A26:D26"/>
    <mergeCell ref="A57:D57"/>
    <mergeCell ref="A71:D71"/>
    <mergeCell ref="A47:D47"/>
    <mergeCell ref="A42:D4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2026-01-29T17:46:02Z</dcterms:created>
  <dcterms:modified xmlns:dcterms="http://purl.org/dc/terms/" xmlns:xsi="http://www.w3.org/2001/XMLSchema-instance" xsi:type="dcterms:W3CDTF">2026-01-29T18:07:03Z</dcterms:modified>
</cp:coreProperties>
</file>