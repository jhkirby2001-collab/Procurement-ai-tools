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solidation Savings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71BC"/>
      <sz val="11"/>
    </font>
    <font>
      <color rgb="00000000"/>
      <sz val="11"/>
    </font>
    <font>
      <b val="1"/>
      <color rgb="00FFFFFF"/>
      <sz val="11"/>
    </font>
    <font>
      <b val="1"/>
      <color rgb="00003366"/>
      <sz val="12"/>
    </font>
    <font>
      <b val="1"/>
      <color rgb="00000000"/>
      <sz val="11"/>
    </font>
    <font>
      <b val="1"/>
      <color rgb="00E31837"/>
      <sz val="11"/>
    </font>
    <font>
      <i val="1"/>
      <color rgb="00666666"/>
      <sz val="9"/>
    </font>
    <font>
      <i val="1"/>
      <color rgb="00333333"/>
      <sz val="10"/>
    </font>
    <font>
      <b val="1"/>
      <color rgb="00000000"/>
      <sz val="12"/>
    </font>
    <font>
      <b val="1"/>
      <color rgb="00003366"/>
      <sz val="14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EAD3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18" customWidth="1" min="4" max="4"/>
    <col width="28" customWidth="1" min="5" max="5"/>
    <col width="24" customWidth="1" min="6" max="6"/>
  </cols>
  <sheetData>
    <row r="1" ht="28" customHeight="1">
      <c r="A1" s="1" t="inlineStr">
        <is>
          <t>CITY OF CHICAGO — DEPARTMENT OF PROCUREMENT SERVICES</t>
        </is>
      </c>
    </row>
    <row r="2" ht="22" customHeight="1">
      <c r="A2" s="2" t="inlineStr">
        <is>
          <t>Prepared by James Kirby III, CSCP, MS-SCM | Senior Buyer &amp; Procurement Research Analyst | Department of Procurement Services</t>
        </is>
      </c>
    </row>
    <row r="3" ht="20" customHeight="1">
      <c r="A3" s="3" t="inlineStr">
        <is>
          <t>Analysis Date: April 06, 2026</t>
        </is>
      </c>
    </row>
    <row r="5">
      <c r="A5" s="4" t="inlineStr">
        <is>
          <t>QUICK WIN CONSOLIDATION SAVINGS MODEL</t>
        </is>
      </c>
    </row>
    <row r="6">
      <c r="A6" s="5" t="inlineStr">
        <is>
          <t>Exhibit B Requisition Data — January 2021 through January 2026</t>
        </is>
      </c>
    </row>
    <row r="8" ht="28" customHeight="1">
      <c r="A8" s="6" t="inlineStr">
        <is>
          <t>SUMMARY METRICS</t>
        </is>
      </c>
    </row>
    <row r="9" ht="30" customHeight="1">
      <c r="A9" s="7" t="inlineStr">
        <is>
          <t>Metric</t>
        </is>
      </c>
      <c r="B9" s="7" t="inlineStr">
        <is>
          <t>Value</t>
        </is>
      </c>
      <c r="C9" s="7" t="inlineStr"/>
      <c r="D9" s="7" t="inlineStr"/>
      <c r="E9" s="7" t="inlineStr"/>
      <c r="F9" s="7" t="inlineStr"/>
    </row>
    <row r="10">
      <c r="A10" s="8" t="inlineStr">
        <is>
          <t>Total Categories Analyzed</t>
        </is>
      </c>
      <c r="B10" s="9" t="n">
        <v>2</v>
      </c>
      <c r="C10" s="10" t="inlineStr"/>
      <c r="D10" s="10" t="inlineStr"/>
      <c r="E10" s="10" t="inlineStr"/>
      <c r="F10" s="10" t="inlineStr"/>
    </row>
    <row r="11">
      <c r="A11" s="8" t="inlineStr">
        <is>
          <t>Total 5-Year Spend</t>
        </is>
      </c>
      <c r="B11" s="11">
        <f>'Consolidation Savings Model'!B67</f>
        <v/>
      </c>
      <c r="C11" s="10" t="inlineStr"/>
      <c r="D11" s="10" t="inlineStr"/>
      <c r="E11" s="10" t="inlineStr"/>
      <c r="F11" s="10" t="inlineStr"/>
    </row>
    <row r="12">
      <c r="A12" s="8" t="inlineStr">
        <is>
          <t>Combined Annual Savings</t>
        </is>
      </c>
      <c r="B12" s="11">
        <f>'Consolidation Savings Model'!B70</f>
        <v/>
      </c>
      <c r="C12" s="10" t="inlineStr"/>
      <c r="D12" s="10" t="inlineStr"/>
      <c r="E12" s="10" t="inlineStr"/>
      <c r="F12" s="10" t="inlineStr"/>
    </row>
    <row r="13">
      <c r="A13" s="8" t="inlineStr">
        <is>
          <t>Combined 3-Year Projected Value</t>
        </is>
      </c>
      <c r="B13" s="12">
        <f>'Consolidation Savings Model'!B71</f>
        <v/>
      </c>
      <c r="C13" s="13" t="inlineStr"/>
      <c r="D13" s="13" t="inlineStr"/>
      <c r="E13" s="13" t="inlineStr"/>
      <c r="F13" s="13" t="inlineStr"/>
    </row>
    <row r="15" ht="28" customHeight="1">
      <c r="A15" s="6" t="inlineStr">
        <is>
          <t>CATEGORY DETAIL</t>
        </is>
      </c>
    </row>
    <row r="16" ht="30" customHeight="1">
      <c r="A16" s="7" t="inlineStr">
        <is>
          <t>Category</t>
        </is>
      </c>
      <c r="B16" s="7" t="inlineStr">
        <is>
          <t>5-Year Total Spend</t>
        </is>
      </c>
      <c r="C16" s="7" t="inlineStr">
        <is>
          <t>Vendor Count</t>
        </is>
      </c>
      <c r="D16" s="7" t="inlineStr">
        <is>
          <t>Department Count</t>
        </is>
      </c>
      <c r="E16" s="7" t="inlineStr">
        <is>
          <t>Solicitation Status</t>
        </is>
      </c>
      <c r="F16" s="7" t="inlineStr">
        <is>
          <t>3-Year Projected Value</t>
        </is>
      </c>
    </row>
    <row r="17">
      <c r="A17" s="14" t="inlineStr">
        <is>
          <t>Fencing &amp; Guardrail</t>
        </is>
      </c>
      <c r="B17" s="11">
        <f>'Consolidation Savings Model'!B26</f>
        <v/>
      </c>
      <c r="C17" s="15" t="n">
        <v>2</v>
      </c>
      <c r="D17" s="15" t="n">
        <v>6</v>
      </c>
      <c r="E17" s="14" t="inlineStr">
        <is>
          <t>Phase A (Req# 596048)</t>
        </is>
      </c>
      <c r="F17" s="11">
        <f>'Consolidation Savings Model'!B30</f>
        <v/>
      </c>
    </row>
    <row r="18">
      <c r="A18" s="14" t="inlineStr">
        <is>
          <t>Janitorial &amp; Cleaning Services</t>
        </is>
      </c>
      <c r="B18" s="11">
        <f>'Consolidation Savings Model'!B55</f>
        <v/>
      </c>
      <c r="C18" s="15" t="n">
        <v>3</v>
      </c>
      <c r="D18" s="15" t="n">
        <v>3</v>
      </c>
      <c r="E18" s="14" t="inlineStr">
        <is>
          <t>Phase A (Req# 624331)</t>
        </is>
      </c>
      <c r="F18" s="11">
        <f>'Consolidation Savings Model'!B59</f>
        <v/>
      </c>
    </row>
    <row r="19">
      <c r="A19" s="16" t="inlineStr">
        <is>
          <t>COMBINED TOTAL</t>
        </is>
      </c>
      <c r="B19" s="17">
        <f>SUM(B17:B18)</f>
        <v/>
      </c>
      <c r="C19" s="16" t="inlineStr"/>
      <c r="D19" s="16" t="inlineStr"/>
      <c r="E19" s="16" t="inlineStr"/>
      <c r="F19" s="17">
        <f>SUM(F17:F18)</f>
        <v/>
      </c>
    </row>
    <row r="21" ht="28" customHeight="1">
      <c r="A21" s="6" t="inlineStr">
        <is>
          <t>RECOMMENDATION</t>
        </is>
      </c>
    </row>
    <row r="22" ht="65" customHeight="1">
      <c r="A22" s="18" t="inlineStr">
        <is>
          <t>Both categories are in Phase A — Spec Development with no solicitation issued and no contract awarded. This represents an ideal window for competitive solicitation. A consolidated RFP for each category would leverage citywide volume to achieve estimated savings of $306,502 over 3 years. Recommend proceeding to Phase B — Solicitation for both categories immediately.</t>
        </is>
      </c>
    </row>
    <row r="24">
      <c r="A24" s="19" t="inlineStr">
        <is>
          <t>Savings Chain: 5-Year Total ÷ 5 = Annual Run Rate × 85% = Addressable Spend × 10% = Annual Savings × 3 = 3-Year Projected Value</t>
        </is>
      </c>
    </row>
  </sheetData>
  <mergeCells count="10">
    <mergeCell ref="A24:F24"/>
    <mergeCell ref="A2:F2"/>
    <mergeCell ref="A1:F1"/>
    <mergeCell ref="A5:F5"/>
    <mergeCell ref="A8:F8"/>
    <mergeCell ref="A6:F6"/>
    <mergeCell ref="A22:F22"/>
    <mergeCell ref="A3:F3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18" customWidth="1" min="4" max="4"/>
    <col width="48" customWidth="1" min="5" max="5"/>
  </cols>
  <sheetData>
    <row r="1" ht="28" customHeight="1">
      <c r="A1" s="1" t="inlineStr">
        <is>
          <t>CITY OF CHICAGO — DEPARTMENT OF PROCUREMENT SERVICES</t>
        </is>
      </c>
    </row>
    <row r="2" ht="22" customHeight="1">
      <c r="A2" s="2" t="inlineStr">
        <is>
          <t>Prepared by James Kirby III, CSCP, MS-SCM | Senior Buyer &amp; Procurement Research Analyst | Department of Procurement Services</t>
        </is>
      </c>
    </row>
    <row r="3" ht="20" customHeight="1">
      <c r="A3" s="3" t="inlineStr">
        <is>
          <t>Analysis Date: April 06, 2026</t>
        </is>
      </c>
    </row>
    <row r="5" ht="30" customHeight="1">
      <c r="A5" s="6" t="inlineStr">
        <is>
          <t>CATEGORY: FENCING &amp; GUARDRAIL</t>
        </is>
      </c>
    </row>
    <row r="7">
      <c r="A7" s="5" t="inlineStr">
        <is>
          <t>Vendor Breakdown</t>
        </is>
      </c>
    </row>
    <row r="8" ht="30" customHeight="1">
      <c r="A8" s="7" t="inlineStr">
        <is>
          <t>Vendor Name</t>
        </is>
      </c>
      <c r="B8" s="7" t="inlineStr">
        <is>
          <t>Total Spend</t>
        </is>
      </c>
      <c r="C8" s="7" t="inlineStr">
        <is>
          <t>Transaction Count</t>
        </is>
      </c>
      <c r="D8" s="7" t="inlineStr">
        <is>
          <t>Department Count</t>
        </is>
      </c>
      <c r="E8" s="7" t="inlineStr">
        <is>
          <t>Notes</t>
        </is>
      </c>
    </row>
    <row r="9">
      <c r="A9" s="14" t="inlineStr">
        <is>
          <t>INDUSTRIAL FENCE INC.</t>
        </is>
      </c>
      <c r="B9" s="11" t="n">
        <v>4801076.09</v>
      </c>
      <c r="C9" s="15" t="n">
        <v>87</v>
      </c>
      <c r="D9" s="15" t="n">
        <v>6</v>
      </c>
      <c r="E9" s="14" t="inlineStr"/>
    </row>
    <row r="10">
      <c r="A10" s="14" t="inlineStr">
        <is>
          <t>FENCE MASTERS, INC</t>
        </is>
      </c>
      <c r="B10" s="11" t="n">
        <v>10955.35</v>
      </c>
      <c r="C10" s="15" t="n">
        <v>2</v>
      </c>
      <c r="D10" s="15" t="n">
        <v>2</v>
      </c>
      <c r="E10" s="14" t="inlineStr"/>
    </row>
    <row r="11">
      <c r="A11" s="16" t="inlineStr">
        <is>
          <t>VENDOR SUBTOTAL</t>
        </is>
      </c>
      <c r="B11" s="17">
        <f>SUM(B9:B10)</f>
        <v/>
      </c>
      <c r="C11" s="20">
        <f>SUM(C9:C10)</f>
        <v/>
      </c>
      <c r="D11" s="16" t="inlineStr"/>
      <c r="E11" s="16" t="inlineStr"/>
    </row>
    <row r="13">
      <c r="A13" s="5" t="inlineStr">
        <is>
          <t>Department Breakdown</t>
        </is>
      </c>
    </row>
    <row r="14" ht="30" customHeight="1">
      <c r="A14" s="7" t="inlineStr">
        <is>
          <t>Department Name</t>
        </is>
      </c>
      <c r="B14" s="7" t="inlineStr">
        <is>
          <t>Total Spend</t>
        </is>
      </c>
      <c r="C14" s="7" t="inlineStr"/>
      <c r="D14" s="7" t="inlineStr"/>
      <c r="E14" s="7" t="inlineStr"/>
    </row>
    <row r="15">
      <c r="A15" s="14" t="inlineStr">
        <is>
          <t>Fire Dept</t>
        </is>
      </c>
      <c r="B15" s="11" t="n">
        <v>1471850.62</v>
      </c>
      <c r="C15" s="14" t="inlineStr"/>
      <c r="D15" s="14" t="inlineStr"/>
      <c r="E15" s="14" t="inlineStr"/>
    </row>
    <row r="16">
      <c r="A16" s="14" t="inlineStr">
        <is>
          <t>Aviation</t>
        </is>
      </c>
      <c r="B16" s="11" t="n">
        <v>1377813.99</v>
      </c>
      <c r="C16" s="14" t="inlineStr"/>
      <c r="D16" s="14" t="inlineStr"/>
      <c r="E16" s="14" t="inlineStr"/>
    </row>
    <row r="17">
      <c r="A17" s="14" t="inlineStr">
        <is>
          <t>Water Mgmt</t>
        </is>
      </c>
      <c r="B17" s="11" t="n">
        <v>1103130.87</v>
      </c>
      <c r="C17" s="14" t="inlineStr"/>
      <c r="D17" s="14" t="inlineStr"/>
      <c r="E17" s="14" t="inlineStr"/>
    </row>
    <row r="18">
      <c r="A18" s="14" t="inlineStr">
        <is>
          <t>Fleet</t>
        </is>
      </c>
      <c r="B18" s="11" t="n">
        <v>479930.55</v>
      </c>
      <c r="C18" s="14" t="inlineStr"/>
      <c r="D18" s="14" t="inlineStr"/>
      <c r="E18" s="14" t="inlineStr"/>
    </row>
    <row r="19">
      <c r="A19" s="14" t="inlineStr">
        <is>
          <t>Transportation</t>
        </is>
      </c>
      <c r="B19" s="11" t="n">
        <v>323180.04</v>
      </c>
      <c r="C19" s="14" t="inlineStr"/>
      <c r="D19" s="14" t="inlineStr"/>
      <c r="E19" s="14" t="inlineStr"/>
    </row>
    <row r="20">
      <c r="A20" s="14" t="inlineStr">
        <is>
          <t>Emergency Mgmt</t>
        </is>
      </c>
      <c r="B20" s="11" t="n">
        <v>56125.37</v>
      </c>
      <c r="C20" s="14" t="inlineStr"/>
      <c r="D20" s="14" t="inlineStr"/>
      <c r="E20" s="14" t="inlineStr"/>
    </row>
    <row r="21">
      <c r="A21" s="16" t="inlineStr">
        <is>
          <t>DEPARTMENT SUBTOTAL</t>
        </is>
      </c>
      <c r="B21" s="17">
        <f>SUM(B15:B20)</f>
        <v/>
      </c>
      <c r="C21" s="16" t="inlineStr"/>
      <c r="D21" s="16" t="inlineStr"/>
      <c r="E21" s="16" t="inlineStr"/>
    </row>
    <row r="23">
      <c r="A23" s="21" t="inlineStr">
        <is>
          <t>CROSS-CHECK: Vendor Total − Department Total</t>
        </is>
      </c>
      <c r="B23" s="22">
        <f>B11-B21</f>
        <v/>
      </c>
      <c r="E23" s="23" t="inlineStr">
        <is>
          <t>Must equal $0.00</t>
        </is>
      </c>
    </row>
    <row r="25">
      <c r="A25" s="5" t="inlineStr">
        <is>
          <t>SAVINGS CHAIN CALCULATION</t>
        </is>
      </c>
    </row>
    <row r="26">
      <c r="A26" s="8" t="inlineStr">
        <is>
          <t>5-Year Total Spend</t>
        </is>
      </c>
      <c r="B26" s="24">
        <f>B11</f>
        <v/>
      </c>
      <c r="E26" s="23" t="inlineStr">
        <is>
          <t>Verified vendor subtotal</t>
        </is>
      </c>
    </row>
    <row r="27">
      <c r="A27" s="14" t="inlineStr">
        <is>
          <t>Annual Run Rate</t>
        </is>
      </c>
      <c r="B27" s="11">
        <f>B26/5</f>
        <v/>
      </c>
      <c r="E27" s="25" t="inlineStr">
        <is>
          <t>5-Year Total ÷ 5</t>
        </is>
      </c>
    </row>
    <row r="28">
      <c r="A28" s="14" t="inlineStr">
        <is>
          <t>Addressable Spend (85%)</t>
        </is>
      </c>
      <c r="B28" s="11">
        <f>B27*0.85</f>
        <v/>
      </c>
      <c r="E28" s="25" t="inlineStr">
        <is>
          <t>Annual × 85% (15% already optimized)</t>
        </is>
      </c>
    </row>
    <row r="29">
      <c r="A29" s="14" t="inlineStr">
        <is>
          <t>Annual Savings (10%)</t>
        </is>
      </c>
      <c r="B29" s="11">
        <f>B28*0.10</f>
        <v/>
      </c>
      <c r="E29" s="25" t="inlineStr">
        <is>
          <t>Addressable × 10% (moderate savings rate)</t>
        </is>
      </c>
    </row>
    <row r="30">
      <c r="A30" s="26" t="inlineStr">
        <is>
          <t>3-Year Projected Value</t>
        </is>
      </c>
      <c r="B30" s="12">
        <f>B29*3</f>
        <v/>
      </c>
      <c r="C30" s="13" t="inlineStr"/>
      <c r="D30" s="13" t="inlineStr"/>
      <c r="E30" s="27" t="inlineStr">
        <is>
          <t>Annual Savings × 3 years</t>
        </is>
      </c>
    </row>
    <row r="32">
      <c r="A32" s="8" t="inlineStr">
        <is>
          <t>Solicitation Status</t>
        </is>
      </c>
      <c r="B32" s="14" t="inlineStr">
        <is>
          <t>Phase A — Spec Development (Req# 596048)</t>
        </is>
      </c>
    </row>
    <row r="33">
      <c r="A33" s="8" t="inlineStr">
        <is>
          <t>Contract Status</t>
        </is>
      </c>
      <c r="B33" s="21" t="inlineStr">
        <is>
          <t>No solicitation issued. No contract awarded.</t>
        </is>
      </c>
    </row>
    <row r="36" ht="30" customHeight="1">
      <c r="A36" s="6" t="inlineStr">
        <is>
          <t>CATEGORY: JANITORIAL &amp; CLEANING SERVICES</t>
        </is>
      </c>
    </row>
    <row r="38">
      <c r="A38" s="5" t="inlineStr">
        <is>
          <t>Vendor Breakdown</t>
        </is>
      </c>
    </row>
    <row r="39" ht="30" customHeight="1">
      <c r="A39" s="7" t="inlineStr">
        <is>
          <t>Vendor Name</t>
        </is>
      </c>
      <c r="B39" s="7" t="inlineStr">
        <is>
          <t>Total Spend</t>
        </is>
      </c>
      <c r="C39" s="7" t="inlineStr">
        <is>
          <t>Transaction Count</t>
        </is>
      </c>
      <c r="D39" s="7" t="inlineStr">
        <is>
          <t>Department Count</t>
        </is>
      </c>
      <c r="E39" s="7" t="inlineStr">
        <is>
          <t>Notes</t>
        </is>
      </c>
    </row>
    <row r="40">
      <c r="A40" s="14" t="inlineStr">
        <is>
          <t>DAYSPRING PROFESSIONAL JANITOR</t>
        </is>
      </c>
      <c r="B40" s="11" t="n">
        <v>1056398.96</v>
      </c>
      <c r="C40" s="15" t="n">
        <v>9</v>
      </c>
      <c r="D40" s="15" t="n">
        <v>2</v>
      </c>
      <c r="E40" s="14" t="inlineStr"/>
    </row>
    <row r="41">
      <c r="A41" s="14" t="inlineStr">
        <is>
          <t>LUSE ENVIRONMENTAL SERVICES, INC.</t>
        </is>
      </c>
      <c r="B41" s="11" t="n">
        <v>139859.5</v>
      </c>
      <c r="C41" s="15" t="n">
        <v>6</v>
      </c>
      <c r="D41" s="15" t="n">
        <v>2</v>
      </c>
      <c r="E41" s="14" t="inlineStr"/>
    </row>
    <row r="42">
      <c r="A42" s="14" t="inlineStr">
        <is>
          <t>SET ENVIRONMENTAL INC</t>
        </is>
      </c>
      <c r="B42" s="11" t="n">
        <v>1547.44</v>
      </c>
      <c r="C42" s="15" t="n">
        <v>2</v>
      </c>
      <c r="D42" s="15" t="n">
        <v>1</v>
      </c>
      <c r="E42" s="14" t="inlineStr"/>
    </row>
    <row r="43">
      <c r="A43" s="16" t="inlineStr">
        <is>
          <t>VENDOR SUBTOTAL</t>
        </is>
      </c>
      <c r="B43" s="17">
        <f>SUM(B40:B42)</f>
        <v/>
      </c>
      <c r="C43" s="20">
        <f>SUM(C40:C42)</f>
        <v/>
      </c>
      <c r="D43" s="16" t="inlineStr"/>
      <c r="E43" s="16" t="inlineStr"/>
    </row>
    <row r="45">
      <c r="A45" s="5" t="inlineStr">
        <is>
          <t>Department Breakdown</t>
        </is>
      </c>
    </row>
    <row r="46" ht="30" customHeight="1">
      <c r="A46" s="7" t="inlineStr">
        <is>
          <t>Department Name</t>
        </is>
      </c>
      <c r="B46" s="7" t="inlineStr">
        <is>
          <t>Total Spend</t>
        </is>
      </c>
      <c r="C46" s="7" t="inlineStr"/>
      <c r="D46" s="7" t="inlineStr"/>
      <c r="E46" s="7" t="inlineStr"/>
    </row>
    <row r="47">
      <c r="A47" s="14" t="inlineStr">
        <is>
          <t>Fleet</t>
        </is>
      </c>
      <c r="B47" s="11" t="n">
        <v>1155352.64</v>
      </c>
      <c r="C47" s="14" t="inlineStr"/>
      <c r="D47" s="14" t="inlineStr"/>
      <c r="E47" s="14" t="inlineStr"/>
    </row>
    <row r="48">
      <c r="A48" s="14" t="inlineStr">
        <is>
          <t>Public Health</t>
        </is>
      </c>
      <c r="B48" s="11" t="n">
        <v>40905.82</v>
      </c>
      <c r="C48" s="14" t="inlineStr"/>
      <c r="D48" s="14" t="inlineStr"/>
      <c r="E48" s="14" t="inlineStr"/>
    </row>
    <row r="49">
      <c r="A49" s="14" t="inlineStr">
        <is>
          <t>Animal Care</t>
        </is>
      </c>
      <c r="B49" s="11" t="n">
        <v>1547.44</v>
      </c>
      <c r="C49" s="14" t="inlineStr"/>
      <c r="D49" s="14" t="inlineStr"/>
      <c r="E49" s="14" t="inlineStr"/>
    </row>
    <row r="50">
      <c r="A50" s="16" t="inlineStr">
        <is>
          <t>DEPARTMENT SUBTOTAL</t>
        </is>
      </c>
      <c r="B50" s="17">
        <f>SUM(B47:B49)</f>
        <v/>
      </c>
      <c r="C50" s="16" t="inlineStr"/>
      <c r="D50" s="16" t="inlineStr"/>
      <c r="E50" s="16" t="inlineStr"/>
    </row>
    <row r="52">
      <c r="A52" s="21" t="inlineStr">
        <is>
          <t>CROSS-CHECK: Vendor Total − Department Total</t>
        </is>
      </c>
      <c r="B52" s="22">
        <f>B43-B50</f>
        <v/>
      </c>
      <c r="E52" s="23" t="inlineStr">
        <is>
          <t>Must equal $0.00</t>
        </is>
      </c>
    </row>
    <row r="54">
      <c r="A54" s="5" t="inlineStr">
        <is>
          <t>SAVINGS CHAIN CALCULATION</t>
        </is>
      </c>
    </row>
    <row r="55">
      <c r="A55" s="8" t="inlineStr">
        <is>
          <t>5-Year Total Spend</t>
        </is>
      </c>
      <c r="B55" s="24">
        <f>B43</f>
        <v/>
      </c>
      <c r="E55" s="23" t="inlineStr">
        <is>
          <t>Verified vendor subtotal</t>
        </is>
      </c>
    </row>
    <row r="56">
      <c r="A56" s="14" t="inlineStr">
        <is>
          <t>Annual Run Rate</t>
        </is>
      </c>
      <c r="B56" s="11">
        <f>B55/5</f>
        <v/>
      </c>
      <c r="E56" s="25" t="inlineStr">
        <is>
          <t>5-Year Total ÷ 5</t>
        </is>
      </c>
    </row>
    <row r="57">
      <c r="A57" s="14" t="inlineStr">
        <is>
          <t>Addressable Spend (85%)</t>
        </is>
      </c>
      <c r="B57" s="11">
        <f>B56*0.85</f>
        <v/>
      </c>
      <c r="E57" s="25" t="inlineStr">
        <is>
          <t>Annual × 85% (15% already optimized)</t>
        </is>
      </c>
    </row>
    <row r="58">
      <c r="A58" s="14" t="inlineStr">
        <is>
          <t>Annual Savings (10%)</t>
        </is>
      </c>
      <c r="B58" s="11">
        <f>B57*0.10</f>
        <v/>
      </c>
      <c r="E58" s="25" t="inlineStr">
        <is>
          <t>Addressable × 10% (moderate savings rate)</t>
        </is>
      </c>
    </row>
    <row r="59">
      <c r="A59" s="26" t="inlineStr">
        <is>
          <t>3-Year Projected Value</t>
        </is>
      </c>
      <c r="B59" s="12">
        <f>B58*3</f>
        <v/>
      </c>
      <c r="C59" s="13" t="inlineStr"/>
      <c r="D59" s="13" t="inlineStr"/>
      <c r="E59" s="27" t="inlineStr">
        <is>
          <t>Annual Savings × 3 years</t>
        </is>
      </c>
    </row>
    <row r="61">
      <c r="A61" s="8" t="inlineStr">
        <is>
          <t>Solicitation Status</t>
        </is>
      </c>
      <c r="B61" s="14" t="inlineStr">
        <is>
          <t>Phase A — Spec Development (Req# 624331)</t>
        </is>
      </c>
    </row>
    <row r="62">
      <c r="A62" s="8" t="inlineStr">
        <is>
          <t>Contract Status</t>
        </is>
      </c>
      <c r="B62" s="21" t="inlineStr">
        <is>
          <t>No solicitation issued. No contract awarded.</t>
        </is>
      </c>
    </row>
    <row r="65" ht="30" customHeight="1">
      <c r="A65" s="6" t="inlineStr">
        <is>
          <t>COMBINED TOTALS</t>
        </is>
      </c>
    </row>
    <row r="66" ht="30" customHeight="1">
      <c r="A66" s="7" t="inlineStr">
        <is>
          <t>Metric</t>
        </is>
      </c>
      <c r="B66" s="7" t="inlineStr">
        <is>
          <t>Value</t>
        </is>
      </c>
      <c r="C66" s="7" t="inlineStr"/>
      <c r="D66" s="7" t="inlineStr"/>
      <c r="E66" s="7" t="inlineStr">
        <is>
          <t>Calculation</t>
        </is>
      </c>
    </row>
    <row r="67">
      <c r="A67" s="8" t="inlineStr">
        <is>
          <t>Total 5-Year Spend</t>
        </is>
      </c>
      <c r="B67" s="24">
        <f>B26+B55</f>
        <v/>
      </c>
      <c r="E67" s="25" t="inlineStr">
        <is>
          <t>Sum of both categories</t>
        </is>
      </c>
    </row>
    <row r="68">
      <c r="A68" s="14" t="inlineStr">
        <is>
          <t>Combined Annual Run Rate</t>
        </is>
      </c>
      <c r="B68" s="11">
        <f>B27+B56</f>
        <v/>
      </c>
      <c r="E68" s="25" t="inlineStr">
        <is>
          <t>Sum of annual run rates</t>
        </is>
      </c>
    </row>
    <row r="69">
      <c r="A69" s="14" t="inlineStr">
        <is>
          <t>Combined Addressable Spend</t>
        </is>
      </c>
      <c r="B69" s="11">
        <f>B28+B57</f>
        <v/>
      </c>
      <c r="E69" s="25" t="inlineStr">
        <is>
          <t>Sum of addressable spend</t>
        </is>
      </c>
    </row>
    <row r="70">
      <c r="A70" s="14" t="inlineStr">
        <is>
          <t>Combined Annual Savings</t>
        </is>
      </c>
      <c r="B70" s="11">
        <f>B29+B58</f>
        <v/>
      </c>
      <c r="E70" s="25" t="inlineStr">
        <is>
          <t>Sum of annual savings</t>
        </is>
      </c>
    </row>
    <row r="71">
      <c r="A71" s="26" t="inlineStr">
        <is>
          <t>Combined 3-Year Projected Value</t>
        </is>
      </c>
      <c r="B71" s="12">
        <f>B30+B59</f>
        <v/>
      </c>
      <c r="C71" s="13" t="inlineStr"/>
      <c r="D71" s="13" t="inlineStr"/>
      <c r="E71" s="27" t="inlineStr">
        <is>
          <t>Sum of 3-year values</t>
        </is>
      </c>
    </row>
    <row r="73">
      <c r="A73" s="28" t="inlineStr">
        <is>
          <t>FORMULA EXPLANATION</t>
        </is>
      </c>
    </row>
    <row r="74">
      <c r="A74" s="19" t="inlineStr">
        <is>
          <t>Savings Chain: 5-Year Total ÷ 5 = Annual Run Rate × 85% = Addressable Spend × 10% = Annual Savings × 3 = 3-Year Projected Value</t>
        </is>
      </c>
    </row>
    <row r="75">
      <c r="A75" s="19" t="inlineStr">
        <is>
          <t>85% addressable = 100% − 15% already optimized (McKinsey/NIGP industry benchmark, 10–20% range, midpoint used)</t>
        </is>
      </c>
    </row>
    <row r="76">
      <c r="A76" s="19" t="inlineStr">
        <is>
          <t>10% = moderate savings rate for vendor consolidation via competitive solicitation (NIGP benchmark range: 5–15%)</t>
        </is>
      </c>
    </row>
    <row r="77">
      <c r="A77" s="19" t="inlineStr">
        <is>
          <t>3-Year projection reflects standard municipal contract term</t>
        </is>
      </c>
    </row>
  </sheetData>
  <mergeCells count="11">
    <mergeCell ref="A77:E77"/>
    <mergeCell ref="A65:E65"/>
    <mergeCell ref="A73:E73"/>
    <mergeCell ref="A2:E2"/>
    <mergeCell ref="A76:E76"/>
    <mergeCell ref="A1:E1"/>
    <mergeCell ref="A5:E5"/>
    <mergeCell ref="A75:E75"/>
    <mergeCell ref="A36:E36"/>
    <mergeCell ref="A74:E7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2026-04-06T16:57:07Z</dcterms:created>
  <dcterms:modified xmlns:dcterms="http://purl.org/dc/terms/" xmlns:xsi="http://www.w3.org/2001/XMLSchema-instance" xsi:type="dcterms:W3CDTF">2026-04-06T16:57:07Z</dcterms:modified>
</cp:coreProperties>
</file>