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harts" sheetId="2" state="visible" r:id="rId2"/>
    <sheet xmlns:r="http://schemas.openxmlformats.org/officeDocument/2006/relationships" name="Pareto Analysis" sheetId="3" state="visible" r:id="rId3"/>
    <sheet xmlns:r="http://schemas.openxmlformats.org/officeDocument/2006/relationships" name="Other Category Breakdown" sheetId="4" state="visible" r:id="rId4"/>
    <sheet xmlns:r="http://schemas.openxmlformats.org/officeDocument/2006/relationships" name="Landscaping Services Detail" sheetId="5" state="visible" r:id="rId5"/>
    <sheet xmlns:r="http://schemas.openxmlformats.org/officeDocument/2006/relationships" name="Strategic Framework" sheetId="6" state="visible" r:id="rId6"/>
    <sheet xmlns:r="http://schemas.openxmlformats.org/officeDocument/2006/relationships" name="Savings Projections" sheetId="7" state="visible" r:id="rId7"/>
    <sheet xmlns:r="http://schemas.openxmlformats.org/officeDocument/2006/relationships" name="Detailed Calculations" sheetId="8" state="visible" r:id="rId8"/>
    <sheet xmlns:r="http://schemas.openxmlformats.org/officeDocument/2006/relationships" name="Methodology" sheetId="9" state="visible" r:id="rId9"/>
    <sheet xmlns:r="http://schemas.openxmlformats.org/officeDocument/2006/relationships" name="Raw Data - Departments" sheetId="10" state="visible" r:id="rId10"/>
    <sheet xmlns:r="http://schemas.openxmlformats.org/officeDocument/2006/relationships" name="Raw Data - Vendors" sheetId="11" state="visible" r:id="rId11"/>
    <sheet xmlns:r="http://schemas.openxmlformats.org/officeDocument/2006/relationships" name="Raw Data - Categories" sheetId="12" state="visible" r:id="rId12"/>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40">
    <font>
      <name val="Calibri"/>
      <family val="2"/>
      <color theme="1"/>
      <sz val="11"/>
      <scheme val="minor"/>
    </font>
    <font>
      <b val="1"/>
      <color rgb="001F4E78"/>
      <sz val="18"/>
    </font>
    <font>
      <color rgb="001F4E78"/>
      <sz val="14"/>
    </font>
    <font>
      <b val="1"/>
    </font>
    <font>
      <name val="Calibri"/>
      <sz val="11"/>
    </font>
    <font>
      <b val="1"/>
      <color rgb="001F4E78"/>
      <sz val="14"/>
    </font>
    <font>
      <b val="1"/>
      <color rgb="00C00000"/>
      <sz val="12"/>
    </font>
    <font>
      <b val="1"/>
      <color rgb="001F4E78"/>
      <sz val="12"/>
    </font>
    <font>
      <color rgb="00666666"/>
    </font>
    <font>
      <b val="1"/>
      <color rgb="00FFFFFF"/>
    </font>
    <font>
      <color rgb="00666666"/>
      <sz val="11"/>
    </font>
    <font>
      <b val="1"/>
      <color rgb="00C00000"/>
      <sz val="11"/>
    </font>
    <font>
      <color rgb="00C00000"/>
    </font>
    <font>
      <name val="Calibri"/>
      <sz val="9"/>
    </font>
    <font>
      <b val="1"/>
      <sz val="11"/>
    </font>
    <font>
      <name val="Calibri"/>
      <b val="1"/>
      <sz val="11"/>
    </font>
    <font>
      <b val="1"/>
      <color rgb="00C00000"/>
    </font>
    <font>
      <color rgb="00666666"/>
      <sz val="8"/>
    </font>
    <font>
      <b val="1"/>
      <color rgb="001F4E78"/>
      <sz val="11"/>
    </font>
    <font>
      <b val="1"/>
      <color rgb="001F4E78"/>
      <sz val="10"/>
    </font>
    <font>
      <name val="Calibri"/>
      <i val="1"/>
      <color rgb="00666666"/>
      <sz val="9"/>
    </font>
    <font>
      <name val="Calibri"/>
      <color rgb="00666666"/>
      <sz val="9"/>
    </font>
    <font>
      <name val="Calibri"/>
      <b val="1"/>
      <color rgb="001F4E78"/>
      <sz val="14"/>
    </font>
    <font>
      <name val="Calibri"/>
      <color rgb="00666666"/>
      <sz val="11"/>
    </font>
    <font>
      <name val="Calibri"/>
      <b val="1"/>
      <color rgb="00C00000"/>
      <sz val="12"/>
    </font>
    <font>
      <name val="Calibri"/>
      <i val="1"/>
      <color rgb="00666666"/>
      <sz val="10"/>
    </font>
    <font>
      <name val="Calibri"/>
      <b val="1"/>
      <color rgb="00FFFFFF"/>
    </font>
    <font>
      <name val="Calibri"/>
      <color rgb="00000000"/>
      <sz val="10"/>
    </font>
    <font>
      <name val="Calibri"/>
      <b val="1"/>
      <color rgb="00000000"/>
      <sz val="10"/>
    </font>
    <font>
      <name val="Calibri"/>
      <b val="1"/>
      <color rgb="00C00000"/>
      <sz val="10"/>
    </font>
    <font>
      <name val="Calibri"/>
      <b val="1"/>
      <color rgb="001F4E78"/>
      <sz val="10"/>
    </font>
    <font>
      <name val="Calibri"/>
      <b val="1"/>
      <color rgb="001F4E78"/>
      <sz val="11"/>
    </font>
    <font>
      <name val="Calibri"/>
      <b val="1"/>
      <color rgb="00FFFFFF"/>
      <sz val="10"/>
    </font>
    <font>
      <name val="Calibri"/>
      <b val="1"/>
      <i val="1"/>
      <color rgb="00000000"/>
      <sz val="10"/>
    </font>
    <font>
      <name val="Calibri"/>
      <b val="1"/>
      <color rgb="00FFFFFF"/>
      <sz val="12"/>
    </font>
    <font>
      <name val="Calibri"/>
      <b val="1"/>
      <color rgb="00FFEB9C"/>
      <sz val="13"/>
    </font>
    <font>
      <name val="Calibri"/>
      <b val="1"/>
      <color rgb="00FFEB9C"/>
      <sz val="10"/>
    </font>
    <font>
      <name val="Calibri"/>
      <color rgb="001F4E78"/>
      <sz val="10"/>
    </font>
    <font>
      <name val="Calibri"/>
      <color rgb="00666666"/>
      <sz val="10"/>
    </font>
    <font>
      <name val="Calibri"/>
      <color rgb="00666666"/>
      <sz val="8"/>
    </font>
  </fonts>
  <fills count="8">
    <fill>
      <patternFill/>
    </fill>
    <fill>
      <patternFill patternType="gray125"/>
    </fill>
    <fill>
      <patternFill patternType="solid">
        <fgColor rgb="00D9E1F2"/>
      </patternFill>
    </fill>
    <fill>
      <patternFill patternType="solid">
        <fgColor rgb="001F4E78"/>
      </patternFill>
    </fill>
    <fill>
      <patternFill patternType="solid">
        <fgColor rgb="00FFE699"/>
      </patternFill>
    </fill>
    <fill>
      <patternFill patternType="solid">
        <fgColor rgb="00C6EFCE"/>
      </patternFill>
    </fill>
    <fill>
      <patternFill patternType="solid">
        <fgColor rgb="00F2F2F2"/>
      </patternFill>
    </fill>
    <fill>
      <patternFill patternType="solid">
        <fgColor rgb="00FFFFFF"/>
      </patternFill>
    </fill>
  </fills>
  <borders count="2">
    <border>
      <left/>
      <right/>
      <top/>
      <bottom/>
      <diagonal/>
    </border>
    <border>
      <top style="medium">
        <color rgb="001F4E78"/>
      </top>
    </border>
  </borders>
  <cellStyleXfs count="1">
    <xf numFmtId="0" fontId="0" fillId="0" borderId="0"/>
  </cellStyleXfs>
  <cellXfs count="9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164" fontId="4" fillId="0" borderId="0" pivotButton="0" quotePrefix="0" xfId="0"/>
    <xf numFmtId="3" fontId="4" fillId="0" borderId="0" pivotButton="0" quotePrefix="0" xfId="0"/>
    <xf numFmtId="10" fontId="4" fillId="0" borderId="0" pivotButton="0" quotePrefix="0" xfId="0"/>
    <xf numFmtId="0" fontId="6" fillId="0" borderId="0" pivotButton="0" quotePrefix="0" xfId="0"/>
    <xf numFmtId="164" fontId="6" fillId="0" borderId="0" pivotButton="0" quotePrefix="0" xfId="0"/>
    <xf numFmtId="0" fontId="7" fillId="0" borderId="0" pivotButton="0" quotePrefix="0" xfId="0"/>
    <xf numFmtId="0" fontId="8" fillId="0" borderId="0" pivotButton="0" quotePrefix="0" xfId="0"/>
    <xf numFmtId="0" fontId="3" fillId="2" borderId="0" pivotButton="0" quotePrefix="0" xfId="0"/>
    <xf numFmtId="165" fontId="4" fillId="0" borderId="0" pivotButton="0" quotePrefix="0" xfId="0"/>
    <xf numFmtId="0" fontId="9" fillId="3" borderId="0" pivotButton="0" quotePrefix="0" xfId="0"/>
    <xf numFmtId="0" fontId="4" fillId="4" borderId="0" pivotButton="0" quotePrefix="0" xfId="0"/>
    <xf numFmtId="0" fontId="4" fillId="0" borderId="0" applyAlignment="1" pivotButton="0" quotePrefix="0" xfId="0">
      <alignment vertical="top" wrapText="1"/>
    </xf>
    <xf numFmtId="0" fontId="10" fillId="0" borderId="0" pivotButton="0" quotePrefix="0" xfId="0"/>
    <xf numFmtId="164" fontId="11" fillId="0" borderId="0" pivotButton="0" quotePrefix="0" xfId="0"/>
    <xf numFmtId="165" fontId="3" fillId="0" borderId="0" pivotButton="0" quotePrefix="0" xfId="0"/>
    <xf numFmtId="0" fontId="4" fillId="5" borderId="0" pivotButton="0" quotePrefix="0" xfId="0"/>
    <xf numFmtId="0" fontId="12" fillId="0" borderId="0" pivotButton="0" quotePrefix="0" xfId="0"/>
    <xf numFmtId="0" fontId="13" fillId="0" borderId="0" pivotButton="0" quotePrefix="0" xfId="0"/>
    <xf numFmtId="164" fontId="13" fillId="0" borderId="0" pivotButton="0" quotePrefix="0" xfId="0"/>
    <xf numFmtId="0" fontId="4" fillId="0" borderId="0" applyAlignment="1" pivotButton="0" quotePrefix="0" xfId="0">
      <alignment wrapText="1"/>
    </xf>
    <xf numFmtId="0" fontId="14" fillId="0" borderId="0" pivotButton="0" quotePrefix="0" xfId="0"/>
    <xf numFmtId="9" fontId="4" fillId="0" borderId="0" pivotButton="0" quotePrefix="0" xfId="0"/>
    <xf numFmtId="0" fontId="15" fillId="5" borderId="0" pivotButton="0" quotePrefix="0" xfId="0"/>
    <xf numFmtId="9" fontId="15" fillId="5" borderId="0" pivotButton="0" quotePrefix="0" xfId="0"/>
    <xf numFmtId="164" fontId="15" fillId="5" borderId="0" pivotButton="0" quotePrefix="0" xfId="0"/>
    <xf numFmtId="164" fontId="6" fillId="5" borderId="0" pivotButton="0" quotePrefix="0" xfId="0"/>
    <xf numFmtId="0" fontId="16" fillId="0" borderId="0" pivotButton="0" quotePrefix="0" xfId="0"/>
    <xf numFmtId="164" fontId="3" fillId="0" borderId="0" pivotButton="0" quotePrefix="0" xfId="0"/>
    <xf numFmtId="164" fontId="0"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20" fillId="0" borderId="0" applyAlignment="1" pivotButton="0" quotePrefix="0" xfId="0">
      <alignment wrapText="1" indent="1"/>
    </xf>
    <xf numFmtId="0" fontId="21" fillId="0" borderId="0" applyAlignment="1" pivotButton="0" quotePrefix="0" xfId="0">
      <alignment wrapText="1" indent="1"/>
    </xf>
    <xf numFmtId="0" fontId="20" fillId="0" borderId="0" applyAlignment="1" pivotButton="0" quotePrefix="0" xfId="0">
      <alignment wrapText="1"/>
    </xf>
    <xf numFmtId="0" fontId="22" fillId="0" borderId="0" applyAlignment="1" pivotButton="0" quotePrefix="0" xfId="0">
      <alignment horizontal="left" vertical="center"/>
    </xf>
    <xf numFmtId="0" fontId="23" fillId="0" borderId="0" applyAlignment="1" pivotButton="0" quotePrefix="0" xfId="0">
      <alignment horizontal="left" vertical="center"/>
    </xf>
    <xf numFmtId="0" fontId="24" fillId="0" borderId="0" applyAlignment="1" pivotButton="0" quotePrefix="0" xfId="0">
      <alignment horizontal="left" vertical="center"/>
    </xf>
    <xf numFmtId="0" fontId="25" fillId="0" borderId="0" applyAlignment="1" pivotButton="0" quotePrefix="0" xfId="0">
      <alignment horizontal="left" vertical="center"/>
    </xf>
    <xf numFmtId="0" fontId="26" fillId="3" borderId="0" applyAlignment="1" pivotButton="0" quotePrefix="0" xfId="0">
      <alignment horizontal="center" vertical="center"/>
    </xf>
    <xf numFmtId="0" fontId="27" fillId="6" borderId="0" applyAlignment="1" pivotButton="0" quotePrefix="0" xfId="0">
      <alignment horizontal="left" vertical="center"/>
    </xf>
    <xf numFmtId="164" fontId="27" fillId="6" borderId="0" applyAlignment="1" pivotButton="0" quotePrefix="0" xfId="0">
      <alignment horizontal="right" vertical="center"/>
    </xf>
    <xf numFmtId="0" fontId="20" fillId="6" borderId="0" applyAlignment="1" pivotButton="0" quotePrefix="0" xfId="0">
      <alignment horizontal="left" vertical="center"/>
    </xf>
    <xf numFmtId="0" fontId="27" fillId="7" borderId="0" applyAlignment="1" pivotButton="0" quotePrefix="0" xfId="0">
      <alignment horizontal="left" vertical="center"/>
    </xf>
    <xf numFmtId="164" fontId="27" fillId="7" borderId="0" applyAlignment="1" pivotButton="0" quotePrefix="0" xfId="0">
      <alignment horizontal="right" vertical="center"/>
    </xf>
    <xf numFmtId="0" fontId="20" fillId="7" borderId="0" applyAlignment="1" pivotButton="0" quotePrefix="0" xfId="0">
      <alignment horizontal="left" vertical="center"/>
    </xf>
    <xf numFmtId="0" fontId="28" fillId="6" borderId="0" applyAlignment="1" pivotButton="0" quotePrefix="0" xfId="0">
      <alignment horizontal="left" vertical="center"/>
    </xf>
    <xf numFmtId="164" fontId="28" fillId="6" borderId="0" applyAlignment="1" pivotButton="0" quotePrefix="0" xfId="0">
      <alignment horizontal="right" vertical="center"/>
    </xf>
    <xf numFmtId="0" fontId="28" fillId="7" borderId="0" applyAlignment="1" pivotButton="0" quotePrefix="0" xfId="0">
      <alignment horizontal="left" vertical="center"/>
    </xf>
    <xf numFmtId="164" fontId="29" fillId="7" borderId="0" applyAlignment="1" pivotButton="0" quotePrefix="0" xfId="0">
      <alignment horizontal="right" vertical="center"/>
    </xf>
    <xf numFmtId="3" fontId="27" fillId="6" borderId="0" applyAlignment="1" pivotButton="0" quotePrefix="0" xfId="0">
      <alignment horizontal="right" vertical="center"/>
    </xf>
    <xf numFmtId="3" fontId="27" fillId="7" borderId="0" applyAlignment="1" pivotButton="0" quotePrefix="0" xfId="0">
      <alignment horizontal="right" vertical="center"/>
    </xf>
    <xf numFmtId="0" fontId="30" fillId="2" borderId="0" applyAlignment="1" pivotButton="0" quotePrefix="0" xfId="0">
      <alignment horizontal="left" vertical="center"/>
    </xf>
    <xf numFmtId="0" fontId="31" fillId="2" borderId="0" applyAlignment="1" pivotButton="0" quotePrefix="0" xfId="0">
      <alignment horizontal="left" vertical="center"/>
    </xf>
    <xf numFmtId="0" fontId="0" fillId="6" borderId="0" pivotButton="0" quotePrefix="0" xfId="0"/>
    <xf numFmtId="0" fontId="28" fillId="5" borderId="0" applyAlignment="1" pivotButton="0" quotePrefix="0" xfId="0">
      <alignment horizontal="left" vertical="center"/>
    </xf>
    <xf numFmtId="164" fontId="29" fillId="5" borderId="0" applyAlignment="1" pivotButton="0" quotePrefix="0" xfId="0">
      <alignment horizontal="right" vertical="center"/>
    </xf>
    <xf numFmtId="0" fontId="0" fillId="5" borderId="0" pivotButton="0" quotePrefix="0" xfId="0"/>
    <xf numFmtId="0" fontId="25" fillId="0" borderId="0" applyAlignment="1" pivotButton="0" quotePrefix="0" xfId="0">
      <alignment horizontal="left" vertical="center" wrapText="1"/>
    </xf>
    <xf numFmtId="0" fontId="32" fillId="3" borderId="0" applyAlignment="1" pivotButton="0" quotePrefix="0" xfId="0">
      <alignment horizontal="center" vertical="center"/>
    </xf>
    <xf numFmtId="0" fontId="27" fillId="6" borderId="0" applyAlignment="1" pivotButton="0" quotePrefix="0" xfId="0">
      <alignment horizontal="center" vertical="center"/>
    </xf>
    <xf numFmtId="9" fontId="27" fillId="6" borderId="0" applyAlignment="1" pivotButton="0" quotePrefix="0" xfId="0">
      <alignment horizontal="center" vertical="center"/>
    </xf>
    <xf numFmtId="164" fontId="27" fillId="6" borderId="0" applyAlignment="1" pivotButton="0" quotePrefix="0" xfId="0">
      <alignment horizontal="right" vertical="center"/>
    </xf>
    <xf numFmtId="0" fontId="20" fillId="6" borderId="0" applyAlignment="1" pivotButton="0" quotePrefix="0" xfId="0">
      <alignment horizontal="left" vertical="center"/>
    </xf>
    <xf numFmtId="0" fontId="29" fillId="5" borderId="0" applyAlignment="1" pivotButton="0" quotePrefix="0" xfId="0">
      <alignment horizontal="center" vertical="center"/>
    </xf>
    <xf numFmtId="9" fontId="28" fillId="5" borderId="0" applyAlignment="1" pivotButton="0" quotePrefix="0" xfId="0">
      <alignment horizontal="center" vertical="center"/>
    </xf>
    <xf numFmtId="164" fontId="29" fillId="5" borderId="0" applyAlignment="1" pivotButton="0" quotePrefix="0" xfId="0">
      <alignment horizontal="right" vertical="center"/>
    </xf>
    <xf numFmtId="0" fontId="20" fillId="5" borderId="0" applyAlignment="1" pivotButton="0" quotePrefix="0" xfId="0">
      <alignment horizontal="left" vertical="center"/>
    </xf>
    <xf numFmtId="0" fontId="32" fillId="3" borderId="0" applyAlignment="1" pivotButton="0" quotePrefix="0" xfId="0">
      <alignment horizontal="center" vertical="center" wrapText="1"/>
    </xf>
    <xf numFmtId="0" fontId="32" fillId="3" borderId="0" applyAlignment="1" pivotButton="0" quotePrefix="0" xfId="0">
      <alignment horizontal="left" vertical="center" wrapText="1"/>
    </xf>
    <xf numFmtId="0" fontId="27" fillId="7" borderId="0" applyAlignment="1" pivotButton="0" quotePrefix="0" xfId="0">
      <alignment horizontal="center" vertical="center"/>
    </xf>
    <xf numFmtId="164" fontId="27" fillId="7" borderId="0" applyAlignment="1" pivotButton="0" quotePrefix="0" xfId="0">
      <alignment horizontal="right" vertical="center"/>
    </xf>
    <xf numFmtId="0" fontId="20" fillId="7" borderId="0" applyAlignment="1" pivotButton="0" quotePrefix="0" xfId="0">
      <alignment horizontal="left" vertical="center"/>
    </xf>
    <xf numFmtId="0" fontId="28" fillId="5" borderId="0" applyAlignment="1" pivotButton="0" quotePrefix="0" xfId="0">
      <alignment horizontal="center" vertical="center"/>
    </xf>
    <xf numFmtId="0" fontId="33" fillId="5" borderId="0" applyAlignment="1" pivotButton="0" quotePrefix="0" xfId="0">
      <alignment horizontal="left" vertical="center"/>
    </xf>
    <xf numFmtId="0" fontId="27" fillId="6" borderId="0" applyAlignment="1" pivotButton="0" quotePrefix="0" xfId="0">
      <alignment horizontal="right" vertical="center"/>
    </xf>
    <xf numFmtId="0" fontId="27" fillId="7" borderId="0" applyAlignment="1" pivotButton="0" quotePrefix="0" xfId="0">
      <alignment horizontal="right" vertical="center"/>
    </xf>
    <xf numFmtId="0" fontId="29" fillId="7" borderId="0" applyAlignment="1" pivotButton="0" quotePrefix="0" xfId="0">
      <alignment horizontal="right" vertical="center"/>
    </xf>
    <xf numFmtId="0" fontId="29" fillId="6" borderId="0" applyAlignment="1" pivotButton="0" quotePrefix="0" xfId="0">
      <alignment horizontal="right" vertical="center"/>
    </xf>
    <xf numFmtId="0" fontId="0" fillId="3" borderId="1" pivotButton="0" quotePrefix="0" xfId="0"/>
    <xf numFmtId="0" fontId="34" fillId="3" borderId="0" applyAlignment="1" pivotButton="0" quotePrefix="0" xfId="0">
      <alignment horizontal="left" vertical="center"/>
    </xf>
    <xf numFmtId="164" fontId="34" fillId="3" borderId="0" applyAlignment="1" pivotButton="0" quotePrefix="0" xfId="0">
      <alignment horizontal="right" vertical="center"/>
    </xf>
    <xf numFmtId="0" fontId="0" fillId="3" borderId="0" pivotButton="0" quotePrefix="0" xfId="0"/>
    <xf numFmtId="164" fontId="35" fillId="3" borderId="0" applyAlignment="1" pivotButton="0" quotePrefix="0" xfId="0">
      <alignment horizontal="right" vertical="center"/>
    </xf>
    <xf numFmtId="0" fontId="36" fillId="3" borderId="0" applyAlignment="1" pivotButton="0" quotePrefix="0" xfId="0">
      <alignment horizontal="left" vertical="center"/>
    </xf>
    <xf numFmtId="0" fontId="31" fillId="0" borderId="0" applyAlignment="1" pivotButton="0" quotePrefix="0" xfId="0">
      <alignment horizontal="left" vertical="center"/>
    </xf>
    <xf numFmtId="0" fontId="37" fillId="6" borderId="0" applyAlignment="1" pivotButton="0" quotePrefix="0" xfId="0">
      <alignment horizontal="left" vertical="center"/>
    </xf>
    <xf numFmtId="0" fontId="38" fillId="7" borderId="0" applyAlignment="1" pivotButton="0" quotePrefix="0" xfId="0">
      <alignment horizontal="left" vertical="center"/>
    </xf>
    <xf numFmtId="0" fontId="29" fillId="5" borderId="0" applyAlignment="1" pivotButton="0" quotePrefix="0" xfId="0">
      <alignment horizontal="left" vertical="center"/>
    </xf>
    <xf numFmtId="0" fontId="39" fillId="0" borderId="0" applyAlignment="1" pivotButton="0" quotePrefix="0" xfId="0">
      <alignment horizontal="left" vertical="center"/>
    </xf>
    <xf numFmtId="0" fontId="30" fillId="0" borderId="0" applyAlignment="1" pivotButton="0" quotePrefix="0" xfId="0">
      <alignment horizontal="left" vertical="center"/>
    </xf>
    <xf numFmtId="0" fontId="20" fillId="0" borderId="0" applyAlignment="1" pivotButton="0" quotePrefix="0" xfId="0">
      <alignment horizontal="left" vertical="center" wrapText="1" indent="1"/>
    </xf>
    <xf numFmtId="0" fontId="2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showGridLines="0" workbookViewId="0">
      <selection activeCell="A1" sqref="A1"/>
    </sheetView>
  </sheetViews>
  <sheetFormatPr baseColWidth="8" defaultRowHeight="15"/>
  <cols>
    <col width="50" customWidth="1" min="1" max="1"/>
    <col width="30" customWidth="1" min="3" max="3"/>
  </cols>
  <sheetData>
    <row r="1">
      <c r="A1" s="1" t="inlineStr">
        <is>
          <t>Landscaping &amp; Grounds Maintenance: Strategic Sourcing Opportunity</t>
        </is>
      </c>
    </row>
    <row r="2">
      <c r="A2" s="2" t="inlineStr">
        <is>
          <t>5-Year Analysis with Consolidation Recommendations</t>
        </is>
      </c>
    </row>
    <row r="4">
      <c r="A4" s="3" t="inlineStr">
        <is>
          <t>Prepared By:</t>
        </is>
      </c>
    </row>
    <row r="5">
      <c r="A5" s="4" t="inlineStr">
        <is>
          <t>James Kirby III, CSCP, MS-SCM</t>
        </is>
      </c>
    </row>
    <row r="6">
      <c r="A6" s="4" t="inlineStr">
        <is>
          <t>Senior Buyer &amp; Procurement Research Analyst</t>
        </is>
      </c>
    </row>
    <row r="7">
      <c r="A7" s="4" t="inlineStr">
        <is>
          <t>Department of Procurement Services</t>
        </is>
      </c>
    </row>
    <row r="8">
      <c r="A8" s="4" t="inlineStr">
        <is>
          <t>February 2026</t>
        </is>
      </c>
    </row>
    <row r="10">
      <c r="A10" s="5" t="inlineStr">
        <is>
          <t>KEY METRICS</t>
        </is>
      </c>
    </row>
    <row r="12">
      <c r="A12" s="3" t="inlineStr">
        <is>
          <t>Total 5-Year Landscaping Spend:</t>
        </is>
      </c>
      <c r="C12" s="6" t="n">
        <v>8562288.85</v>
      </c>
    </row>
    <row r="13">
      <c r="A13" s="3" t="inlineStr">
        <is>
          <t>Total Transaction Count:</t>
        </is>
      </c>
      <c r="C13" s="7" t="n">
        <v>115</v>
      </c>
    </row>
    <row r="14">
      <c r="A14" s="3" t="inlineStr">
        <is>
          <t>Number of Using Departments:</t>
        </is>
      </c>
      <c r="C14" s="7" t="n">
        <v>4</v>
      </c>
    </row>
    <row r="15">
      <c r="A15" s="3" t="inlineStr">
        <is>
          <t>Number of Unique Vendors:</t>
        </is>
      </c>
      <c r="C15" s="7" t="n">
        <v>7</v>
      </c>
    </row>
    <row r="16">
      <c r="A16" s="3" t="inlineStr">
        <is>
          <t>Average Transaction Size:</t>
        </is>
      </c>
      <c r="C16" s="6" t="n">
        <v>74454.68565217391</v>
      </c>
    </row>
    <row r="17">
      <c r="A17" s="3" t="inlineStr">
        <is>
          <t>% of Total Exhibit B Spend:</t>
        </is>
      </c>
      <c r="C17" s="8" t="n">
        <v>0.02873589591066667</v>
      </c>
    </row>
    <row r="19">
      <c r="A19" s="3" t="inlineStr">
        <is>
          <t>TOP FINDING:</t>
        </is>
      </c>
    </row>
    <row r="20">
      <c r="A20" s="3" t="inlineStr">
        <is>
          <t>Landscaping Spend is 100% Fragmented Across 7 Vendors with No Citywide Contract</t>
        </is>
      </c>
    </row>
    <row r="22">
      <c r="A22" s="9" t="inlineStr">
        <is>
          <t>Total 3-Year Benefit:</t>
        </is>
      </c>
      <c r="C22" s="10" t="n">
        <v>1038700.112625</v>
      </c>
    </row>
    <row r="24">
      <c r="A24" s="5" t="inlineStr">
        <is>
          <t>RECOMMENDED ACTION</t>
        </is>
      </c>
    </row>
    <row r="25">
      <c r="A25" s="4" t="inlineStr">
        <is>
          <t>Pursue strategic sourcing for Landscaping &amp; Grounds Maintenance to:</t>
        </is>
      </c>
    </row>
    <row r="26">
      <c r="B26" s="4" t="inlineStr">
        <is>
          <t>• Consolidate 7 fragmented vendors into 1–3 regional citywide contracts</t>
        </is>
      </c>
    </row>
    <row r="27">
      <c r="B27" s="4" t="inlineStr">
        <is>
          <t>• Capture consolidation savings of 10–15% annually through competitive RFP</t>
        </is>
      </c>
    </row>
    <row r="28">
      <c r="B28" s="4" t="inlineStr">
        <is>
          <t>• Avoid cost escalation by locking in fixed unit pricing over a 3–5 year term</t>
        </is>
      </c>
    </row>
    <row r="29">
      <c r="B29" s="4" t="inlineStr">
        <is>
          <t>• Reduce 115 individual requisitions to blanket task-order contracts</t>
        </is>
      </c>
    </row>
    <row r="30">
      <c r="B30" s="4" t="inlineStr">
        <is>
          <t>• Eliminate compliance exposure from uncontracted vendors</t>
        </is>
      </c>
    </row>
    <row r="32">
      <c r="A32" s="11" t="inlineStr">
        <is>
          <t>STRATEGIC ALIGNMENT</t>
        </is>
      </c>
    </row>
    <row r="33">
      <c r="A33" s="12" t="inlineStr">
        <is>
          <t>Consolidation aligns with City of Chicago CPO Category Management Strategy and Exhibit B reduction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40" customWidth="1" min="1" max="1"/>
    <col width="20" customWidth="1" min="2" max="2"/>
    <col width="15" customWidth="1" min="3" max="3"/>
  </cols>
  <sheetData>
    <row r="1">
      <c r="A1" s="5" t="inlineStr">
        <is>
          <t>PARETO ANALYSIS: Landscaping Services Vendor Spend Distribution</t>
        </is>
      </c>
    </row>
    <row r="3">
      <c r="A3" s="13" t="inlineStr">
        <is>
          <t>Vendor</t>
        </is>
      </c>
      <c r="B3" s="13" t="inlineStr">
        <is>
          <t>Spend</t>
        </is>
      </c>
      <c r="C3" s="13" t="inlineStr">
        <is>
          <t>Cumulative %</t>
        </is>
      </c>
    </row>
    <row r="4">
      <c r="A4" s="4" t="inlineStr">
        <is>
          <t>A SAFE HAVEN FOUNDATION</t>
        </is>
      </c>
      <c r="B4" s="6" t="n">
        <v>2338012.55</v>
      </c>
      <c r="C4" s="14" t="n">
        <v>0.2730592941862736</v>
      </c>
    </row>
    <row r="5">
      <c r="A5" s="4" t="inlineStr">
        <is>
          <t>LIZZETTE MEDINA &amp; COMPANY</t>
        </is>
      </c>
      <c r="B5" s="6" t="n">
        <v>2151043.91</v>
      </c>
      <c r="C5" s="14" t="n">
        <v>0.5242822963161304</v>
      </c>
    </row>
    <row r="6">
      <c r="A6" s="4" t="inlineStr">
        <is>
          <t>MOORE LANDSCAPES LLC</t>
        </is>
      </c>
      <c r="B6" s="6" t="n">
        <v>2040628.41</v>
      </c>
      <c r="C6" s="14" t="n">
        <v>0.7626097395674756</v>
      </c>
    </row>
    <row r="7">
      <c r="A7" s="4" t="inlineStr">
        <is>
          <t>CHRISTY WEBBER LANDSCAPES</t>
        </is>
      </c>
      <c r="B7" s="6" t="n">
        <v>950462.03</v>
      </c>
      <c r="C7" s="14" t="n">
        <v>0.8736153417669389</v>
      </c>
    </row>
    <row r="8">
      <c r="A8" s="4" t="inlineStr">
        <is>
          <t>Yellowstone Landscape, Inc</t>
        </is>
      </c>
      <c r="B8" s="6" t="n">
        <v>876998.2000000001</v>
      </c>
      <c r="C8" s="14" t="n">
        <v>0.976041015014344</v>
      </c>
    </row>
    <row r="9">
      <c r="A9" s="4" t="inlineStr">
        <is>
          <t>PAMELA SELF LANDSCAPE ARCHITECTURE LTD</t>
        </is>
      </c>
      <c r="B9" s="6" t="n">
        <v>124000</v>
      </c>
      <c r="C9" s="14" t="n">
        <v>0.9905231239658541</v>
      </c>
    </row>
    <row r="10">
      <c r="A10" s="4" t="inlineStr">
        <is>
          <t>CITYESCAPE GARDEN &amp; DESIGN,LLC</t>
        </is>
      </c>
      <c r="B10" s="6" t="n">
        <v>81143.75</v>
      </c>
      <c r="C10" s="14" t="n">
        <v>1</v>
      </c>
    </row>
    <row r="12">
      <c r="A12" s="5" t="inlineStr">
        <is>
          <t>DEPARTMENT SPEND BREAKDOWN</t>
        </is>
      </c>
    </row>
    <row r="14">
      <c r="A14" s="13" t="inlineStr">
        <is>
          <t>Department</t>
        </is>
      </c>
      <c r="B14" s="13" t="inlineStr">
        <is>
          <t>Total Spend</t>
        </is>
      </c>
    </row>
    <row r="15">
      <c r="A15" s="4" t="inlineStr">
        <is>
          <t>84-CHICAGO DEPARTMENT OF TRANSPORTATION</t>
        </is>
      </c>
      <c r="B15" s="6" t="n">
        <v>5187712.29</v>
      </c>
    </row>
    <row r="16">
      <c r="A16" s="4" t="inlineStr">
        <is>
          <t>38-DEPARTMENT OF FLEET AND FACILITY MANAGEMENT</t>
        </is>
      </c>
      <c r="B16" s="6" t="n">
        <v>3293432.81</v>
      </c>
    </row>
    <row r="17">
      <c r="A17" s="4" t="inlineStr">
        <is>
          <t>85-CHICAGO DEPARTMENT OF AVIATION</t>
        </is>
      </c>
      <c r="B17" s="6" t="n">
        <v>81143.75</v>
      </c>
    </row>
    <row r="18">
      <c r="A18" s="4" t="inlineStr">
        <is>
          <t>41-CHICAGO DEPARTMENT OF PUBLIC HEALTH</t>
        </is>
      </c>
      <c r="B18" s="6" t="n">
        <v>0</v>
      </c>
    </row>
    <row r="20">
      <c r="A20" s="5" t="inlineStr">
        <is>
          <t>SPEND BY JUSTIFICATION TYPE</t>
        </is>
      </c>
    </row>
    <row r="22">
      <c r="A22" s="13" t="inlineStr">
        <is>
          <t>Justification</t>
        </is>
      </c>
      <c r="B22" s="13" t="inlineStr">
        <is>
          <t>Spend</t>
        </is>
      </c>
    </row>
    <row r="23">
      <c r="A23" s="4" t="inlineStr">
        <is>
          <t>1. Pending New Contract - Original Contract Expired. New Contract in P</t>
        </is>
      </c>
      <c r="B23" s="6" t="n">
        <v>8417544.99</v>
      </c>
    </row>
    <row r="24">
      <c r="A24" s="4" t="inlineStr">
        <is>
          <t xml:space="preserve">2. Pending Amendment/Modification - Line Item Addition / Vendor Limit </t>
        </is>
      </c>
      <c r="B24" s="6" t="n">
        <v>81143.75</v>
      </c>
    </row>
    <row r="25">
      <c r="A25" s="4" t="inlineStr">
        <is>
          <t>4. Invoice Reconciliation - Invoice Received after Contract Expiration</t>
        </is>
      </c>
      <c r="B25" s="6" t="n">
        <v>63600.11</v>
      </c>
    </row>
    <row r="26">
      <c r="A26" s="4" t="inlineStr">
        <is>
          <t>3. One Time Purchase</t>
        </is>
      </c>
      <c r="B26"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8" customWidth="1" min="1" max="1"/>
    <col width="40" customWidth="1" min="2" max="2"/>
    <col width="18" customWidth="1" min="3" max="3"/>
    <col width="12" customWidth="1" min="4" max="4"/>
    <col width="15" customWidth="1" min="5" max="5"/>
    <col width="20" customWidth="1" min="6" max="6"/>
  </cols>
  <sheetData>
    <row r="1">
      <c r="A1" s="5" t="inlineStr">
        <is>
          <t>PARETO ANALYSIS: 80/20 RULE APPLICATION – LANDSCAPING SERVICES</t>
        </is>
      </c>
    </row>
    <row r="3">
      <c r="A3" s="9" t="inlineStr">
        <is>
          <t>1. VENDOR PARETO ANALYSIS</t>
        </is>
      </c>
    </row>
    <row r="5">
      <c r="A5" s="15" t="inlineStr">
        <is>
          <t>Rank</t>
        </is>
      </c>
      <c r="B5" s="15" t="inlineStr">
        <is>
          <t>Vendor Name</t>
        </is>
      </c>
      <c r="C5" s="15" t="inlineStr">
        <is>
          <t>Spend</t>
        </is>
      </c>
      <c r="D5" s="15" t="inlineStr">
        <is>
          <t>% of Total</t>
        </is>
      </c>
      <c r="E5" s="15" t="inlineStr">
        <is>
          <t>Cumulative %</t>
        </is>
      </c>
      <c r="F5" s="15" t="inlineStr">
        <is>
          <t>Above/Below 80% Line</t>
        </is>
      </c>
    </row>
    <row r="6">
      <c r="A6" s="4" t="n">
        <v>1</v>
      </c>
      <c r="B6" s="4" t="inlineStr">
        <is>
          <t>A SAFE HAVEN FOUNDATION</t>
        </is>
      </c>
      <c r="C6" s="6" t="n">
        <v>2338012.55</v>
      </c>
      <c r="D6" s="14" t="n">
        <v>0.2730592941862736</v>
      </c>
      <c r="E6" s="14" t="n">
        <v>0.2730592941862736</v>
      </c>
      <c r="F6" s="16" t="inlineStr">
        <is>
          <t>Above (Priority)</t>
        </is>
      </c>
    </row>
    <row r="7">
      <c r="A7" s="4" t="n">
        <v>2</v>
      </c>
      <c r="B7" s="4" t="inlineStr">
        <is>
          <t>LIZZETTE MEDINA &amp; COMPANY</t>
        </is>
      </c>
      <c r="C7" s="6" t="n">
        <v>2151043.91</v>
      </c>
      <c r="D7" s="14" t="n">
        <v>0.2512230021298569</v>
      </c>
      <c r="E7" s="14" t="n">
        <v>0.5242822963161304</v>
      </c>
      <c r="F7" s="16" t="inlineStr">
        <is>
          <t>Above (Priority)</t>
        </is>
      </c>
    </row>
    <row r="8">
      <c r="A8" s="4" t="n">
        <v>3</v>
      </c>
      <c r="B8" s="4" t="inlineStr">
        <is>
          <t>MOORE LANDSCAPES LLC</t>
        </is>
      </c>
      <c r="C8" s="6" t="n">
        <v>2040628.41</v>
      </c>
      <c r="D8" s="14" t="n">
        <v>0.2383274432513451</v>
      </c>
      <c r="E8" s="14" t="n">
        <v>0.7626097395674756</v>
      </c>
      <c r="F8" s="16" t="inlineStr">
        <is>
          <t>Above (Priority)</t>
        </is>
      </c>
    </row>
    <row r="9">
      <c r="A9" s="4" t="n">
        <v>4</v>
      </c>
      <c r="B9" s="4" t="inlineStr">
        <is>
          <t>CHRISTY WEBBER LANDSCAPES</t>
        </is>
      </c>
      <c r="C9" s="6" t="n">
        <v>950462.03</v>
      </c>
      <c r="D9" s="14" t="n">
        <v>0.1110056021994633</v>
      </c>
      <c r="E9" s="14" t="n">
        <v>0.8736153417669389</v>
      </c>
      <c r="F9" s="4" t="inlineStr">
        <is>
          <t>Below</t>
        </is>
      </c>
    </row>
    <row r="10">
      <c r="A10" s="4" t="n">
        <v>5</v>
      </c>
      <c r="B10" s="4" t="inlineStr">
        <is>
          <t>Yellowstone Landscape, Inc</t>
        </is>
      </c>
      <c r="C10" s="6" t="n">
        <v>876998.2000000001</v>
      </c>
      <c r="D10" s="14" t="n">
        <v>0.1024256732474051</v>
      </c>
      <c r="E10" s="14" t="n">
        <v>0.976041015014344</v>
      </c>
      <c r="F10" s="4" t="inlineStr">
        <is>
          <t>Below</t>
        </is>
      </c>
    </row>
    <row r="11">
      <c r="A11" s="4" t="n">
        <v>6</v>
      </c>
      <c r="B11" s="4" t="inlineStr">
        <is>
          <t>PAMELA SELF LANDSCAPE ARCHITECTURE LTD</t>
        </is>
      </c>
      <c r="C11" s="6" t="n">
        <v>124000</v>
      </c>
      <c r="D11" s="14" t="n">
        <v>0.01448210895151009</v>
      </c>
      <c r="E11" s="14" t="n">
        <v>0.9905231239658541</v>
      </c>
      <c r="F11" s="4" t="inlineStr">
        <is>
          <t>Below</t>
        </is>
      </c>
    </row>
    <row r="12">
      <c r="A12" s="4" t="n">
        <v>7</v>
      </c>
      <c r="B12" s="4" t="inlineStr">
        <is>
          <t>CITYESCAPE GARDEN &amp; DESIGN,LLC</t>
        </is>
      </c>
      <c r="C12" s="6" t="n">
        <v>81143.75</v>
      </c>
      <c r="D12" s="14" t="n">
        <v>0.00947687603414594</v>
      </c>
      <c r="E12" s="14" t="n">
        <v>1</v>
      </c>
      <c r="F12" s="4" t="inlineStr">
        <is>
          <t>Below</t>
        </is>
      </c>
    </row>
    <row r="15" ht="45" customHeight="1"/>
    <row r="16">
      <c r="A16" s="9" t="inlineStr">
        <is>
          <t>2. DEPARTMENT PARETO ANALYSIS</t>
        </is>
      </c>
    </row>
    <row r="17"/>
    <row r="18"/>
    <row r="19">
      <c r="A19" s="15" t="inlineStr">
        <is>
          <t>Rank</t>
        </is>
      </c>
      <c r="B19" s="15" t="inlineStr">
        <is>
          <t>Department</t>
        </is>
      </c>
      <c r="C19" s="15" t="inlineStr">
        <is>
          <t>Spend</t>
        </is>
      </c>
      <c r="D19" s="15" t="inlineStr">
        <is>
          <t>% of Total</t>
        </is>
      </c>
      <c r="E19" s="15" t="inlineStr">
        <is>
          <t>Cumulative %</t>
        </is>
      </c>
      <c r="F19" s="15" t="inlineStr">
        <is>
          <t>Above/Below 80% Line</t>
        </is>
      </c>
    </row>
    <row r="20">
      <c r="A20" s="4" t="n">
        <v>1</v>
      </c>
      <c r="B20" s="4" t="inlineStr">
        <is>
          <t>84-CHICAGO DEPARTMENT OF TRANSPORTATION</t>
        </is>
      </c>
      <c r="C20" s="6" t="n">
        <v>5187712.29</v>
      </c>
      <c r="D20" s="14" t="n">
        <v>0.605879149942483</v>
      </c>
      <c r="E20" s="14" t="n">
        <v>0.605879149942483</v>
      </c>
      <c r="F20" s="16" t="inlineStr">
        <is>
          <t>Above (Priority)</t>
        </is>
      </c>
    </row>
    <row r="21">
      <c r="A21" s="4" t="n">
        <v>2</v>
      </c>
      <c r="B21" s="4" t="inlineStr">
        <is>
          <t>38-DEPARTMENT OF FLEET AND FACILITY MANAGEMENT</t>
        </is>
      </c>
      <c r="C21" s="6" t="n">
        <v>3293432.81</v>
      </c>
      <c r="D21" s="14" t="n">
        <v>0.3846439740233711</v>
      </c>
      <c r="E21" s="14" t="n">
        <v>0.9905231239658542</v>
      </c>
      <c r="F21" s="4" t="inlineStr">
        <is>
          <t>Below</t>
        </is>
      </c>
    </row>
    <row r="22">
      <c r="A22" s="4" t="n">
        <v>3</v>
      </c>
      <c r="B22" s="4" t="inlineStr">
        <is>
          <t>85-CHICAGO DEPARTMENT OF AVIATION</t>
        </is>
      </c>
      <c r="C22" s="6" t="n">
        <v>81143.75</v>
      </c>
      <c r="D22" s="14" t="n">
        <v>0.00947687603414594</v>
      </c>
      <c r="E22" s="14" t="n">
        <v>1</v>
      </c>
      <c r="F22" s="4" t="inlineStr">
        <is>
          <t>Below</t>
        </is>
      </c>
    </row>
    <row r="23">
      <c r="A23" s="4" t="n">
        <v>4</v>
      </c>
      <c r="B23" s="4" t="inlineStr">
        <is>
          <t>41-CHICAGO DEPARTMENT OF PUBLIC HEALTH</t>
        </is>
      </c>
      <c r="C23" s="6" t="n">
        <v>0</v>
      </c>
      <c r="D23" s="14" t="n">
        <v>0</v>
      </c>
      <c r="E23" s="14" t="n">
        <v>1</v>
      </c>
      <c r="F23" s="4" t="inlineStr">
        <is>
          <t>Below</t>
        </is>
      </c>
    </row>
    <row r="26" ht="90" customHeight="1">
      <c r="A26" s="17" t="inlineStr">
        <is>
          <t>PARETO SUMMARY
Top 2 vendors (29% of vendors) account for 52.4% of total landscaping spend.
Top 2 departments (50% of departments) account for 99.1% of total landscaping spend.
All 7 vendors should be evaluated in a unified competitive RFP to achieve volume leverage.</t>
        </is>
      </c>
    </row>
    <row r="27"/>
    <row r="28"/>
    <row r="29"/>
    <row r="30"/>
    <row r="31"/>
  </sheetData>
  <mergeCells count="4">
    <mergeCell ref="A16:F18"/>
    <mergeCell ref="A15:F15"/>
    <mergeCell ref="A1:F1"/>
    <mergeCell ref="A26:F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8" customWidth="1" min="1" max="1"/>
    <col width="40" customWidth="1" min="2" max="2"/>
    <col width="18" customWidth="1" min="3" max="3"/>
    <col width="12" customWidth="1" min="4" max="4"/>
    <col width="12" customWidth="1" min="5" max="5"/>
    <col width="10" customWidth="1" min="6" max="6"/>
    <col width="45" customWidth="1" min="7" max="7"/>
  </cols>
  <sheetData>
    <row r="1">
      <c r="A1" s="5" t="inlineStr">
        <is>
          <t>DETAILED BREAKDOWN: LANDSCAPING &amp; GROUNDS MAINTENANCE CATEGORY</t>
        </is>
      </c>
    </row>
    <row r="2">
      <c r="A2" s="18" t="inlineStr">
        <is>
          <t>Sub-category analysis to identify consolidation opportunities by service type</t>
        </is>
      </c>
    </row>
    <row r="4">
      <c r="A4" s="9" t="inlineStr">
        <is>
          <t>SUMMARY</t>
        </is>
      </c>
    </row>
    <row r="5">
      <c r="A5" s="3" t="inlineStr">
        <is>
          <t>Total Spend in Landscaping &amp; Grounds Maintenance:</t>
        </is>
      </c>
      <c r="C5" s="19" t="n">
        <v>8562288.85</v>
      </c>
    </row>
    <row r="6">
      <c r="A6" s="3" t="inlineStr">
        <is>
          <t>Percentage of Total Exhibit B Spend:</t>
        </is>
      </c>
      <c r="C6" s="20" t="n">
        <v>0.02873589591066667</v>
      </c>
    </row>
    <row r="7">
      <c r="A7" s="4" t="inlineStr">
        <is>
          <t>Number of Transactions:</t>
        </is>
      </c>
      <c r="C7" s="7" t="n">
        <v>115</v>
      </c>
    </row>
    <row r="8">
      <c r="A8" s="4" t="inlineStr">
        <is>
          <t>Number of Unique Vendors:</t>
        </is>
      </c>
      <c r="C8" s="7" t="n">
        <v>7</v>
      </c>
    </row>
    <row r="9">
      <c r="A9" s="4" t="inlineStr">
        <is>
          <t>Number of Departments:</t>
        </is>
      </c>
      <c r="C9" s="7" t="n">
        <v>4</v>
      </c>
    </row>
    <row r="10">
      <c r="A10" s="4" t="inlineStr">
        <is>
          <t>Average Transaction Size:</t>
        </is>
      </c>
      <c r="C10" s="6" t="n">
        <v>74454.68565217391</v>
      </c>
    </row>
    <row r="12">
      <c r="A12" s="11" t="inlineStr">
        <is>
          <t>SUB-CATEGORY BREAKDOWN</t>
        </is>
      </c>
    </row>
    <row r="13">
      <c r="A13" s="18" t="inlineStr">
        <is>
          <t>Landscaping spend grouped by service type to identify separate contract lots</t>
        </is>
      </c>
    </row>
    <row r="15">
      <c r="A15" s="15" t="inlineStr">
        <is>
          <t>Rank</t>
        </is>
      </c>
      <c r="B15" s="15" t="inlineStr">
        <is>
          <t>Sub-Category</t>
        </is>
      </c>
      <c r="C15" s="15" t="inlineStr">
        <is>
          <t>Total Spend</t>
        </is>
      </c>
      <c r="D15" s="15" t="inlineStr">
        <is>
          <t>% of Landscaping</t>
        </is>
      </c>
      <c r="E15" s="15" t="inlineStr">
        <is>
          <t>Transactions</t>
        </is>
      </c>
      <c r="F15" s="15" t="inlineStr">
        <is>
          <t>Avg Transaction</t>
        </is>
      </c>
      <c r="G15" s="15" t="inlineStr">
        <is>
          <t>Vendors</t>
        </is>
      </c>
    </row>
    <row r="16">
      <c r="A16" s="4" t="n">
        <v>1</v>
      </c>
      <c r="B16" s="4" t="inlineStr">
        <is>
          <t>Comprehensive Landscape Maintenance (Regional)</t>
        </is>
      </c>
      <c r="C16" s="6" t="n">
        <v>5340616.49</v>
      </c>
      <c r="D16" s="14" t="n">
        <v>0.6237370151323498</v>
      </c>
      <c r="E16" s="4" t="n">
        <v>82</v>
      </c>
      <c r="F16" s="6" t="n">
        <v>65129.4693902439</v>
      </c>
      <c r="G16" s="4" t="n">
        <v>6</v>
      </c>
    </row>
    <row r="17">
      <c r="A17" s="4" t="n">
        <v>2</v>
      </c>
      <c r="B17" s="4" t="inlineStr">
        <is>
          <t>Lawn &amp; Grounds Maintenance</t>
        </is>
      </c>
      <c r="C17" s="6" t="n">
        <v>0</v>
      </c>
      <c r="D17" s="14" t="n">
        <v>0</v>
      </c>
      <c r="E17" s="4" t="n">
        <v>0</v>
      </c>
      <c r="F17" s="6" t="n">
        <v>0</v>
      </c>
      <c r="G17" s="4" t="n">
        <v>0</v>
      </c>
    </row>
    <row r="18">
      <c r="A18" s="4" t="n">
        <v>3</v>
      </c>
      <c r="B18" s="4" t="inlineStr">
        <is>
          <t>Irrigation System Services</t>
        </is>
      </c>
      <c r="C18" s="6" t="n">
        <v>81143.75</v>
      </c>
      <c r="D18" s="14" t="n">
        <v>0.00947687603414594</v>
      </c>
      <c r="E18" s="4" t="n">
        <v>2</v>
      </c>
      <c r="F18" s="6" t="n">
        <v>40571.875</v>
      </c>
      <c r="G18" s="4" t="n">
        <v>1</v>
      </c>
    </row>
    <row r="19">
      <c r="A19" s="4" t="n">
        <v>4</v>
      </c>
      <c r="B19" s="4" t="inlineStr">
        <is>
          <t>Landscape Architecture / Design</t>
        </is>
      </c>
      <c r="C19" s="6" t="n">
        <v>205143.75</v>
      </c>
      <c r="D19" s="14" t="n">
        <v>0.02395898498565603</v>
      </c>
      <c r="E19" s="4" t="n">
        <v>4</v>
      </c>
      <c r="F19" s="6" t="n">
        <v>51285.9375</v>
      </c>
      <c r="G19" s="4" t="n">
        <v>2</v>
      </c>
    </row>
    <row r="20">
      <c r="A20" s="4" t="n">
        <v>5</v>
      </c>
      <c r="B20" s="4" t="inlineStr">
        <is>
          <t>Other Landscaping / Grounds Services</t>
        </is>
      </c>
      <c r="C20" s="6" t="n">
        <v>3091907.47</v>
      </c>
      <c r="D20" s="14" t="n">
        <v>0.3611075874881282</v>
      </c>
      <c r="E20" s="4" t="n">
        <v>30</v>
      </c>
      <c r="F20" s="6" t="n">
        <v>103063.5823333333</v>
      </c>
      <c r="G20" s="4" t="n">
        <v>4</v>
      </c>
    </row>
    <row r="22">
      <c r="A22" s="11" t="inlineStr">
        <is>
          <t>VENDOR-LEVEL DETAIL</t>
        </is>
      </c>
    </row>
    <row r="23">
      <c r="A23" s="15" t="inlineStr">
        <is>
          <t>Rank</t>
        </is>
      </c>
      <c r="B23" s="15" t="inlineStr">
        <is>
          <t>Vendor Name</t>
        </is>
      </c>
      <c r="C23" s="15" t="inlineStr">
        <is>
          <t>Total Spend</t>
        </is>
      </c>
      <c r="D23" s="15" t="inlineStr">
        <is>
          <t>% of Landscaping</t>
        </is>
      </c>
      <c r="E23" s="15" t="inlineStr">
        <is>
          <t>Transactions</t>
        </is>
      </c>
      <c r="F23" s="15" t="inlineStr">
        <is>
          <t>Avg Transaction</t>
        </is>
      </c>
      <c r="G23" s="15" t="inlineStr">
        <is>
          <t>Departments Served</t>
        </is>
      </c>
    </row>
    <row r="24">
      <c r="A24" s="21" t="n">
        <v>1</v>
      </c>
      <c r="B24" s="4" t="inlineStr">
        <is>
          <t>A SAFE HAVEN FOUNDATION</t>
        </is>
      </c>
      <c r="C24" s="6" t="n">
        <v>2338012.55</v>
      </c>
      <c r="D24" s="14" t="n">
        <v>0.2730592941862736</v>
      </c>
      <c r="E24" s="4" t="n">
        <v>32</v>
      </c>
      <c r="F24" s="6" t="n">
        <v>73062.89218749999</v>
      </c>
      <c r="G24" s="4" t="n">
        <v>3</v>
      </c>
    </row>
    <row r="25">
      <c r="A25" s="21" t="n">
        <v>2</v>
      </c>
      <c r="B25" s="4" t="inlineStr">
        <is>
          <t>LIZZETTE MEDINA &amp; COMPANY</t>
        </is>
      </c>
      <c r="C25" s="6" t="n">
        <v>2151043.91</v>
      </c>
      <c r="D25" s="14" t="n">
        <v>0.2512230021298569</v>
      </c>
      <c r="E25" s="4" t="n">
        <v>32</v>
      </c>
      <c r="F25" s="6" t="n">
        <v>67220.1221875</v>
      </c>
      <c r="G25" s="4" t="n">
        <v>2</v>
      </c>
    </row>
    <row r="26">
      <c r="A26" s="21" t="n">
        <v>3</v>
      </c>
      <c r="B26" s="4" t="inlineStr">
        <is>
          <t>MOORE LANDSCAPES LLC</t>
        </is>
      </c>
      <c r="C26" s="6" t="n">
        <v>2040628.41</v>
      </c>
      <c r="D26" s="14" t="n">
        <v>0.2383274432513451</v>
      </c>
      <c r="E26" s="4" t="n">
        <v>17</v>
      </c>
      <c r="F26" s="6" t="n">
        <v>120036.9652941176</v>
      </c>
      <c r="G26" s="4" t="n">
        <v>1</v>
      </c>
    </row>
    <row r="27">
      <c r="A27" s="21" t="n">
        <v>4</v>
      </c>
      <c r="B27" s="4" t="inlineStr">
        <is>
          <t>CHRISTY WEBBER LANDSCAPES</t>
        </is>
      </c>
      <c r="C27" s="6" t="n">
        <v>950462.03</v>
      </c>
      <c r="D27" s="14" t="n">
        <v>0.1110056021994633</v>
      </c>
      <c r="E27" s="4" t="n">
        <v>23</v>
      </c>
      <c r="F27" s="6" t="n">
        <v>41324.43608695652</v>
      </c>
      <c r="G27" s="4" t="n">
        <v>2</v>
      </c>
    </row>
    <row r="28">
      <c r="A28" s="21" t="n">
        <v>5</v>
      </c>
      <c r="B28" s="4" t="inlineStr">
        <is>
          <t>Yellowstone Landscape, Inc</t>
        </is>
      </c>
      <c r="C28" s="6" t="n">
        <v>876998.2000000001</v>
      </c>
      <c r="D28" s="14" t="n">
        <v>0.1024256732474051</v>
      </c>
      <c r="E28" s="4" t="n">
        <v>7</v>
      </c>
      <c r="F28" s="6" t="n">
        <v>125285.4571428572</v>
      </c>
      <c r="G28" s="4" t="n">
        <v>1</v>
      </c>
    </row>
    <row r="29">
      <c r="A29" s="21" t="n">
        <v>6</v>
      </c>
      <c r="B29" s="4" t="inlineStr">
        <is>
          <t>PAMELA SELF LANDSCAPE ARCHITECTURE LTD</t>
        </is>
      </c>
      <c r="C29" s="6" t="n">
        <v>124000</v>
      </c>
      <c r="D29" s="14" t="n">
        <v>0.01448210895151009</v>
      </c>
      <c r="E29" s="4" t="n">
        <v>2</v>
      </c>
      <c r="F29" s="6" t="n">
        <v>62000</v>
      </c>
      <c r="G29" s="4" t="n">
        <v>1</v>
      </c>
    </row>
    <row r="30">
      <c r="A30" s="21" t="n">
        <v>7</v>
      </c>
      <c r="B30" s="4" t="inlineStr">
        <is>
          <t>CITYESCAPE GARDEN &amp; DESIGN,LLC</t>
        </is>
      </c>
      <c r="C30" s="6" t="n">
        <v>81143.75</v>
      </c>
      <c r="D30" s="14" t="n">
        <v>0.00947687603414594</v>
      </c>
      <c r="E30" s="4" t="n">
        <v>2</v>
      </c>
      <c r="F30" s="6" t="n">
        <v>40571.875</v>
      </c>
      <c r="G30" s="4" t="n">
        <v>1</v>
      </c>
    </row>
  </sheetData>
  <mergeCells count="5">
    <mergeCell ref="A13:G13"/>
    <mergeCell ref="A1:G1"/>
    <mergeCell ref="A22:G22"/>
    <mergeCell ref="A12:G12"/>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5"/>
  <sheetViews>
    <sheetView showGridLines="0" workbookViewId="0">
      <selection activeCell="A1" sqref="A1"/>
    </sheetView>
  </sheetViews>
  <sheetFormatPr baseColWidth="8" defaultRowHeight="15"/>
  <cols>
    <col width="8" customWidth="1" min="1" max="1"/>
    <col width="40" customWidth="1" min="2" max="2"/>
    <col width="18" customWidth="1" min="3" max="3"/>
    <col width="12" customWidth="1" min="4" max="4"/>
    <col width="12" customWidth="1" min="5" max="5"/>
    <col width="10" customWidth="1" min="6" max="6"/>
    <col width="35" customWidth="1" min="7" max="7"/>
    <col width="60" customWidth="1" min="8" max="8"/>
  </cols>
  <sheetData>
    <row r="1">
      <c r="A1" s="5" t="inlineStr">
        <is>
          <t>LANDSCAPING &amp; GROUNDS MAINTENANCE SERVICES – DETAILED VERIFICATION</t>
        </is>
      </c>
    </row>
    <row r="2">
      <c r="A2" s="18" t="inlineStr">
        <is>
          <t>Verified landscaping/grounds maintenance services only – tree removal and elevator services excluded</t>
        </is>
      </c>
    </row>
    <row r="4">
      <c r="A4" s="9" t="inlineStr">
        <is>
          <t>CATEGORY SUMMARY</t>
        </is>
      </c>
    </row>
    <row r="5">
      <c r="A5" s="3" t="inlineStr">
        <is>
          <t>Total Spend in Landscaping Services:</t>
        </is>
      </c>
      <c r="C5" s="19" t="n">
        <v>8562288.85</v>
      </c>
    </row>
    <row r="6">
      <c r="A6" s="3" t="inlineStr">
        <is>
          <t>Percentage of Total Exhibit B Spend:</t>
        </is>
      </c>
      <c r="C6" s="20" t="n">
        <v>0.02873589591066667</v>
      </c>
    </row>
    <row r="7">
      <c r="A7" s="4" t="inlineStr">
        <is>
          <t>Number of Transactions:</t>
        </is>
      </c>
      <c r="C7" s="7" t="n">
        <v>115</v>
      </c>
    </row>
    <row r="8">
      <c r="A8" s="4" t="inlineStr">
        <is>
          <t>Number of Unique Vendors:</t>
        </is>
      </c>
      <c r="C8" s="7" t="n">
        <v>7</v>
      </c>
    </row>
    <row r="9">
      <c r="A9" s="4" t="inlineStr">
        <is>
          <t>Number of Departments:</t>
        </is>
      </c>
      <c r="C9" s="7" t="n">
        <v>4</v>
      </c>
    </row>
    <row r="10">
      <c r="A10" s="4" t="inlineStr">
        <is>
          <t>Average Transaction Size:</t>
        </is>
      </c>
      <c r="C10" s="6" t="n">
        <v>74454.68565217391</v>
      </c>
    </row>
    <row r="13">
      <c r="A13" s="11" t="inlineStr">
        <is>
          <t>CATEGORIZATION CRITERIA</t>
        </is>
      </c>
    </row>
    <row r="14">
      <c r="A14" t="inlineStr">
        <is>
          <t>Items categorized as landscaping/grounds maintenance from these verified vendors and descriptions:</t>
        </is>
      </c>
    </row>
    <row r="15">
      <c r="A15" s="4" t="inlineStr">
        <is>
          <t>A Safe Haven Foundation, Lizzette Medina &amp; Company, Moore Landscapes LLC, Christy Webber Landscapes, Yellowstone Landscape, Pamela Self Landscape Architecture, Cityescape Garden &amp; Design</t>
        </is>
      </c>
    </row>
    <row r="16">
      <c r="A16" s="22" t="inlineStr">
        <is>
          <t>Tree stump removal, elevator services, graffiti removal, and janitorial services are excluded from this category</t>
        </is>
      </c>
    </row>
    <row r="19">
      <c r="A19" s="11" t="inlineStr">
        <is>
          <t>VENDOR BREAKDOWN</t>
        </is>
      </c>
    </row>
    <row r="20">
      <c r="A20" s="18" t="inlineStr">
        <is>
          <t>Ranked by spend with department distribution</t>
        </is>
      </c>
    </row>
    <row r="21">
      <c r="A21" s="15" t="inlineStr">
        <is>
          <t>Rank</t>
        </is>
      </c>
      <c r="B21" s="15" t="inlineStr">
        <is>
          <t>Vendor Name</t>
        </is>
      </c>
      <c r="C21" s="15" t="inlineStr">
        <is>
          <t>Total Spend</t>
        </is>
      </c>
      <c r="D21" s="15" t="inlineStr">
        <is>
          <t>% of Category</t>
        </is>
      </c>
      <c r="E21" s="15" t="inlineStr">
        <is>
          <t>Transactions</t>
        </is>
      </c>
      <c r="F21" s="15" t="inlineStr">
        <is>
          <t>Avg Transaction</t>
        </is>
      </c>
      <c r="G21" s="15" t="inlineStr">
        <is>
          <t>Departments Served</t>
        </is>
      </c>
      <c r="H21" s="15" t="inlineStr">
        <is>
          <t>Dept Names</t>
        </is>
      </c>
    </row>
    <row r="22">
      <c r="A22" s="4" t="n">
        <v>1</v>
      </c>
      <c r="B22" s="4" t="inlineStr">
        <is>
          <t>A SAFE HAVEN FOUNDATION</t>
        </is>
      </c>
      <c r="C22" s="6" t="n">
        <v>2338012.55</v>
      </c>
      <c r="D22" s="14" t="n">
        <v>0.2730592941862736</v>
      </c>
      <c r="E22" s="4" t="n">
        <v>32</v>
      </c>
      <c r="F22" s="6" t="n">
        <v>73062.89218749999</v>
      </c>
      <c r="G22" s="4" t="n">
        <v>3</v>
      </c>
      <c r="H22" s="4" t="inlineStr">
        <is>
          <t>41-CHICAGO DEPARTMENT OF PUBLIC HEALTH, 84-CHICAGO DEPARTMENT OF TRANSPORTATION, 38-DEPARTMENT OF FLEET AND FACILITY MANAGEMENT</t>
        </is>
      </c>
    </row>
    <row r="23">
      <c r="A23" s="4" t="n">
        <v>2</v>
      </c>
      <c r="B23" s="4" t="inlineStr">
        <is>
          <t>LIZZETTE MEDINA &amp; COMPANY</t>
        </is>
      </c>
      <c r="C23" s="6" t="n">
        <v>2151043.91</v>
      </c>
      <c r="D23" s="14" t="n">
        <v>0.2512230021298569</v>
      </c>
      <c r="E23" s="4" t="n">
        <v>32</v>
      </c>
      <c r="F23" s="6" t="n">
        <v>67220.1221875</v>
      </c>
      <c r="G23" s="4" t="n">
        <v>2</v>
      </c>
      <c r="H23" s="4" t="inlineStr">
        <is>
          <t>84-CHICAGO DEPARTMENT OF TRANSPORTATION, 38-DEPARTMENT OF FLEET AND FACILITY MANAGEMENT</t>
        </is>
      </c>
    </row>
    <row r="24">
      <c r="A24" s="4" t="n">
        <v>3</v>
      </c>
      <c r="B24" s="4" t="inlineStr">
        <is>
          <t>MOORE LANDSCAPES LLC</t>
        </is>
      </c>
      <c r="C24" s="6" t="n">
        <v>2040628.41</v>
      </c>
      <c r="D24" s="14" t="n">
        <v>0.2383274432513451</v>
      </c>
      <c r="E24" s="4" t="n">
        <v>17</v>
      </c>
      <c r="F24" s="6" t="n">
        <v>120036.9652941176</v>
      </c>
      <c r="G24" s="4" t="n">
        <v>1</v>
      </c>
      <c r="H24" s="4" t="inlineStr">
        <is>
          <t>84-CHICAGO DEPARTMENT OF TRANSPORTATION</t>
        </is>
      </c>
    </row>
    <row r="25">
      <c r="A25" s="4" t="n">
        <v>4</v>
      </c>
      <c r="B25" s="4" t="inlineStr">
        <is>
          <t>CHRISTY WEBBER LANDSCAPES</t>
        </is>
      </c>
      <c r="C25" s="6" t="n">
        <v>950462.03</v>
      </c>
      <c r="D25" s="14" t="n">
        <v>0.1110056021994633</v>
      </c>
      <c r="E25" s="4" t="n">
        <v>23</v>
      </c>
      <c r="F25" s="6" t="n">
        <v>41324.43608695652</v>
      </c>
      <c r="G25" s="4" t="n">
        <v>2</v>
      </c>
      <c r="H25" s="4" t="inlineStr">
        <is>
          <t>84-CHICAGO DEPARTMENT OF TRANSPORTATION, 38-DEPARTMENT OF FLEET AND FACILITY MANAGEMENT</t>
        </is>
      </c>
    </row>
    <row r="26">
      <c r="A26" s="4" t="n">
        <v>5</v>
      </c>
      <c r="B26" s="4" t="inlineStr">
        <is>
          <t>Yellowstone Landscape, Inc</t>
        </is>
      </c>
      <c r="C26" s="6" t="n">
        <v>876998.2000000001</v>
      </c>
      <c r="D26" s="14" t="n">
        <v>0.1024256732474051</v>
      </c>
      <c r="E26" s="4" t="n">
        <v>7</v>
      </c>
      <c r="F26" s="6" t="n">
        <v>125285.4571428572</v>
      </c>
      <c r="G26" s="4" t="n">
        <v>1</v>
      </c>
      <c r="H26" s="4" t="inlineStr">
        <is>
          <t>84-CHICAGO DEPARTMENT OF TRANSPORTATION</t>
        </is>
      </c>
    </row>
    <row r="27">
      <c r="A27" s="4" t="n">
        <v>6</v>
      </c>
      <c r="B27" s="4" t="inlineStr">
        <is>
          <t>PAMELA SELF LANDSCAPE ARCHITECTURE LTD</t>
        </is>
      </c>
      <c r="C27" s="6" t="n">
        <v>124000</v>
      </c>
      <c r="D27" s="14" t="n">
        <v>0.01448210895151009</v>
      </c>
      <c r="E27" s="4" t="n">
        <v>2</v>
      </c>
      <c r="F27" s="6" t="n">
        <v>62000</v>
      </c>
      <c r="G27" s="4" t="n">
        <v>1</v>
      </c>
      <c r="H27" s="4" t="inlineStr">
        <is>
          <t>84-CHICAGO DEPARTMENT OF TRANSPORTATION</t>
        </is>
      </c>
    </row>
    <row r="28">
      <c r="A28" s="4" t="n">
        <v>7</v>
      </c>
      <c r="B28" s="4" t="inlineStr">
        <is>
          <t>CITYESCAPE GARDEN &amp; DESIGN,LLC</t>
        </is>
      </c>
      <c r="C28" s="6" t="n">
        <v>81143.75</v>
      </c>
      <c r="D28" s="14" t="n">
        <v>0.00947687603414594</v>
      </c>
      <c r="E28" s="4" t="n">
        <v>2</v>
      </c>
      <c r="F28" s="6" t="n">
        <v>40571.875</v>
      </c>
      <c r="G28" s="4" t="n">
        <v>1</v>
      </c>
      <c r="H28" s="4" t="inlineStr">
        <is>
          <t>85-CHICAGO DEPARTMENT OF AVIATION</t>
        </is>
      </c>
    </row>
    <row r="31">
      <c r="A31" s="11" t="inlineStr">
        <is>
          <t>DEPARTMENT BREAKDOWN</t>
        </is>
      </c>
    </row>
    <row r="32">
      <c r="A32" s="15" t="inlineStr">
        <is>
          <t>Rank</t>
        </is>
      </c>
      <c r="B32" s="15" t="inlineStr">
        <is>
          <t>Department</t>
        </is>
      </c>
      <c r="C32" s="15" t="inlineStr">
        <is>
          <t>Dept Code</t>
        </is>
      </c>
      <c r="D32" s="15" t="inlineStr">
        <is>
          <t>Total Spend</t>
        </is>
      </c>
      <c r="E32" s="15" t="inlineStr">
        <is>
          <t>% of Category</t>
        </is>
      </c>
      <c r="F32" s="15" t="inlineStr">
        <is>
          <t>Transactions</t>
        </is>
      </c>
      <c r="G32" s="15" t="inlineStr">
        <is>
          <t>Avg Transaction</t>
        </is>
      </c>
      <c r="H32" s="15" t="inlineStr">
        <is>
          <t># Vendors Used</t>
        </is>
      </c>
    </row>
    <row r="33">
      <c r="A33" s="4" t="n">
        <v>1</v>
      </c>
      <c r="B33" s="4" t="inlineStr">
        <is>
          <t>84-CHICAGO DEPARTMENT OF TRANSPORTATION</t>
        </is>
      </c>
      <c r="C33" s="4" t="inlineStr">
        <is>
          <t>84-CDOT</t>
        </is>
      </c>
      <c r="D33" s="6" t="n">
        <v>5187712.29</v>
      </c>
      <c r="E33" s="14" t="n">
        <v>0.605879149942483</v>
      </c>
      <c r="F33" s="4" t="n">
        <v>80</v>
      </c>
      <c r="G33" s="6" t="n">
        <v>64846.403625</v>
      </c>
      <c r="H33" s="4" t="n">
        <v>6</v>
      </c>
    </row>
    <row r="34">
      <c r="A34" s="4" t="n">
        <v>2</v>
      </c>
      <c r="B34" s="4" t="inlineStr">
        <is>
          <t>38-DEPARTMENT OF FLEET AND FACILITY MANAGEMENT</t>
        </is>
      </c>
      <c r="C34" s="4" t="inlineStr">
        <is>
          <t>38-2FM</t>
        </is>
      </c>
      <c r="D34" s="6" t="n">
        <v>3293432.81</v>
      </c>
      <c r="E34" s="14" t="n">
        <v>0.3846439740233711</v>
      </c>
      <c r="F34" s="4" t="n">
        <v>32</v>
      </c>
      <c r="G34" s="6" t="n">
        <v>102919.7753125</v>
      </c>
      <c r="H34" s="4" t="n">
        <v>3</v>
      </c>
    </row>
    <row r="35">
      <c r="A35" s="4" t="n">
        <v>3</v>
      </c>
      <c r="B35" s="4" t="inlineStr">
        <is>
          <t>85-CHICAGO DEPARTMENT OF AVIATION</t>
        </is>
      </c>
      <c r="C35" s="4" t="inlineStr">
        <is>
          <t>85-CDA</t>
        </is>
      </c>
      <c r="D35" s="6" t="n">
        <v>81143.75</v>
      </c>
      <c r="E35" s="14" t="n">
        <v>0.00947687603414594</v>
      </c>
      <c r="F35" s="4" t="n">
        <v>2</v>
      </c>
      <c r="G35" s="6" t="n">
        <v>40571.875</v>
      </c>
      <c r="H35" s="4" t="n">
        <v>1</v>
      </c>
    </row>
    <row r="36">
      <c r="A36" s="4" t="n">
        <v>4</v>
      </c>
      <c r="B36" s="4" t="inlineStr">
        <is>
          <t>41-CHICAGO DEPARTMENT OF PUBLIC HEALTH</t>
        </is>
      </c>
      <c r="C36" s="4" t="inlineStr">
        <is>
          <t>41-CDPH</t>
        </is>
      </c>
      <c r="D36" s="6" t="n">
        <v>0</v>
      </c>
      <c r="E36" s="14" t="n">
        <v>0</v>
      </c>
      <c r="F36" s="4" t="n">
        <v>1</v>
      </c>
      <c r="G36" s="6" t="n">
        <v>0</v>
      </c>
      <c r="H36" s="4" t="n">
        <v>1</v>
      </c>
    </row>
    <row r="39">
      <c r="A39" s="11" t="inlineStr">
        <is>
          <t>FULL TRANSACTION DETAIL (115 Records)</t>
        </is>
      </c>
    </row>
    <row r="40">
      <c r="A40" s="15" t="inlineStr">
        <is>
          <t>#</t>
        </is>
      </c>
      <c r="B40" s="15" t="inlineStr">
        <is>
          <t>Date</t>
        </is>
      </c>
      <c r="C40" s="15" t="inlineStr">
        <is>
          <t>Vendor Name</t>
        </is>
      </c>
      <c r="D40" s="15" t="inlineStr">
        <is>
          <t>Department</t>
        </is>
      </c>
      <c r="E40" s="15" t="inlineStr">
        <is>
          <t>Dept Code</t>
        </is>
      </c>
      <c r="F40" s="15" t="inlineStr">
        <is>
          <t>Req Amount</t>
        </is>
      </c>
      <c r="G40" s="15" t="inlineStr">
        <is>
          <t>Approved</t>
        </is>
      </c>
      <c r="H40" s="15" t="inlineStr">
        <is>
          <t>Description</t>
        </is>
      </c>
    </row>
    <row r="41">
      <c r="A41" s="23" t="n">
        <v>1</v>
      </c>
      <c r="B41" s="23" t="inlineStr">
        <is>
          <t>05/23/2022</t>
        </is>
      </c>
      <c r="C41" s="23" t="inlineStr">
        <is>
          <t>A SAFE HAVEN FOUNDATION</t>
        </is>
      </c>
      <c r="D41" s="23" t="inlineStr">
        <is>
          <t>41-CHICAGO DEPARTMENT OF PUBLIC HEALTH</t>
        </is>
      </c>
      <c r="E41" s="23" t="inlineStr">
        <is>
          <t>41-CDPH</t>
        </is>
      </c>
      <c r="F41" s="24" t="n">
        <v>0</v>
      </c>
      <c r="G41" s="23" t="inlineStr">
        <is>
          <t>nan</t>
        </is>
      </c>
      <c r="H41" s="23" t="inlineStr">
        <is>
          <t>Emergency Shelter Isolation Unit for up to 25 occupants we reordered priories th</t>
        </is>
      </c>
    </row>
    <row r="42">
      <c r="A42" s="23" t="n">
        <v>2</v>
      </c>
      <c r="B42" s="23" t="inlineStr">
        <is>
          <t>01/12/2023</t>
        </is>
      </c>
      <c r="C42" s="23" t="inlineStr">
        <is>
          <t>PAMELA SELF LANDSCAPE ARCHITECTURE LTD</t>
        </is>
      </c>
      <c r="D42" s="23" t="inlineStr">
        <is>
          <t>84-CHICAGO DEPARTMENT OF TRANSPORTATION</t>
        </is>
      </c>
      <c r="E42" s="23" t="inlineStr">
        <is>
          <t>84-CDOT</t>
        </is>
      </c>
      <c r="F42" s="24" t="n">
        <v>42000</v>
      </c>
      <c r="G42" s="23" t="inlineStr">
        <is>
          <t>APPROVED</t>
        </is>
      </c>
      <c r="H42" s="23" t="inlineStr">
        <is>
          <t>Invoice Reconciliation - Pamela Self Landscape Architecture</t>
        </is>
      </c>
    </row>
    <row r="43">
      <c r="A43" s="23" t="n">
        <v>3</v>
      </c>
      <c r="B43" s="23" t="inlineStr">
        <is>
          <t>10/05/2023</t>
        </is>
      </c>
      <c r="C43" s="23" t="inlineStr">
        <is>
          <t>MOORE LANDSCAPES LLC</t>
        </is>
      </c>
      <c r="D43" s="23" t="inlineStr">
        <is>
          <t>84-CHICAGO DEPARTMENT OF TRANSPORTATION</t>
        </is>
      </c>
      <c r="E43" s="23" t="inlineStr">
        <is>
          <t>84-CDOT</t>
        </is>
      </c>
      <c r="F43" s="24" t="n">
        <v>278069.6</v>
      </c>
      <c r="G43" s="23" t="inlineStr">
        <is>
          <t>APPROVED</t>
        </is>
      </c>
      <c r="H43" s="23" t="inlineStr">
        <is>
          <t>Moore Landscaping Invoices / Expired Contracts 57292 &amp; 57301</t>
        </is>
      </c>
    </row>
    <row r="44">
      <c r="A44" s="23" t="n">
        <v>4</v>
      </c>
      <c r="B44" s="23" t="inlineStr">
        <is>
          <t>12/19/2023</t>
        </is>
      </c>
      <c r="C44" s="23" t="inlineStr">
        <is>
          <t>LIZZETTE MEDINA &amp; COMPANY</t>
        </is>
      </c>
      <c r="D44" s="23" t="inlineStr">
        <is>
          <t>84-CHICAGO DEPARTMENT OF TRANSPORTATION</t>
        </is>
      </c>
      <c r="E44" s="23" t="inlineStr">
        <is>
          <t>84-CDOT</t>
        </is>
      </c>
      <c r="F44" s="24" t="n">
        <v>14705.87</v>
      </c>
      <c r="G44" s="23" t="inlineStr">
        <is>
          <t>APPROVED</t>
        </is>
      </c>
      <c r="H44" s="23" t="inlineStr">
        <is>
          <t>Landscaping Services - Region III / Oct - Nov Invoice Closeout</t>
        </is>
      </c>
    </row>
    <row r="45">
      <c r="A45" s="23" t="n">
        <v>5</v>
      </c>
      <c r="B45" s="23" t="inlineStr">
        <is>
          <t>12/28/2023</t>
        </is>
      </c>
      <c r="C45" s="23" t="inlineStr">
        <is>
          <t>MOORE LANDSCAPES LLC</t>
        </is>
      </c>
      <c r="D45" s="23" t="inlineStr">
        <is>
          <t>84-CHICAGO DEPARTMENT OF TRANSPORTATION</t>
        </is>
      </c>
      <c r="E45" s="23" t="inlineStr">
        <is>
          <t>84-CDOT</t>
        </is>
      </c>
      <c r="F45" s="24" t="n">
        <v>209464.8</v>
      </c>
      <c r="G45" s="23" t="inlineStr">
        <is>
          <t>APPROVED</t>
        </is>
      </c>
      <c r="H45" s="23" t="inlineStr">
        <is>
          <t>Landscape Maintenance Services</t>
        </is>
      </c>
    </row>
    <row r="46">
      <c r="A46" s="23" t="n">
        <v>6</v>
      </c>
      <c r="B46" s="23" t="inlineStr">
        <is>
          <t>02/16/2024</t>
        </is>
      </c>
      <c r="C46" s="23" t="inlineStr">
        <is>
          <t>CHRISTY WEBBER LANDSCAPES</t>
        </is>
      </c>
      <c r="D46" s="23" t="inlineStr">
        <is>
          <t>84-CHICAGO DEPARTMENT OF TRANSPORTATION</t>
        </is>
      </c>
      <c r="E46" s="23" t="inlineStr">
        <is>
          <t>84-CDOT</t>
        </is>
      </c>
      <c r="F46" s="24" t="n">
        <v>50194.51</v>
      </c>
      <c r="G46" s="23" t="inlineStr">
        <is>
          <t>APPROVED</t>
        </is>
      </c>
      <c r="H46" s="23" t="inlineStr">
        <is>
          <t>Comprehensive Landscape Services - Region II and IV - Exhibit B Request</t>
        </is>
      </c>
    </row>
    <row r="47">
      <c r="A47" s="23" t="n">
        <v>7</v>
      </c>
      <c r="B47" s="23" t="inlineStr">
        <is>
          <t>03/14/2024</t>
        </is>
      </c>
      <c r="C47" s="23" t="inlineStr">
        <is>
          <t>MOORE LANDSCAPES LLC</t>
        </is>
      </c>
      <c r="D47" s="23" t="inlineStr">
        <is>
          <t>84-CHICAGO DEPARTMENT OF TRANSPORTATION</t>
        </is>
      </c>
      <c r="E47" s="23" t="inlineStr">
        <is>
          <t>84-CDOT</t>
        </is>
      </c>
      <c r="F47" s="24" t="n">
        <v>27720</v>
      </c>
      <c r="G47" s="23" t="inlineStr">
        <is>
          <t>APPROVED</t>
        </is>
      </c>
      <c r="H47" s="23" t="inlineStr">
        <is>
          <t>Landscape Maintenance Services / Jan 2024</t>
        </is>
      </c>
    </row>
    <row r="48">
      <c r="A48" s="23" t="n">
        <v>8</v>
      </c>
      <c r="B48" s="23" t="inlineStr">
        <is>
          <t>04/26/2024</t>
        </is>
      </c>
      <c r="C48" s="23" t="inlineStr">
        <is>
          <t>MOORE LANDSCAPES LLC</t>
        </is>
      </c>
      <c r="D48" s="23" t="inlineStr">
        <is>
          <t>84-CHICAGO DEPARTMENT OF TRANSPORTATION</t>
        </is>
      </c>
      <c r="E48" s="23" t="inlineStr">
        <is>
          <t>84-CDOT</t>
        </is>
      </c>
      <c r="F48" s="24" t="n">
        <v>36960</v>
      </c>
      <c r="G48" s="23" t="inlineStr">
        <is>
          <t>APPROVED</t>
        </is>
      </c>
      <c r="H48" s="23" t="inlineStr">
        <is>
          <t>North and South LSD Landscape Services</t>
        </is>
      </c>
    </row>
    <row r="49">
      <c r="A49" s="23" t="n">
        <v>9</v>
      </c>
      <c r="B49" s="23" t="inlineStr">
        <is>
          <t>04/29/2024</t>
        </is>
      </c>
      <c r="C49" s="23" t="inlineStr">
        <is>
          <t>MOORE LANDSCAPES LLC</t>
        </is>
      </c>
      <c r="D49" s="23" t="inlineStr">
        <is>
          <t>84-CHICAGO DEPARTMENT OF TRANSPORTATION</t>
        </is>
      </c>
      <c r="E49" s="23" t="inlineStr">
        <is>
          <t>84-CDOT</t>
        </is>
      </c>
      <c r="F49" s="24" t="n">
        <v>276495.8</v>
      </c>
      <c r="G49" s="23" t="inlineStr">
        <is>
          <t>APPROVED</t>
        </is>
      </c>
      <c r="H49" s="23" t="inlineStr">
        <is>
          <t>Landscape Maintenance Services - North &amp; South LSD</t>
        </is>
      </c>
    </row>
    <row r="50">
      <c r="A50" s="23" t="n">
        <v>10</v>
      </c>
      <c r="B50" s="23" t="inlineStr">
        <is>
          <t>06/07/2024</t>
        </is>
      </c>
      <c r="C50" s="23" t="inlineStr">
        <is>
          <t>MOORE LANDSCAPES LLC</t>
        </is>
      </c>
      <c r="D50" s="23" t="inlineStr">
        <is>
          <t>84-CHICAGO DEPARTMENT OF TRANSPORTATION</t>
        </is>
      </c>
      <c r="E50" s="23" t="inlineStr">
        <is>
          <t>84-CDOT</t>
        </is>
      </c>
      <c r="F50" s="24" t="n">
        <v>75838.39999999999</v>
      </c>
      <c r="G50" s="23" t="inlineStr">
        <is>
          <t>APPROVED</t>
        </is>
      </c>
      <c r="H50" s="23" t="inlineStr">
        <is>
          <t>LSD Landscaping Services</t>
        </is>
      </c>
    </row>
    <row r="51">
      <c r="A51" s="23" t="n">
        <v>11</v>
      </c>
      <c r="B51" s="23" t="inlineStr">
        <is>
          <t>06/13/2024</t>
        </is>
      </c>
      <c r="C51" s="23" t="inlineStr">
        <is>
          <t>A SAFE HAVEN FOUNDATION</t>
        </is>
      </c>
      <c r="D51" s="23" t="inlineStr">
        <is>
          <t>84-CHICAGO DEPARTMENT OF TRANSPORTATION</t>
        </is>
      </c>
      <c r="E51" s="23" t="inlineStr">
        <is>
          <t>84-CDOT</t>
        </is>
      </c>
      <c r="F51" s="24" t="n">
        <v>6894.24</v>
      </c>
      <c r="G51" s="23" t="inlineStr">
        <is>
          <t>APPROVED</t>
        </is>
      </c>
      <c r="H51" s="23" t="inlineStr">
        <is>
          <t>Invoice Closeout - A Safe Haven / Landscaping Services</t>
        </is>
      </c>
    </row>
    <row r="52">
      <c r="A52" s="23" t="n">
        <v>12</v>
      </c>
      <c r="B52" s="23" t="inlineStr">
        <is>
          <t>06/14/2024</t>
        </is>
      </c>
      <c r="C52" s="23" t="inlineStr">
        <is>
          <t>A SAFE HAVEN FOUNDATION</t>
        </is>
      </c>
      <c r="D52" s="23" t="inlineStr">
        <is>
          <t>38-DEPARTMENT OF FLEET AND FACILITY MANAGEMENT</t>
        </is>
      </c>
      <c r="E52" s="23" t="inlineStr">
        <is>
          <t>38-2FM</t>
        </is>
      </c>
      <c r="F52" s="24" t="n">
        <v>51967.87</v>
      </c>
      <c r="G52" s="23" t="inlineStr">
        <is>
          <t>APPROVED</t>
        </is>
      </c>
      <c r="H52" s="23" t="inlineStr">
        <is>
          <t>A SAFE HAVE 50074290 A JT - RUDOLPH S APRIL- JUNE 2FM CPL 2 INVS $ 51,967.87</t>
        </is>
      </c>
    </row>
    <row r="53">
      <c r="A53" s="23" t="n">
        <v>13</v>
      </c>
      <c r="B53" s="23" t="inlineStr">
        <is>
          <t>07/08/2024</t>
        </is>
      </c>
      <c r="C53" s="23" t="inlineStr">
        <is>
          <t>MOORE LANDSCAPES LLC</t>
        </is>
      </c>
      <c r="D53" s="23" t="inlineStr">
        <is>
          <t>84-CHICAGO DEPARTMENT OF TRANSPORTATION</t>
        </is>
      </c>
      <c r="E53" s="23" t="inlineStr">
        <is>
          <t>84-CDOT</t>
        </is>
      </c>
      <c r="F53" s="24" t="n">
        <v>147356</v>
      </c>
      <c r="G53" s="23" t="inlineStr">
        <is>
          <t>APPROVED</t>
        </is>
      </c>
      <c r="H53" s="23" t="inlineStr">
        <is>
          <t>NORTH LAKE SHORE DRIVE LANDSCAPE MEDIAN MAINTENANCE</t>
        </is>
      </c>
    </row>
    <row r="54">
      <c r="A54" s="23" t="n">
        <v>14</v>
      </c>
      <c r="B54" s="23" t="inlineStr">
        <is>
          <t>07/12/2024</t>
        </is>
      </c>
      <c r="C54" s="23" t="inlineStr">
        <is>
          <t>CHRISTY WEBBER LANDSCAPES</t>
        </is>
      </c>
      <c r="D54" s="23" t="inlineStr">
        <is>
          <t>84-CHICAGO DEPARTMENT OF TRANSPORTATION</t>
        </is>
      </c>
      <c r="E54" s="23" t="inlineStr">
        <is>
          <t>84-CDOT</t>
        </is>
      </c>
      <c r="F54" s="24" t="n">
        <v>16274.76</v>
      </c>
      <c r="G54" s="23" t="inlineStr">
        <is>
          <t>APPROVED</t>
        </is>
      </c>
      <c r="H54" s="23" t="inlineStr">
        <is>
          <t>COMPREHENSIVE LANDSCAPE SERVICES, REGIONS II &amp; VI</t>
        </is>
      </c>
    </row>
    <row r="55">
      <c r="A55" s="23" t="n">
        <v>15</v>
      </c>
      <c r="B55" s="23" t="inlineStr">
        <is>
          <t>07/12/2024</t>
        </is>
      </c>
      <c r="C55" s="23" t="inlineStr">
        <is>
          <t>PAMELA SELF LANDSCAPE ARCHITECTURE LTD</t>
        </is>
      </c>
      <c r="D55" s="23" t="inlineStr">
        <is>
          <t>84-CHICAGO DEPARTMENT OF TRANSPORTATION</t>
        </is>
      </c>
      <c r="E55" s="23" t="inlineStr">
        <is>
          <t>84-CDOT</t>
        </is>
      </c>
      <c r="F55" s="24" t="n">
        <v>82000</v>
      </c>
      <c r="G55" s="23" t="inlineStr">
        <is>
          <t>APPROVED</t>
        </is>
      </c>
      <c r="H55" s="23" t="inlineStr">
        <is>
          <t>CATEGORY 4: ROADWAY AND ROADSIDE ENHANCEMENTS LANDSCAPE DESIGN SERVICES AND INST</t>
        </is>
      </c>
    </row>
    <row r="56">
      <c r="A56" s="23" t="n">
        <v>16</v>
      </c>
      <c r="B56" s="23" t="inlineStr">
        <is>
          <t>07/12/2024</t>
        </is>
      </c>
      <c r="C56" s="23" t="inlineStr">
        <is>
          <t>LIZZETTE MEDINA &amp; COMPANY</t>
        </is>
      </c>
      <c r="D56" s="23" t="inlineStr">
        <is>
          <t>84-CHICAGO DEPARTMENT OF TRANSPORTATION</t>
        </is>
      </c>
      <c r="E56" s="23" t="inlineStr">
        <is>
          <t>84-CDOT</t>
        </is>
      </c>
      <c r="F56" s="24" t="n">
        <v>59251.24</v>
      </c>
      <c r="G56" s="23" t="inlineStr">
        <is>
          <t>APPROVED</t>
        </is>
      </c>
      <c r="H56" s="23" t="inlineStr">
        <is>
          <t>CITYWIDE COMPREHENSIVE LANDSCAPE SERVICES, REGIONS III &amp; V</t>
        </is>
      </c>
    </row>
    <row r="57">
      <c r="A57" s="23" t="n">
        <v>17</v>
      </c>
      <c r="B57" s="23" t="inlineStr">
        <is>
          <t>07/12/2024</t>
        </is>
      </c>
      <c r="C57" s="23" t="inlineStr">
        <is>
          <t>A SAFE HAVEN FOUNDATION</t>
        </is>
      </c>
      <c r="D57" s="23" t="inlineStr">
        <is>
          <t>84-CHICAGO DEPARTMENT OF TRANSPORTATION</t>
        </is>
      </c>
      <c r="E57" s="23" t="inlineStr">
        <is>
          <t>84-CDOT</t>
        </is>
      </c>
      <c r="F57" s="24" t="n">
        <v>73251.69</v>
      </c>
      <c r="G57" s="23" t="inlineStr">
        <is>
          <t>APPROVED</t>
        </is>
      </c>
      <c r="H57" s="23" t="inlineStr">
        <is>
          <t>COMPREHENSIVE LANDSCAPE SERVICES, REGION I</t>
        </is>
      </c>
    </row>
    <row r="58">
      <c r="A58" s="23" t="n">
        <v>18</v>
      </c>
      <c r="B58" s="23" t="inlineStr">
        <is>
          <t>07/17/2024</t>
        </is>
      </c>
      <c r="C58" s="23" t="inlineStr">
        <is>
          <t>LIZZETTE MEDINA &amp; COMPANY</t>
        </is>
      </c>
      <c r="D58" s="23" t="inlineStr">
        <is>
          <t>38-DEPARTMENT OF FLEET AND FACILITY MANAGEMENT</t>
        </is>
      </c>
      <c r="E58" s="23" t="inlineStr">
        <is>
          <t>38-2FM</t>
        </is>
      </c>
      <c r="F58" s="24" t="n">
        <v>220196.06</v>
      </c>
      <c r="G58" s="23" t="inlineStr">
        <is>
          <t>APPROVED</t>
        </is>
      </c>
      <c r="H58" s="23" t="inlineStr">
        <is>
          <t>LIZZETTE 56979506 A APR-JUNE CPL 2FM N/A INVS. $ 220,196.06</t>
        </is>
      </c>
    </row>
    <row r="59">
      <c r="A59" s="23" t="n">
        <v>19</v>
      </c>
      <c r="B59" s="23" t="inlineStr">
        <is>
          <t>07/22/2024</t>
        </is>
      </c>
      <c r="C59" s="23" t="inlineStr">
        <is>
          <t>A SAFE HAVEN FOUNDATION</t>
        </is>
      </c>
      <c r="D59" s="23" t="inlineStr">
        <is>
          <t>84-CHICAGO DEPARTMENT OF TRANSPORTATION</t>
        </is>
      </c>
      <c r="E59" s="23" t="inlineStr">
        <is>
          <t>84-CDOT</t>
        </is>
      </c>
      <c r="F59" s="24" t="n">
        <v>95986.85000000001</v>
      </c>
      <c r="G59" s="23" t="inlineStr">
        <is>
          <t>APPROVED</t>
        </is>
      </c>
      <c r="H59" s="23" t="inlineStr">
        <is>
          <t>COMPREHENSIVE LANDSCAPE SERVICES</t>
        </is>
      </c>
    </row>
    <row r="60">
      <c r="A60" s="23" t="n">
        <v>20</v>
      </c>
      <c r="B60" s="23" t="inlineStr">
        <is>
          <t>08/05/2024</t>
        </is>
      </c>
      <c r="C60" s="23" t="inlineStr">
        <is>
          <t>A SAFE HAVEN FOUNDATION</t>
        </is>
      </c>
      <c r="D60" s="23" t="inlineStr">
        <is>
          <t>38-DEPARTMENT OF FLEET AND FACILITY MANAGEMENT</t>
        </is>
      </c>
      <c r="E60" s="23" t="inlineStr">
        <is>
          <t>38-2FM</t>
        </is>
      </c>
      <c r="F60" s="24" t="n">
        <v>179597.1</v>
      </c>
      <c r="G60" s="23" t="inlineStr">
        <is>
          <t>APPROVED</t>
        </is>
      </c>
      <c r="H60" s="23" t="inlineStr">
        <is>
          <t>A Safe Haven / Inv L22192 / Apr - June / $179597.10</t>
        </is>
      </c>
    </row>
    <row r="61">
      <c r="A61" s="23" t="n">
        <v>21</v>
      </c>
      <c r="B61" s="23" t="inlineStr">
        <is>
          <t>08/30/2024</t>
        </is>
      </c>
      <c r="C61" s="23" t="inlineStr">
        <is>
          <t>CHRISTY WEBBER LANDSCAPES</t>
        </is>
      </c>
      <c r="D61" s="23" t="inlineStr">
        <is>
          <t>84-CHICAGO DEPARTMENT OF TRANSPORTATION</t>
        </is>
      </c>
      <c r="E61" s="23" t="inlineStr">
        <is>
          <t>84-CDOT</t>
        </is>
      </c>
      <c r="F61" s="24" t="n">
        <v>58154.4</v>
      </c>
      <c r="G61" s="23" t="inlineStr">
        <is>
          <t>APPROVED</t>
        </is>
      </c>
      <c r="H61" s="23" t="inlineStr">
        <is>
          <t>Comprehensive Landscape Maintenance - Region II</t>
        </is>
      </c>
    </row>
    <row r="62">
      <c r="A62" s="23" t="n">
        <v>22</v>
      </c>
      <c r="B62" s="23" t="inlineStr">
        <is>
          <t>08/30/2024</t>
        </is>
      </c>
      <c r="C62" s="23" t="inlineStr">
        <is>
          <t>LIZZETTE MEDINA &amp; COMPANY</t>
        </is>
      </c>
      <c r="D62" s="23" t="inlineStr">
        <is>
          <t>84-CHICAGO DEPARTMENT OF TRANSPORTATION</t>
        </is>
      </c>
      <c r="E62" s="23" t="inlineStr">
        <is>
          <t>84-CDOT</t>
        </is>
      </c>
      <c r="F62" s="24" t="n">
        <v>43108.43</v>
      </c>
      <c r="G62" s="23" t="inlineStr">
        <is>
          <t>APPROVED</t>
        </is>
      </c>
      <c r="H62" s="23" t="inlineStr">
        <is>
          <t>Comprehensive Landscape Services / Region V</t>
        </is>
      </c>
    </row>
    <row r="63">
      <c r="A63" s="23" t="n">
        <v>23</v>
      </c>
      <c r="B63" s="23" t="inlineStr">
        <is>
          <t>08/30/2024</t>
        </is>
      </c>
      <c r="C63" s="23" t="inlineStr">
        <is>
          <t>MOORE LANDSCAPES LLC</t>
        </is>
      </c>
      <c r="D63" s="23" t="inlineStr">
        <is>
          <t>84-CHICAGO DEPARTMENT OF TRANSPORTATION</t>
        </is>
      </c>
      <c r="E63" s="23" t="inlineStr">
        <is>
          <t>84-CDOT</t>
        </is>
      </c>
      <c r="F63" s="24" t="n">
        <v>134209.1</v>
      </c>
      <c r="G63" s="23" t="inlineStr">
        <is>
          <t>APPROVED</t>
        </is>
      </c>
      <c r="H63" s="23" t="inlineStr">
        <is>
          <t>Landscape Maintenance Services North / South LSD</t>
        </is>
      </c>
    </row>
    <row r="64">
      <c r="A64" s="23" t="n">
        <v>24</v>
      </c>
      <c r="B64" s="23" t="inlineStr">
        <is>
          <t>10/01/2024</t>
        </is>
      </c>
      <c r="C64" s="23" t="inlineStr">
        <is>
          <t>LIZZETTE MEDINA &amp; COMPANY</t>
        </is>
      </c>
      <c r="D64" s="23" t="inlineStr">
        <is>
          <t>84-CHICAGO DEPARTMENT OF TRANSPORTATION</t>
        </is>
      </c>
      <c r="E64" s="23" t="inlineStr">
        <is>
          <t>84-CDOT</t>
        </is>
      </c>
      <c r="F64" s="24" t="n">
        <v>28102.31</v>
      </c>
      <c r="G64" s="23" t="inlineStr">
        <is>
          <t>APPROVED</t>
        </is>
      </c>
      <c r="H64" s="23" t="inlineStr">
        <is>
          <t>Landscape Services Region 3 and 5</t>
        </is>
      </c>
    </row>
    <row r="65">
      <c r="A65" s="23" t="n">
        <v>25</v>
      </c>
      <c r="B65" s="23" t="inlineStr">
        <is>
          <t>10/01/2024</t>
        </is>
      </c>
      <c r="C65" s="23" t="inlineStr">
        <is>
          <t>MOORE LANDSCAPES LLC</t>
        </is>
      </c>
      <c r="D65" s="23" t="inlineStr">
        <is>
          <t>84-CHICAGO DEPARTMENT OF TRANSPORTATION</t>
        </is>
      </c>
      <c r="E65" s="23" t="inlineStr">
        <is>
          <t>84-CDOT</t>
        </is>
      </c>
      <c r="F65" s="24" t="n">
        <v>121810.5</v>
      </c>
      <c r="G65" s="23" t="inlineStr">
        <is>
          <t>APPROVED</t>
        </is>
      </c>
      <c r="H65" s="23" t="inlineStr">
        <is>
          <t>July Landscape Maintenance / North-South LSD</t>
        </is>
      </c>
    </row>
    <row r="66">
      <c r="A66" s="23" t="n">
        <v>26</v>
      </c>
      <c r="B66" s="23" t="inlineStr">
        <is>
          <t>10/01/2024</t>
        </is>
      </c>
      <c r="C66" s="23" t="inlineStr">
        <is>
          <t>A SAFE HAVEN FOUNDATION</t>
        </is>
      </c>
      <c r="D66" s="23" t="inlineStr">
        <is>
          <t>84-CHICAGO DEPARTMENT OF TRANSPORTATION</t>
        </is>
      </c>
      <c r="E66" s="23" t="inlineStr">
        <is>
          <t>84-CDOT</t>
        </is>
      </c>
      <c r="F66" s="24" t="n">
        <v>124142.45</v>
      </c>
      <c r="G66" s="23" t="inlineStr">
        <is>
          <t>APPROVED</t>
        </is>
      </c>
      <c r="H66" s="23" t="inlineStr">
        <is>
          <t>Landscape Maintenance July Region 1</t>
        </is>
      </c>
    </row>
    <row r="67">
      <c r="A67" s="23" t="n">
        <v>27</v>
      </c>
      <c r="B67" s="23" t="inlineStr">
        <is>
          <t>10/01/2024</t>
        </is>
      </c>
      <c r="C67" s="23" t="inlineStr">
        <is>
          <t>CHRISTY WEBBER LANDSCAPES</t>
        </is>
      </c>
      <c r="D67" s="23" t="inlineStr">
        <is>
          <t>84-CHICAGO DEPARTMENT OF TRANSPORTATION</t>
        </is>
      </c>
      <c r="E67" s="23" t="inlineStr">
        <is>
          <t>84-CDOT</t>
        </is>
      </c>
      <c r="F67" s="24" t="n">
        <v>18514.69</v>
      </c>
      <c r="G67" s="23" t="inlineStr">
        <is>
          <t>APPROVED</t>
        </is>
      </c>
      <c r="H67" s="23" t="inlineStr">
        <is>
          <t>Landscape Maintenance July Region 2 and 6</t>
        </is>
      </c>
    </row>
    <row r="68">
      <c r="A68" s="23" t="n">
        <v>28</v>
      </c>
      <c r="B68" s="23" t="inlineStr">
        <is>
          <t>10/01/2024</t>
        </is>
      </c>
      <c r="C68" s="23" t="inlineStr">
        <is>
          <t>MOORE LANDSCAPES LLC</t>
        </is>
      </c>
      <c r="D68" s="23" t="inlineStr">
        <is>
          <t>84-CHICAGO DEPARTMENT OF TRANSPORTATION</t>
        </is>
      </c>
      <c r="E68" s="23" t="inlineStr">
        <is>
          <t>84-CDOT</t>
        </is>
      </c>
      <c r="F68" s="24" t="n">
        <v>103735</v>
      </c>
      <c r="G68" s="23" t="inlineStr">
        <is>
          <t>APPROVED</t>
        </is>
      </c>
      <c r="H68" s="23" t="inlineStr">
        <is>
          <t>Landscape Services June North/South LSD</t>
        </is>
      </c>
    </row>
    <row r="69">
      <c r="A69" s="23" t="n">
        <v>29</v>
      </c>
      <c r="B69" s="23" t="inlineStr">
        <is>
          <t>10/01/2024</t>
        </is>
      </c>
      <c r="C69" s="23" t="inlineStr">
        <is>
          <t>A SAFE HAVEN FOUNDATION</t>
        </is>
      </c>
      <c r="D69" s="23" t="inlineStr">
        <is>
          <t>84-CHICAGO DEPARTMENT OF TRANSPORTATION</t>
        </is>
      </c>
      <c r="E69" s="23" t="inlineStr">
        <is>
          <t>84-CDOT</t>
        </is>
      </c>
      <c r="F69" s="24" t="n">
        <v>83137.98</v>
      </c>
      <c r="G69" s="23" t="inlineStr">
        <is>
          <t>APPROVED</t>
        </is>
      </c>
      <c r="H69" s="23" t="inlineStr">
        <is>
          <t>Landscape Maintenance June Region 1</t>
        </is>
      </c>
    </row>
    <row r="70">
      <c r="A70" s="23" t="n">
        <v>30</v>
      </c>
      <c r="B70" s="23" t="inlineStr">
        <is>
          <t>10/01/2024</t>
        </is>
      </c>
      <c r="C70" s="23" t="inlineStr">
        <is>
          <t>LIZZETTE MEDINA &amp; COMPANY</t>
        </is>
      </c>
      <c r="D70" s="23" t="inlineStr">
        <is>
          <t>84-CHICAGO DEPARTMENT OF TRANSPORTATION</t>
        </is>
      </c>
      <c r="E70" s="23" t="inlineStr">
        <is>
          <t>84-CDOT</t>
        </is>
      </c>
      <c r="F70" s="24" t="n">
        <v>28588.8</v>
      </c>
      <c r="G70" s="23" t="inlineStr">
        <is>
          <t>APPROVED</t>
        </is>
      </c>
      <c r="H70" s="23" t="inlineStr">
        <is>
          <t>Landscape Maintenance June Region 3 and 5</t>
        </is>
      </c>
    </row>
    <row r="71">
      <c r="A71" s="23" t="n">
        <v>31</v>
      </c>
      <c r="B71" s="23" t="inlineStr">
        <is>
          <t>10/01/2024</t>
        </is>
      </c>
      <c r="C71" s="23" t="inlineStr">
        <is>
          <t>CHRISTY WEBBER LANDSCAPES</t>
        </is>
      </c>
      <c r="D71" s="23" t="inlineStr">
        <is>
          <t>84-CHICAGO DEPARTMENT OF TRANSPORTATION</t>
        </is>
      </c>
      <c r="E71" s="23" t="inlineStr">
        <is>
          <t>84-CDOT</t>
        </is>
      </c>
      <c r="F71" s="24" t="n">
        <v>17371.67</v>
      </c>
      <c r="G71" s="23" t="inlineStr">
        <is>
          <t>APPROVED</t>
        </is>
      </c>
      <c r="H71" s="23" t="inlineStr">
        <is>
          <t>Landscape Maintenance Region 2 and 6</t>
        </is>
      </c>
    </row>
    <row r="72">
      <c r="A72" s="23" t="n">
        <v>32</v>
      </c>
      <c r="B72" s="23" t="inlineStr">
        <is>
          <t>10/04/2024</t>
        </is>
      </c>
      <c r="C72" s="23" t="inlineStr">
        <is>
          <t>A SAFE HAVEN FOUNDATION</t>
        </is>
      </c>
      <c r="D72" s="23" t="inlineStr">
        <is>
          <t>38-DEPARTMENT OF FLEET AND FACILITY MANAGEMENT</t>
        </is>
      </c>
      <c r="E72" s="23" t="inlineStr">
        <is>
          <t>38-2FM</t>
        </is>
      </c>
      <c r="F72" s="24" t="n">
        <v>224306.86</v>
      </c>
      <c r="G72" s="23" t="inlineStr">
        <is>
          <t>APPROVED</t>
        </is>
      </c>
      <c r="H72" s="23" t="inlineStr">
        <is>
          <t>A SAFE HAVEN JS/ AH/ Jun- Aug / Miscellaneous/ $224,306.86/ 1 INV</t>
        </is>
      </c>
    </row>
    <row r="73">
      <c r="A73" s="23" t="n">
        <v>33</v>
      </c>
      <c r="B73" s="23" t="inlineStr">
        <is>
          <t>10/15/2024</t>
        </is>
      </c>
      <c r="C73" s="23" t="inlineStr">
        <is>
          <t>LIZZETTE MEDINA &amp; COMPANY</t>
        </is>
      </c>
      <c r="D73" s="23" t="inlineStr">
        <is>
          <t>38-DEPARTMENT OF FLEET AND FACILITY MANAGEMENT</t>
        </is>
      </c>
      <c r="E73" s="23" t="inlineStr">
        <is>
          <t>38-2FM</t>
        </is>
      </c>
      <c r="F73" s="24" t="n">
        <v>100837.64</v>
      </c>
      <c r="G73" s="23" t="inlineStr">
        <is>
          <t>APPROVED</t>
        </is>
      </c>
      <c r="H73" s="23" t="inlineStr">
        <is>
          <t>LIZZETTE MEDINA  JS/ AH/ Multiple INV/ April-June/ $100,837.64</t>
        </is>
      </c>
    </row>
    <row r="74">
      <c r="A74" s="23" t="n">
        <v>34</v>
      </c>
      <c r="B74" s="23" t="inlineStr">
        <is>
          <t>10/23/2024</t>
        </is>
      </c>
      <c r="C74" s="23" t="inlineStr">
        <is>
          <t>CHRISTY WEBBER LANDSCAPES</t>
        </is>
      </c>
      <c r="D74" s="23" t="inlineStr">
        <is>
          <t>38-DEPARTMENT OF FLEET AND FACILITY MANAGEMENT</t>
        </is>
      </c>
      <c r="E74" s="23" t="inlineStr">
        <is>
          <t>38-2FM</t>
        </is>
      </c>
      <c r="F74" s="24" t="n">
        <v>120539.65</v>
      </c>
      <c r="G74" s="23" t="inlineStr">
        <is>
          <t>APPROVED</t>
        </is>
      </c>
      <c r="H74" s="23" t="inlineStr">
        <is>
          <t>CHRISTY WEB 1060451 A JT - AH April - June / CPL / 2FM / $ 120,539.65</t>
        </is>
      </c>
    </row>
    <row r="75">
      <c r="A75" s="23" t="n">
        <v>35</v>
      </c>
      <c r="B75" s="23" t="inlineStr">
        <is>
          <t>11/04/2024</t>
        </is>
      </c>
      <c r="C75" s="23" t="inlineStr">
        <is>
          <t>LIZZETTE MEDINA &amp; COMPANY</t>
        </is>
      </c>
      <c r="D75" s="23" t="inlineStr">
        <is>
          <t>84-CHICAGO DEPARTMENT OF TRANSPORTATION</t>
        </is>
      </c>
      <c r="E75" s="23" t="inlineStr">
        <is>
          <t>84-CDOT</t>
        </is>
      </c>
      <c r="F75" s="24" t="n">
        <v>30284.93</v>
      </c>
      <c r="G75" s="23" t="inlineStr">
        <is>
          <t>APPROVED</t>
        </is>
      </c>
      <c r="H75" s="23" t="inlineStr">
        <is>
          <t>Landscape Services Regions 3 and 5</t>
        </is>
      </c>
    </row>
    <row r="76">
      <c r="A76" s="23" t="n">
        <v>36</v>
      </c>
      <c r="B76" s="23" t="inlineStr">
        <is>
          <t>11/04/2024</t>
        </is>
      </c>
      <c r="C76" s="23" t="inlineStr">
        <is>
          <t>A SAFE HAVEN FOUNDATION</t>
        </is>
      </c>
      <c r="D76" s="23" t="inlineStr">
        <is>
          <t>84-CHICAGO DEPARTMENT OF TRANSPORTATION</t>
        </is>
      </c>
      <c r="E76" s="23" t="inlineStr">
        <is>
          <t>84-CDOT</t>
        </is>
      </c>
      <c r="F76" s="24" t="n">
        <v>70522.58</v>
      </c>
      <c r="G76" s="23" t="inlineStr">
        <is>
          <t>APPROVED</t>
        </is>
      </c>
      <c r="H76" s="23" t="inlineStr">
        <is>
          <t>Landscape Services Region 1 CLS</t>
        </is>
      </c>
    </row>
    <row r="77">
      <c r="A77" s="23" t="n">
        <v>37</v>
      </c>
      <c r="B77" s="23" t="inlineStr">
        <is>
          <t>11/04/2024</t>
        </is>
      </c>
      <c r="C77" s="23" t="inlineStr">
        <is>
          <t>CHRISTY WEBBER LANDSCAPES</t>
        </is>
      </c>
      <c r="D77" s="23" t="inlineStr">
        <is>
          <t>84-CHICAGO DEPARTMENT OF TRANSPORTATION</t>
        </is>
      </c>
      <c r="E77" s="23" t="inlineStr">
        <is>
          <t>84-CDOT</t>
        </is>
      </c>
      <c r="F77" s="24" t="n">
        <v>18742.13</v>
      </c>
      <c r="G77" s="23" t="inlineStr">
        <is>
          <t>APPROVED</t>
        </is>
      </c>
      <c r="H77" s="23" t="inlineStr">
        <is>
          <t>Landscape Services Regions 2 and 6 CLS</t>
        </is>
      </c>
    </row>
    <row r="78">
      <c r="A78" s="23" t="n">
        <v>38</v>
      </c>
      <c r="B78" s="23" t="inlineStr">
        <is>
          <t>11/04/2024</t>
        </is>
      </c>
      <c r="C78" s="23" t="inlineStr">
        <is>
          <t>MOORE LANDSCAPES LLC</t>
        </is>
      </c>
      <c r="D78" s="23" t="inlineStr">
        <is>
          <t>84-CHICAGO DEPARTMENT OF TRANSPORTATION</t>
        </is>
      </c>
      <c r="E78" s="23" t="inlineStr">
        <is>
          <t>84-CDOT</t>
        </is>
      </c>
      <c r="F78" s="24" t="n">
        <v>121810.5</v>
      </c>
      <c r="G78" s="23" t="inlineStr">
        <is>
          <t>APPROVED</t>
        </is>
      </c>
      <c r="H78" s="23" t="inlineStr">
        <is>
          <t>North &amp; South LSD Landscape Maintenance</t>
        </is>
      </c>
    </row>
    <row r="79">
      <c r="A79" s="23" t="n">
        <v>39</v>
      </c>
      <c r="B79" s="23" t="inlineStr">
        <is>
          <t>11/19/2024</t>
        </is>
      </c>
      <c r="C79" s="23" t="inlineStr">
        <is>
          <t>LIZZETTE MEDINA &amp; COMPANY</t>
        </is>
      </c>
      <c r="D79" s="23" t="inlineStr">
        <is>
          <t>38-DEPARTMENT OF FLEET AND FACILITY MANAGEMENT</t>
        </is>
      </c>
      <c r="E79" s="23" t="inlineStr">
        <is>
          <t>38-2FM</t>
        </is>
      </c>
      <c r="F79" s="24" t="n">
        <v>0</v>
      </c>
      <c r="G79" s="23" t="inlineStr">
        <is>
          <t>APPROVED</t>
        </is>
      </c>
      <c r="H79" s="23" t="inlineStr">
        <is>
          <t>LIZZETTE  56979506 B  JS/AH/JUN-SEPT MISC/Multiple INV/$274,222.24</t>
        </is>
      </c>
    </row>
    <row r="80">
      <c r="A80" s="23" t="n">
        <v>40</v>
      </c>
      <c r="B80" s="23" t="inlineStr">
        <is>
          <t>12/03/2024</t>
        </is>
      </c>
      <c r="C80" s="23" t="inlineStr">
        <is>
          <t>A SAFE HAVEN FOUNDATION</t>
        </is>
      </c>
      <c r="D80" s="23" t="inlineStr">
        <is>
          <t>84-CHICAGO DEPARTMENT OF TRANSPORTATION</t>
        </is>
      </c>
      <c r="E80" s="23" t="inlineStr">
        <is>
          <t>84-CDOT</t>
        </is>
      </c>
      <c r="F80" s="24" t="n">
        <v>79934.58</v>
      </c>
      <c r="G80" s="23" t="inlineStr">
        <is>
          <t>APPROVED</t>
        </is>
      </c>
      <c r="H80" s="23" t="inlineStr">
        <is>
          <t>Landscape Services - Region 1 CLS</t>
        </is>
      </c>
    </row>
    <row r="81">
      <c r="A81" s="23" t="n">
        <v>41</v>
      </c>
      <c r="B81" s="23" t="inlineStr">
        <is>
          <t>12/03/2024</t>
        </is>
      </c>
      <c r="C81" s="23" t="inlineStr">
        <is>
          <t>CHRISTY WEBBER LANDSCAPES</t>
        </is>
      </c>
      <c r="D81" s="23" t="inlineStr">
        <is>
          <t>84-CHICAGO DEPARTMENT OF TRANSPORTATION</t>
        </is>
      </c>
      <c r="E81" s="23" t="inlineStr">
        <is>
          <t>84-CDOT</t>
        </is>
      </c>
      <c r="F81" s="24" t="n">
        <v>20524.82</v>
      </c>
      <c r="G81" s="23" t="inlineStr">
        <is>
          <t>APPROVED</t>
        </is>
      </c>
      <c r="H81" s="23" t="inlineStr">
        <is>
          <t>Landscape Services - Region 2 and 6 CLS</t>
        </is>
      </c>
    </row>
    <row r="82">
      <c r="A82" s="23" t="n">
        <v>42</v>
      </c>
      <c r="B82" s="23" t="inlineStr">
        <is>
          <t>12/03/2024</t>
        </is>
      </c>
      <c r="C82" s="23" t="inlineStr">
        <is>
          <t>MOORE LANDSCAPES LLC</t>
        </is>
      </c>
      <c r="D82" s="23" t="inlineStr">
        <is>
          <t>84-CHICAGO DEPARTMENT OF TRANSPORTATION</t>
        </is>
      </c>
      <c r="E82" s="23" t="inlineStr">
        <is>
          <t>84-CDOT</t>
        </is>
      </c>
      <c r="F82" s="24" t="n">
        <v>160005.91</v>
      </c>
      <c r="G82" s="23" t="inlineStr">
        <is>
          <t>APPROVED</t>
        </is>
      </c>
      <c r="H82" s="23" t="inlineStr">
        <is>
          <t>Landscape Services - North &amp; South LSD</t>
        </is>
      </c>
    </row>
    <row r="83">
      <c r="A83" s="23" t="n">
        <v>43</v>
      </c>
      <c r="B83" s="23" t="inlineStr">
        <is>
          <t>12/03/2024</t>
        </is>
      </c>
      <c r="C83" s="23" t="inlineStr">
        <is>
          <t>LIZZETTE MEDINA &amp; COMPANY</t>
        </is>
      </c>
      <c r="D83" s="23" t="inlineStr">
        <is>
          <t>84-CHICAGO DEPARTMENT OF TRANSPORTATION</t>
        </is>
      </c>
      <c r="E83" s="23" t="inlineStr">
        <is>
          <t>84-CDOT</t>
        </is>
      </c>
      <c r="F83" s="24" t="n">
        <v>31454.22</v>
      </c>
      <c r="G83" s="23" t="inlineStr">
        <is>
          <t>APPROVED</t>
        </is>
      </c>
      <c r="H83" s="23" t="inlineStr">
        <is>
          <t>Landscape Services - Regions 3 and 5</t>
        </is>
      </c>
    </row>
    <row r="84">
      <c r="A84" s="23" t="n">
        <v>44</v>
      </c>
      <c r="B84" s="23" t="inlineStr">
        <is>
          <t>12/16/2024</t>
        </is>
      </c>
      <c r="C84" s="23" t="inlineStr">
        <is>
          <t>A SAFE HAVEN FOUNDATION</t>
        </is>
      </c>
      <c r="D84" s="23" t="inlineStr">
        <is>
          <t>38-DEPARTMENT OF FLEET AND FACILITY MANAGEMENT</t>
        </is>
      </c>
      <c r="E84" s="23" t="inlineStr">
        <is>
          <t>38-2FM</t>
        </is>
      </c>
      <c r="F84" s="24" t="n">
        <v>167280.61</v>
      </c>
      <c r="G84" s="23" t="inlineStr">
        <is>
          <t>APPROVED</t>
        </is>
      </c>
      <c r="H84" s="23" t="inlineStr">
        <is>
          <t>SA/AH/ Sept-Oct/Landscaping/ CDOT Lead Dept. 2FM utlized PO#30816 for Citywide C</t>
        </is>
      </c>
    </row>
    <row r="85">
      <c r="A85" s="23" t="n">
        <v>45</v>
      </c>
      <c r="B85" s="23" t="inlineStr">
        <is>
          <t>12/31/2024</t>
        </is>
      </c>
      <c r="C85" s="23" t="inlineStr">
        <is>
          <t>CHRISTY WEBBER LANDSCAPES</t>
        </is>
      </c>
      <c r="D85" s="23" t="inlineStr">
        <is>
          <t>84-CHICAGO DEPARTMENT OF TRANSPORTATION</t>
        </is>
      </c>
      <c r="E85" s="23" t="inlineStr">
        <is>
          <t>84-CDOT</t>
        </is>
      </c>
      <c r="F85" s="24" t="n">
        <v>18916.48</v>
      </c>
      <c r="G85" s="23" t="inlineStr">
        <is>
          <t>APPROVED</t>
        </is>
      </c>
      <c r="H85" s="23" t="inlineStr">
        <is>
          <t>Region 2 and 6 Landscape Maintenance</t>
        </is>
      </c>
    </row>
    <row r="86">
      <c r="A86" s="23" t="n">
        <v>46</v>
      </c>
      <c r="B86" s="23" t="inlineStr">
        <is>
          <t>12/31/2024</t>
        </is>
      </c>
      <c r="C86" s="23" t="inlineStr">
        <is>
          <t>A SAFE HAVEN FOUNDATION</t>
        </is>
      </c>
      <c r="D86" s="23" t="inlineStr">
        <is>
          <t>84-CHICAGO DEPARTMENT OF TRANSPORTATION</t>
        </is>
      </c>
      <c r="E86" s="23" t="inlineStr">
        <is>
          <t>84-CDOT</t>
        </is>
      </c>
      <c r="F86" s="24" t="n">
        <v>84022.38</v>
      </c>
      <c r="G86" s="23" t="inlineStr">
        <is>
          <t>APPROVED</t>
        </is>
      </c>
      <c r="H86" s="23" t="inlineStr">
        <is>
          <t>Landscape Maintenance Services October Region 1</t>
        </is>
      </c>
    </row>
    <row r="87">
      <c r="A87" s="23" t="n">
        <v>47</v>
      </c>
      <c r="B87" s="23" t="inlineStr">
        <is>
          <t>12/31/2024</t>
        </is>
      </c>
      <c r="C87" s="23" t="inlineStr">
        <is>
          <t>MOORE LANDSCAPES LLC</t>
        </is>
      </c>
      <c r="D87" s="23" t="inlineStr">
        <is>
          <t>84-CHICAGO DEPARTMENT OF TRANSPORTATION</t>
        </is>
      </c>
      <c r="E87" s="23" t="inlineStr">
        <is>
          <t>84-CDOT</t>
        </is>
      </c>
      <c r="F87" s="24" t="n">
        <v>94035.39999999999</v>
      </c>
      <c r="G87" s="23" t="inlineStr">
        <is>
          <t>APPROVED</t>
        </is>
      </c>
      <c r="H87" s="23" t="inlineStr">
        <is>
          <t>Landscape North and South LSD October</t>
        </is>
      </c>
    </row>
    <row r="88">
      <c r="A88" s="23" t="n">
        <v>48</v>
      </c>
      <c r="B88" s="23" t="inlineStr">
        <is>
          <t>12/31/2024</t>
        </is>
      </c>
      <c r="C88" s="23" t="inlineStr">
        <is>
          <t>LIZZETTE MEDINA &amp; COMPANY</t>
        </is>
      </c>
      <c r="D88" s="23" t="inlineStr">
        <is>
          <t>84-CHICAGO DEPARTMENT OF TRANSPORTATION</t>
        </is>
      </c>
      <c r="E88" s="23" t="inlineStr">
        <is>
          <t>84-CDOT</t>
        </is>
      </c>
      <c r="F88" s="24" t="n">
        <v>40213.93</v>
      </c>
      <c r="G88" s="23" t="inlineStr">
        <is>
          <t>APPROVED</t>
        </is>
      </c>
      <c r="H88" s="23" t="inlineStr">
        <is>
          <t>Region 3 and 5 Landscape Services October</t>
        </is>
      </c>
    </row>
    <row r="89">
      <c r="A89" s="23" t="n">
        <v>49</v>
      </c>
      <c r="B89" s="23" t="inlineStr">
        <is>
          <t>01/02/2025</t>
        </is>
      </c>
      <c r="C89" s="23" t="inlineStr">
        <is>
          <t>A SAFE HAVEN FOUNDATION</t>
        </is>
      </c>
      <c r="D89" s="23" t="inlineStr">
        <is>
          <t>38-DEPARTMENT OF FLEET AND FACILITY MANAGEMENT</t>
        </is>
      </c>
      <c r="E89" s="23" t="inlineStr">
        <is>
          <t>38-2FM</t>
        </is>
      </c>
      <c r="F89" s="24" t="n">
        <v>55233</v>
      </c>
      <c r="G89" s="23" t="inlineStr">
        <is>
          <t>APPROVED</t>
        </is>
      </c>
      <c r="H89" s="23" t="inlineStr">
        <is>
          <t>A SAFE HAVEN 50074290 A  JS/Akyesha H/ 4 INV/ NOV-DEC/ $55,233.00</t>
        </is>
      </c>
    </row>
    <row r="90">
      <c r="A90" s="23" t="n">
        <v>50</v>
      </c>
      <c r="B90" s="23" t="inlineStr">
        <is>
          <t>01/02/2025</t>
        </is>
      </c>
      <c r="C90" s="23" t="inlineStr">
        <is>
          <t>CHRISTY WEBBER LANDSCAPES</t>
        </is>
      </c>
      <c r="D90" s="23" t="inlineStr">
        <is>
          <t>38-DEPARTMENT OF FLEET AND FACILITY MANAGEMENT</t>
        </is>
      </c>
      <c r="E90" s="23" t="inlineStr">
        <is>
          <t>38-2FM</t>
        </is>
      </c>
      <c r="F90" s="24" t="n">
        <v>89546.84</v>
      </c>
      <c r="G90" s="23" t="inlineStr">
        <is>
          <t>APPROVED</t>
        </is>
      </c>
      <c r="H90" s="23" t="inlineStr">
        <is>
          <t>CHRISTY WEBBER 1060451 - AKYESHA H CPL LANDSCAPING@ $ 89,546.84</t>
        </is>
      </c>
    </row>
    <row r="91">
      <c r="A91" s="23" t="n">
        <v>51</v>
      </c>
      <c r="B91" s="23" t="inlineStr">
        <is>
          <t>01/06/2025</t>
        </is>
      </c>
      <c r="C91" s="23" t="inlineStr">
        <is>
          <t>LIZZETTE MEDINA &amp; COMPANY</t>
        </is>
      </c>
      <c r="D91" s="23" t="inlineStr">
        <is>
          <t>38-DEPARTMENT OF FLEET AND FACILITY MANAGEMENT</t>
        </is>
      </c>
      <c r="E91" s="23" t="inlineStr">
        <is>
          <t>38-2FM</t>
        </is>
      </c>
      <c r="F91" s="24" t="n">
        <v>109031.13</v>
      </c>
      <c r="G91" s="23" t="inlineStr">
        <is>
          <t>APPROVED</t>
        </is>
      </c>
      <c r="H91" s="23" t="inlineStr">
        <is>
          <t>LIZZETTE 56979506 A JT - AKYESHA H AUG to OCT 2024 INVS $ 109,031.13</t>
        </is>
      </c>
    </row>
    <row r="92">
      <c r="A92" s="23" t="n">
        <v>52</v>
      </c>
      <c r="B92" s="23" t="inlineStr">
        <is>
          <t>01/07/2025</t>
        </is>
      </c>
      <c r="C92" s="23" t="inlineStr">
        <is>
          <t>A SAFE HAVEN FOUNDATION</t>
        </is>
      </c>
      <c r="D92" s="23" t="inlineStr">
        <is>
          <t>38-DEPARTMENT OF FLEET AND FACILITY MANAGEMENT</t>
        </is>
      </c>
      <c r="E92" s="23" t="inlineStr">
        <is>
          <t>38-2FM</t>
        </is>
      </c>
      <c r="F92" s="24" t="n">
        <v>0</v>
      </c>
      <c r="G92" s="23" t="inlineStr">
        <is>
          <t>nan</t>
        </is>
      </c>
      <c r="H92" s="23" t="inlineStr">
        <is>
          <t>A Safe Haven / Inv L22373 / $167,280.61</t>
        </is>
      </c>
    </row>
    <row r="93">
      <c r="A93" s="23" t="n">
        <v>53</v>
      </c>
      <c r="B93" s="23" t="inlineStr">
        <is>
          <t>01/08/2025</t>
        </is>
      </c>
      <c r="C93" s="23" t="inlineStr">
        <is>
          <t>LIZZETTE MEDINA &amp; COMPANY</t>
        </is>
      </c>
      <c r="D93" s="23" t="inlineStr">
        <is>
          <t>38-DEPARTMENT OF FLEET AND FACILITY MANAGEMENT</t>
        </is>
      </c>
      <c r="E93" s="23" t="inlineStr">
        <is>
          <t>38-2FM</t>
        </is>
      </c>
      <c r="F93" s="24" t="n">
        <v>72785.17</v>
      </c>
      <c r="G93" s="23" t="inlineStr">
        <is>
          <t>APPROVED</t>
        </is>
      </c>
      <c r="H93" s="23" t="inlineStr">
        <is>
          <t>CDOT Lead Dept. 2FM utlizes PO#32556 for Citywide Comprehensive Landscape Servic</t>
        </is>
      </c>
    </row>
    <row r="94">
      <c r="A94" s="23" t="n">
        <v>54</v>
      </c>
      <c r="B94" s="23" t="inlineStr">
        <is>
          <t>01/13/2025</t>
        </is>
      </c>
      <c r="C94" s="23" t="inlineStr">
        <is>
          <t>CHRISTY WEBBER LANDSCAPES</t>
        </is>
      </c>
      <c r="D94" s="23" t="inlineStr">
        <is>
          <t>38-DEPARTMENT OF FLEET AND FACILITY MANAGEMENT</t>
        </is>
      </c>
      <c r="E94" s="23" t="inlineStr">
        <is>
          <t>38-2FM</t>
        </is>
      </c>
      <c r="F94" s="24" t="n">
        <v>146594.94</v>
      </c>
      <c r="G94" s="23" t="inlineStr">
        <is>
          <t>APPROVED</t>
        </is>
      </c>
      <c r="H94" s="23" t="inlineStr">
        <is>
          <t>Christy Webber $146594.94</t>
        </is>
      </c>
    </row>
    <row r="95">
      <c r="A95" s="23" t="n">
        <v>55</v>
      </c>
      <c r="B95" s="23" t="inlineStr">
        <is>
          <t>01/14/2025</t>
        </is>
      </c>
      <c r="C95" s="23" t="inlineStr">
        <is>
          <t>LIZZETTE MEDINA &amp; COMPANY</t>
        </is>
      </c>
      <c r="D95" s="23" t="inlineStr">
        <is>
          <t>38-DEPARTMENT OF FLEET AND FACILITY MANAGEMENT</t>
        </is>
      </c>
      <c r="E95" s="23" t="inlineStr">
        <is>
          <t>38-2FM</t>
        </is>
      </c>
      <c r="F95" s="24" t="n">
        <v>113172.29</v>
      </c>
      <c r="G95" s="23" t="inlineStr">
        <is>
          <t>APPROVED</t>
        </is>
      </c>
      <c r="H95" s="23" t="inlineStr">
        <is>
          <t>LIZZETTE 56979506 A  JS/Akyesha H/Multiple Inv/$113,172.29/Nov Landscaping</t>
        </is>
      </c>
    </row>
    <row r="96">
      <c r="A96" s="23" t="n">
        <v>56</v>
      </c>
      <c r="B96" s="23" t="inlineStr">
        <is>
          <t>01/15/2025</t>
        </is>
      </c>
      <c r="C96" s="23" t="inlineStr">
        <is>
          <t>LIZZETTE MEDINA &amp; COMPANY</t>
        </is>
      </c>
      <c r="D96" s="23" t="inlineStr">
        <is>
          <t>38-DEPARTMENT OF FLEET AND FACILITY MANAGEMENT</t>
        </is>
      </c>
      <c r="E96" s="23" t="inlineStr">
        <is>
          <t>38-2FM</t>
        </is>
      </c>
      <c r="F96" s="24" t="n">
        <v>274221.34</v>
      </c>
      <c r="G96" s="23" t="inlineStr">
        <is>
          <t>APPROVED</t>
        </is>
      </c>
      <c r="H96" s="23" t="inlineStr">
        <is>
          <t>LIZZETTE 56979506 B  JS/Akyesha H/Multiple Inv/$274,221.34/Jun-Sept Misc</t>
        </is>
      </c>
    </row>
    <row r="97">
      <c r="A97" s="23" t="n">
        <v>57</v>
      </c>
      <c r="B97" s="23" t="inlineStr">
        <is>
          <t>01/16/2025</t>
        </is>
      </c>
      <c r="C97" s="23" t="inlineStr">
        <is>
          <t>LIZZETTE MEDINA &amp; COMPANY</t>
        </is>
      </c>
      <c r="D97" s="23" t="inlineStr">
        <is>
          <t>38-DEPARTMENT OF FLEET AND FACILITY MANAGEMENT</t>
        </is>
      </c>
      <c r="E97" s="23" t="inlineStr">
        <is>
          <t>38-2FM</t>
        </is>
      </c>
      <c r="F97" s="24" t="n">
        <v>80559.12</v>
      </c>
      <c r="G97" s="23" t="inlineStr">
        <is>
          <t>APPROVED</t>
        </is>
      </c>
      <c r="H97" s="23" t="inlineStr">
        <is>
          <t>LIZZETTE 56979506 B  JS/Akyesha H/6 INV/$80,559.12/Landscaping</t>
        </is>
      </c>
    </row>
    <row r="98">
      <c r="A98" s="23" t="n">
        <v>58</v>
      </c>
      <c r="B98" s="23" t="inlineStr">
        <is>
          <t>01/27/2025</t>
        </is>
      </c>
      <c r="C98" s="23" t="inlineStr">
        <is>
          <t>CHRISTY WEBBER LANDSCAPES</t>
        </is>
      </c>
      <c r="D98" s="23" t="inlineStr">
        <is>
          <t>84-CHICAGO DEPARTMENT OF TRANSPORTATION</t>
        </is>
      </c>
      <c r="E98" s="23" t="inlineStr">
        <is>
          <t>84-CDOT</t>
        </is>
      </c>
      <c r="F98" s="24" t="n">
        <v>23370.83</v>
      </c>
      <c r="G98" s="23" t="inlineStr">
        <is>
          <t>APPROVED</t>
        </is>
      </c>
      <c r="H98" s="23" t="inlineStr">
        <is>
          <t>Landscaping Services Regions 2 and 6</t>
        </is>
      </c>
    </row>
    <row r="99">
      <c r="A99" s="23" t="n">
        <v>59</v>
      </c>
      <c r="B99" s="23" t="inlineStr">
        <is>
          <t>01/28/2025</t>
        </is>
      </c>
      <c r="C99" s="23" t="inlineStr">
        <is>
          <t>LIZZETTE MEDINA &amp; COMPANY</t>
        </is>
      </c>
      <c r="D99" s="23" t="inlineStr">
        <is>
          <t>84-CHICAGO DEPARTMENT OF TRANSPORTATION</t>
        </is>
      </c>
      <c r="E99" s="23" t="inlineStr">
        <is>
          <t>84-CDOT</t>
        </is>
      </c>
      <c r="F99" s="24" t="n">
        <v>41427.17</v>
      </c>
      <c r="G99" s="23" t="inlineStr">
        <is>
          <t>APPROVED</t>
        </is>
      </c>
      <c r="H99" s="23" t="inlineStr">
        <is>
          <t>Landscaping Maintenance Region 3 and 5</t>
        </is>
      </c>
    </row>
    <row r="100">
      <c r="A100" s="23" t="n">
        <v>60</v>
      </c>
      <c r="B100" s="23" t="inlineStr">
        <is>
          <t>01/28/2025</t>
        </is>
      </c>
      <c r="C100" s="23" t="inlineStr">
        <is>
          <t>MOORE LANDSCAPES LLC</t>
        </is>
      </c>
      <c r="D100" s="23" t="inlineStr">
        <is>
          <t>84-CHICAGO DEPARTMENT OF TRANSPORTATION</t>
        </is>
      </c>
      <c r="E100" s="23" t="inlineStr">
        <is>
          <t>84-CDOT</t>
        </is>
      </c>
      <c r="F100" s="24" t="n">
        <v>160717.4</v>
      </c>
      <c r="G100" s="23" t="inlineStr">
        <is>
          <t>APPROVED</t>
        </is>
      </c>
      <c r="H100" s="23" t="inlineStr">
        <is>
          <t>North and South LSD Landscape Maintenance</t>
        </is>
      </c>
    </row>
    <row r="101">
      <c r="A101" s="23" t="n">
        <v>61</v>
      </c>
      <c r="B101" s="23" t="inlineStr">
        <is>
          <t>01/28/2025</t>
        </is>
      </c>
      <c r="C101" s="23" t="inlineStr">
        <is>
          <t>A SAFE HAVEN FOUNDATION</t>
        </is>
      </c>
      <c r="D101" s="23" t="inlineStr">
        <is>
          <t>84-CHICAGO DEPARTMENT OF TRANSPORTATION</t>
        </is>
      </c>
      <c r="E101" s="23" t="inlineStr">
        <is>
          <t>84-CDOT</t>
        </is>
      </c>
      <c r="F101" s="24" t="n">
        <v>35692.33</v>
      </c>
      <c r="G101" s="23" t="inlineStr">
        <is>
          <t>APPROVED</t>
        </is>
      </c>
      <c r="H101" s="23" t="inlineStr">
        <is>
          <t>Landscape Maintenance Services</t>
        </is>
      </c>
    </row>
    <row r="102">
      <c r="A102" s="23" t="n">
        <v>62</v>
      </c>
      <c r="B102" s="23" t="inlineStr">
        <is>
          <t>03/18/2025</t>
        </is>
      </c>
      <c r="C102" s="23" t="inlineStr">
        <is>
          <t>MOORE LANDSCAPES LLC</t>
        </is>
      </c>
      <c r="D102" s="23" t="inlineStr">
        <is>
          <t>84-CHICAGO DEPARTMENT OF TRANSPORTATION</t>
        </is>
      </c>
      <c r="E102" s="23" t="inlineStr">
        <is>
          <t>84-CDOT</t>
        </is>
      </c>
      <c r="F102" s="24" t="n">
        <v>14414.4</v>
      </c>
      <c r="G102" s="23" t="inlineStr">
        <is>
          <t>APPROVED</t>
        </is>
      </c>
      <c r="H102" s="23" t="inlineStr">
        <is>
          <t>North &amp; South LSD Landscape Maintenance</t>
        </is>
      </c>
    </row>
    <row r="103">
      <c r="A103" s="23" t="n">
        <v>63</v>
      </c>
      <c r="B103" s="23" t="inlineStr">
        <is>
          <t>03/25/2025</t>
        </is>
      </c>
      <c r="C103" s="23" t="inlineStr">
        <is>
          <t>MOORE LANDSCAPES LLC</t>
        </is>
      </c>
      <c r="D103" s="23" t="inlineStr">
        <is>
          <t>84-CHICAGO DEPARTMENT OF TRANSPORTATION</t>
        </is>
      </c>
      <c r="E103" s="23" t="inlineStr">
        <is>
          <t>84-CDOT</t>
        </is>
      </c>
      <c r="F103" s="24" t="n">
        <v>23100</v>
      </c>
      <c r="G103" s="23" t="inlineStr">
        <is>
          <t>APPROVED</t>
        </is>
      </c>
      <c r="H103" s="23" t="inlineStr">
        <is>
          <t>Landscape Services North &amp; South LSD FEB 2025</t>
        </is>
      </c>
    </row>
    <row r="104">
      <c r="A104" s="23" t="n">
        <v>64</v>
      </c>
      <c r="B104" s="23" t="inlineStr">
        <is>
          <t>03/25/2025</t>
        </is>
      </c>
      <c r="C104" s="23" t="inlineStr">
        <is>
          <t>A SAFE HAVEN FOUNDATION</t>
        </is>
      </c>
      <c r="D104" s="23" t="inlineStr">
        <is>
          <t>84-CHICAGO DEPARTMENT OF TRANSPORTATION</t>
        </is>
      </c>
      <c r="E104" s="23" t="inlineStr">
        <is>
          <t>84-CDOT</t>
        </is>
      </c>
      <c r="F104" s="24" t="n">
        <v>3731.25</v>
      </c>
      <c r="G104" s="23" t="inlineStr">
        <is>
          <t>APPROVED</t>
        </is>
      </c>
      <c r="H104" s="23" t="inlineStr">
        <is>
          <t>Comprehensive Landscape Services - Region I</t>
        </is>
      </c>
    </row>
    <row r="105">
      <c r="A105" s="23" t="n">
        <v>65</v>
      </c>
      <c r="B105" s="23" t="inlineStr">
        <is>
          <t>05/05/2025</t>
        </is>
      </c>
      <c r="C105" s="23" t="inlineStr">
        <is>
          <t>MOORE LANDSCAPES LLC</t>
        </is>
      </c>
      <c r="D105" s="23" t="inlineStr">
        <is>
          <t>84-CHICAGO DEPARTMENT OF TRANSPORTATION</t>
        </is>
      </c>
      <c r="E105" s="23" t="inlineStr">
        <is>
          <t>84-CDOT</t>
        </is>
      </c>
      <c r="F105" s="24" t="n">
        <v>54885.6</v>
      </c>
      <c r="G105" s="23" t="inlineStr">
        <is>
          <t>APPROVED</t>
        </is>
      </c>
      <c r="H105" s="23" t="inlineStr">
        <is>
          <t>North &amp; South LSD Landscape Maintenance / March</t>
        </is>
      </c>
    </row>
    <row r="106">
      <c r="A106" s="23" t="n">
        <v>66</v>
      </c>
      <c r="B106" s="23" t="inlineStr">
        <is>
          <t>07/02/2025</t>
        </is>
      </c>
      <c r="C106" s="23" t="inlineStr">
        <is>
          <t>A SAFE HAVEN FOUNDATION</t>
        </is>
      </c>
      <c r="D106" s="23" t="inlineStr">
        <is>
          <t>84-CHICAGO DEPARTMENT OF TRANSPORTATION</t>
        </is>
      </c>
      <c r="E106" s="23" t="inlineStr">
        <is>
          <t>84-CDOT</t>
        </is>
      </c>
      <c r="F106" s="24" t="n">
        <v>60321.67</v>
      </c>
      <c r="G106" s="23" t="inlineStr">
        <is>
          <t>APPROVED</t>
        </is>
      </c>
      <c r="H106" s="23" t="inlineStr">
        <is>
          <t>Landscape Maintenance Services - April 2025</t>
        </is>
      </c>
    </row>
    <row r="107">
      <c r="A107" s="23" t="n">
        <v>67</v>
      </c>
      <c r="B107" s="23" t="inlineStr">
        <is>
          <t>07/02/2025</t>
        </is>
      </c>
      <c r="C107" s="23" t="inlineStr">
        <is>
          <t>CHRISTY WEBBER LANDSCAPES</t>
        </is>
      </c>
      <c r="D107" s="23" t="inlineStr">
        <is>
          <t>84-CHICAGO DEPARTMENT OF TRANSPORTATION</t>
        </is>
      </c>
      <c r="E107" s="23" t="inlineStr">
        <is>
          <t>84-CDOT</t>
        </is>
      </c>
      <c r="F107" s="24" t="n">
        <v>13696.72</v>
      </c>
      <c r="G107" s="23" t="inlineStr">
        <is>
          <t>APPROVED</t>
        </is>
      </c>
      <c r="H107" s="23" t="inlineStr">
        <is>
          <t>Landscape Maintenance Services Regions 2 and 6</t>
        </is>
      </c>
    </row>
    <row r="108">
      <c r="A108" s="23" t="n">
        <v>68</v>
      </c>
      <c r="B108" s="23" t="inlineStr">
        <is>
          <t>07/02/2025</t>
        </is>
      </c>
      <c r="C108" s="23" t="inlineStr">
        <is>
          <t>LIZZETTE MEDINA &amp; COMPANY</t>
        </is>
      </c>
      <c r="D108" s="23" t="inlineStr">
        <is>
          <t>84-CHICAGO DEPARTMENT OF TRANSPORTATION</t>
        </is>
      </c>
      <c r="E108" s="23" t="inlineStr">
        <is>
          <t>84-CDOT</t>
        </is>
      </c>
      <c r="F108" s="24" t="n">
        <v>38950.99</v>
      </c>
      <c r="G108" s="23" t="inlineStr">
        <is>
          <t>APPROVED</t>
        </is>
      </c>
      <c r="H108" s="23" t="inlineStr">
        <is>
          <t>Landscape Maintenance Regions 3 and 5</t>
        </is>
      </c>
    </row>
    <row r="109">
      <c r="A109" s="23" t="n">
        <v>69</v>
      </c>
      <c r="B109" s="23" t="inlineStr">
        <is>
          <t>08/04/2025</t>
        </is>
      </c>
      <c r="C109" s="23" t="inlineStr">
        <is>
          <t>Yellowstone Landscape, Inc</t>
        </is>
      </c>
      <c r="D109" s="23" t="inlineStr">
        <is>
          <t>84-CHICAGO DEPARTMENT OF TRANSPORTATION</t>
        </is>
      </c>
      <c r="E109" s="23" t="inlineStr">
        <is>
          <t>84-CDOT</t>
        </is>
      </c>
      <c r="F109" s="24" t="n">
        <v>97254.96000000001</v>
      </c>
      <c r="G109" s="23" t="inlineStr">
        <is>
          <t>APPROVED</t>
        </is>
      </c>
      <c r="H109" s="23" t="inlineStr">
        <is>
          <t>Landscape Services North &amp; South LSD</t>
        </is>
      </c>
    </row>
    <row r="110">
      <c r="A110" s="23" t="n">
        <v>70</v>
      </c>
      <c r="B110" s="23" t="inlineStr">
        <is>
          <t>08/07/2025</t>
        </is>
      </c>
      <c r="C110" s="23" t="inlineStr">
        <is>
          <t>A SAFE HAVEN FOUNDATION</t>
        </is>
      </c>
      <c r="D110" s="23" t="inlineStr">
        <is>
          <t>84-CHICAGO DEPARTMENT OF TRANSPORTATION</t>
        </is>
      </c>
      <c r="E110" s="23" t="inlineStr">
        <is>
          <t>84-CDOT</t>
        </is>
      </c>
      <c r="F110" s="24" t="n">
        <v>63439.59</v>
      </c>
      <c r="G110" s="23" t="inlineStr">
        <is>
          <t>APPROVED</t>
        </is>
      </c>
      <c r="H110" s="23" t="inlineStr">
        <is>
          <t>Landscape Maintenance Services October Region 1</t>
        </is>
      </c>
    </row>
    <row r="111">
      <c r="A111" s="23" t="n">
        <v>71</v>
      </c>
      <c r="B111" s="23" t="inlineStr">
        <is>
          <t>08/07/2025</t>
        </is>
      </c>
      <c r="C111" s="23" t="inlineStr">
        <is>
          <t>LIZZETTE MEDINA &amp; COMPANY</t>
        </is>
      </c>
      <c r="D111" s="23" t="inlineStr">
        <is>
          <t>84-CHICAGO DEPARTMENT OF TRANSPORTATION</t>
        </is>
      </c>
      <c r="E111" s="23" t="inlineStr">
        <is>
          <t>84-CDOT</t>
        </is>
      </c>
      <c r="F111" s="24" t="n">
        <v>27920.48</v>
      </c>
      <c r="G111" s="23" t="inlineStr">
        <is>
          <t>APPROVED</t>
        </is>
      </c>
      <c r="H111" s="23" t="inlineStr">
        <is>
          <t>CITYWIDE COMPREHENSIVE LANDSCAPE SERVICES, REGIONS III &amp; V</t>
        </is>
      </c>
    </row>
    <row r="112">
      <c r="A112" s="23" t="n">
        <v>72</v>
      </c>
      <c r="B112" s="23" t="inlineStr">
        <is>
          <t>08/08/2025</t>
        </is>
      </c>
      <c r="C112" s="23" t="inlineStr">
        <is>
          <t>CHRISTY WEBBER LANDSCAPES</t>
        </is>
      </c>
      <c r="D112" s="23" t="inlineStr">
        <is>
          <t>84-CHICAGO DEPARTMENT OF TRANSPORTATION</t>
        </is>
      </c>
      <c r="E112" s="23" t="inlineStr">
        <is>
          <t>84-CDOT</t>
        </is>
      </c>
      <c r="F112" s="24" t="n">
        <v>27194.88</v>
      </c>
      <c r="G112" s="23" t="inlineStr">
        <is>
          <t>APPROVED</t>
        </is>
      </c>
      <c r="H112" s="23" t="inlineStr">
        <is>
          <t>Landscaping Services Regions 2 and 6</t>
        </is>
      </c>
    </row>
    <row r="113">
      <c r="A113" s="23" t="n">
        <v>73</v>
      </c>
      <c r="B113" s="23" t="inlineStr">
        <is>
          <t>08/18/2025</t>
        </is>
      </c>
      <c r="C113" s="23" t="inlineStr">
        <is>
          <t>A SAFE HAVEN FOUNDATION</t>
        </is>
      </c>
      <c r="D113" s="23" t="inlineStr">
        <is>
          <t>84-CHICAGO DEPARTMENT OF TRANSPORTATION</t>
        </is>
      </c>
      <c r="E113" s="23" t="inlineStr">
        <is>
          <t>84-CDOT</t>
        </is>
      </c>
      <c r="F113" s="24" t="n">
        <v>56152.36</v>
      </c>
      <c r="G113" s="23" t="inlineStr">
        <is>
          <t>APPROVED</t>
        </is>
      </c>
      <c r="H113" s="23" t="inlineStr">
        <is>
          <t>Landscape Maintenance Services  Region 1</t>
        </is>
      </c>
    </row>
    <row r="114">
      <c r="A114" s="23" t="n">
        <v>74</v>
      </c>
      <c r="B114" s="23" t="inlineStr">
        <is>
          <t>08/18/2025</t>
        </is>
      </c>
      <c r="C114" s="23" t="inlineStr">
        <is>
          <t>LIZZETTE MEDINA &amp; COMPANY</t>
        </is>
      </c>
      <c r="D114" s="23" t="inlineStr">
        <is>
          <t>84-CHICAGO DEPARTMENT OF TRANSPORTATION</t>
        </is>
      </c>
      <c r="E114" s="23" t="inlineStr">
        <is>
          <t>84-CDOT</t>
        </is>
      </c>
      <c r="F114" s="24" t="n">
        <v>35411.89</v>
      </c>
      <c r="G114" s="23" t="inlineStr">
        <is>
          <t>APPROVED</t>
        </is>
      </c>
      <c r="H114" s="23" t="inlineStr">
        <is>
          <t>LANDSCAPE SERVICES, REGIONS III &amp; V</t>
        </is>
      </c>
    </row>
    <row r="115">
      <c r="A115" s="23" t="n">
        <v>75</v>
      </c>
      <c r="B115" s="23" t="inlineStr">
        <is>
          <t>08/18/2025</t>
        </is>
      </c>
      <c r="C115" s="23" t="inlineStr">
        <is>
          <t>Yellowstone Landscape, Inc</t>
        </is>
      </c>
      <c r="D115" s="23" t="inlineStr">
        <is>
          <t>84-CHICAGO DEPARTMENT OF TRANSPORTATION</t>
        </is>
      </c>
      <c r="E115" s="23" t="inlineStr">
        <is>
          <t>84-CDOT</t>
        </is>
      </c>
      <c r="F115" s="24" t="n">
        <v>97254.96000000001</v>
      </c>
      <c r="G115" s="23" t="inlineStr">
        <is>
          <t>APPROVED</t>
        </is>
      </c>
      <c r="H115" s="23" t="inlineStr">
        <is>
          <t>Landscape Services North &amp; South LSD</t>
        </is>
      </c>
    </row>
    <row r="116">
      <c r="A116" s="23" t="n">
        <v>76</v>
      </c>
      <c r="B116" s="23" t="inlineStr">
        <is>
          <t>08/18/2025</t>
        </is>
      </c>
      <c r="C116" s="23" t="inlineStr">
        <is>
          <t>CHRISTY WEBBER LANDSCAPES</t>
        </is>
      </c>
      <c r="D116" s="23" t="inlineStr">
        <is>
          <t>84-CHICAGO DEPARTMENT OF TRANSPORTATION</t>
        </is>
      </c>
      <c r="E116" s="23" t="inlineStr">
        <is>
          <t>84-CDOT</t>
        </is>
      </c>
      <c r="F116" s="24" t="n">
        <v>1336</v>
      </c>
      <c r="G116" s="23" t="inlineStr">
        <is>
          <t>APPROVED</t>
        </is>
      </c>
      <c r="H116" s="23" t="inlineStr">
        <is>
          <t>Landscaping Services Regions 2 and 6</t>
        </is>
      </c>
    </row>
    <row r="117">
      <c r="A117" s="23" t="n">
        <v>77</v>
      </c>
      <c r="B117" s="23" t="inlineStr">
        <is>
          <t>08/18/2025</t>
        </is>
      </c>
      <c r="C117" s="23" t="inlineStr">
        <is>
          <t>CHRISTY WEBBER LANDSCAPES</t>
        </is>
      </c>
      <c r="D117" s="23" t="inlineStr">
        <is>
          <t>84-CHICAGO DEPARTMENT OF TRANSPORTATION</t>
        </is>
      </c>
      <c r="E117" s="23" t="inlineStr">
        <is>
          <t>84-CDOT</t>
        </is>
      </c>
      <c r="F117" s="24" t="n">
        <v>19571.44</v>
      </c>
      <c r="G117" s="23" t="inlineStr">
        <is>
          <t>APPROVED</t>
        </is>
      </c>
      <c r="H117" s="23" t="inlineStr">
        <is>
          <t>Landscaping Services Regions 2 and 6</t>
        </is>
      </c>
    </row>
    <row r="118">
      <c r="A118" s="23" t="n">
        <v>78</v>
      </c>
      <c r="B118" s="23" t="inlineStr">
        <is>
          <t>08/21/2025</t>
        </is>
      </c>
      <c r="C118" s="23" t="inlineStr">
        <is>
          <t>Yellowstone Landscape, Inc</t>
        </is>
      </c>
      <c r="D118" s="23" t="inlineStr">
        <is>
          <t>84-CHICAGO DEPARTMENT OF TRANSPORTATION</t>
        </is>
      </c>
      <c r="E118" s="23" t="inlineStr">
        <is>
          <t>84-CDOT</t>
        </is>
      </c>
      <c r="F118" s="24" t="n">
        <v>100202.08</v>
      </c>
      <c r="G118" s="23" t="inlineStr">
        <is>
          <t>APPROVED</t>
        </is>
      </c>
      <c r="H118" s="23" t="inlineStr">
        <is>
          <t>Landscape Services North &amp; South LSD</t>
        </is>
      </c>
    </row>
    <row r="119">
      <c r="A119" s="23" t="n">
        <v>79</v>
      </c>
      <c r="B119" s="23" t="inlineStr">
        <is>
          <t>08/27/2025</t>
        </is>
      </c>
      <c r="C119" s="23" t="inlineStr">
        <is>
          <t>A SAFE HAVEN FOUNDATION</t>
        </is>
      </c>
      <c r="D119" s="23" t="inlineStr">
        <is>
          <t>84-CHICAGO DEPARTMENT OF TRANSPORTATION</t>
        </is>
      </c>
      <c r="E119" s="23" t="inlineStr">
        <is>
          <t>84-CDOT</t>
        </is>
      </c>
      <c r="F119" s="24" t="n">
        <v>2090</v>
      </c>
      <c r="G119" s="23" t="inlineStr">
        <is>
          <t>APPROVED</t>
        </is>
      </c>
      <c r="H119" s="23" t="inlineStr">
        <is>
          <t>Landscape Maintenance Services</t>
        </is>
      </c>
    </row>
    <row r="120">
      <c r="A120" s="23" t="n">
        <v>80</v>
      </c>
      <c r="B120" s="23" t="inlineStr">
        <is>
          <t>08/27/2025</t>
        </is>
      </c>
      <c r="C120" s="23" t="inlineStr">
        <is>
          <t>A SAFE HAVEN FOUNDATION</t>
        </is>
      </c>
      <c r="D120" s="23" t="inlineStr">
        <is>
          <t>38-DEPARTMENT OF FLEET AND FACILITY MANAGEMENT</t>
        </is>
      </c>
      <c r="E120" s="23" t="inlineStr">
        <is>
          <t>38-2FM</t>
        </is>
      </c>
      <c r="F120" s="24" t="n">
        <v>156832.92</v>
      </c>
      <c r="G120" s="23" t="inlineStr">
        <is>
          <t>APPROVED</t>
        </is>
      </c>
      <c r="H120" s="23" t="inlineStr">
        <is>
          <t>CDOT Lead Dept. 2FM utlized PO#30816 for Citywide Comprehensive Landscape Servic</t>
        </is>
      </c>
    </row>
    <row r="121">
      <c r="A121" s="23" t="n">
        <v>81</v>
      </c>
      <c r="B121" s="23" t="inlineStr">
        <is>
          <t>09/08/2025</t>
        </is>
      </c>
      <c r="C121" s="23" t="inlineStr">
        <is>
          <t>CHRISTY WEBBER LANDSCAPES</t>
        </is>
      </c>
      <c r="D121" s="23" t="inlineStr">
        <is>
          <t>38-DEPARTMENT OF FLEET AND FACILITY MANAGEMENT</t>
        </is>
      </c>
      <c r="E121" s="23" t="inlineStr">
        <is>
          <t>38-2FM</t>
        </is>
      </c>
      <c r="F121" s="24" t="n">
        <v>0</v>
      </c>
      <c r="G121" s="23" t="inlineStr">
        <is>
          <t>APPROVED</t>
        </is>
      </c>
      <c r="H121" s="23" t="inlineStr">
        <is>
          <t>CHRISTY 1060451 JT - AKEYSHA MAY &amp; JUNE 2025 16 INVS $ 167,914.51</t>
        </is>
      </c>
    </row>
    <row r="122">
      <c r="A122" s="23" t="n">
        <v>82</v>
      </c>
      <c r="B122" s="23" t="inlineStr">
        <is>
          <t>09/10/2025</t>
        </is>
      </c>
      <c r="C122" s="23" t="inlineStr">
        <is>
          <t>A SAFE HAVEN FOUNDATION</t>
        </is>
      </c>
      <c r="D122" s="23" t="inlineStr">
        <is>
          <t>38-DEPARTMENT OF FLEET AND FACILITY MANAGEMENT</t>
        </is>
      </c>
      <c r="E122" s="23" t="inlineStr">
        <is>
          <t>38-2FM</t>
        </is>
      </c>
      <c r="F122" s="24" t="n">
        <v>26579</v>
      </c>
      <c r="G122" s="23" t="inlineStr">
        <is>
          <t>APPROVED</t>
        </is>
      </c>
      <c r="H122" s="23" t="inlineStr">
        <is>
          <t>A SAFE HAVEN 50074290 A   JS/ AH/ JULY/ 9 INV/ $26,579.00</t>
        </is>
      </c>
    </row>
    <row r="123">
      <c r="A123" s="23" t="n">
        <v>83</v>
      </c>
      <c r="B123" s="23" t="inlineStr">
        <is>
          <t>09/12/2025</t>
        </is>
      </c>
      <c r="C123" s="23" t="inlineStr">
        <is>
          <t>LIZZETTE MEDINA &amp; COMPANY</t>
        </is>
      </c>
      <c r="D123" s="23" t="inlineStr">
        <is>
          <t>38-DEPARTMENT OF FLEET AND FACILITY MANAGEMENT</t>
        </is>
      </c>
      <c r="E123" s="23" t="inlineStr">
        <is>
          <t>38-2FM</t>
        </is>
      </c>
      <c r="F123" s="24" t="n">
        <v>108920.56</v>
      </c>
      <c r="G123" s="23" t="inlineStr">
        <is>
          <t>APPROVED</t>
        </is>
      </c>
      <c r="H123" s="23" t="inlineStr">
        <is>
          <t>Lizzette Medina 56979506 TB/AH/14 Invoices/$108,920.56</t>
        </is>
      </c>
    </row>
    <row r="124">
      <c r="A124" s="23" t="n">
        <v>84</v>
      </c>
      <c r="B124" s="23" t="inlineStr">
        <is>
          <t>09/12/2025</t>
        </is>
      </c>
      <c r="C124" s="23" t="inlineStr">
        <is>
          <t>CITYESCAPE GARDEN &amp; DESIGN,LLC</t>
        </is>
      </c>
      <c r="D124" s="23" t="inlineStr">
        <is>
          <t>85-CHICAGO DEPARTMENT OF AVIATION</t>
        </is>
      </c>
      <c r="E124" s="23" t="inlineStr">
        <is>
          <t>85-CDA</t>
        </is>
      </c>
      <c r="F124" s="24" t="n">
        <v>5764.89</v>
      </c>
      <c r="G124" s="23" t="inlineStr">
        <is>
          <t>APPROVED</t>
        </is>
      </c>
      <c r="H124" s="23" t="inlineStr">
        <is>
          <t>Irrigation System repairs associated with check-throughs #2 and #3. Two invoices</t>
        </is>
      </c>
    </row>
    <row r="125">
      <c r="A125" s="23" t="n">
        <v>85</v>
      </c>
      <c r="B125" s="23" t="inlineStr">
        <is>
          <t>09/12/2025</t>
        </is>
      </c>
      <c r="C125" s="23" t="inlineStr">
        <is>
          <t>CITYESCAPE GARDEN &amp; DESIGN,LLC</t>
        </is>
      </c>
      <c r="D125" s="23" t="inlineStr">
        <is>
          <t>85-CHICAGO DEPARTMENT OF AVIATION</t>
        </is>
      </c>
      <c r="E125" s="23" t="inlineStr">
        <is>
          <t>85-CDA</t>
        </is>
      </c>
      <c r="F125" s="24" t="n">
        <v>75378.86</v>
      </c>
      <c r="G125" s="23" t="inlineStr">
        <is>
          <t>APPROVED</t>
        </is>
      </c>
      <c r="H125" s="23" t="inlineStr">
        <is>
          <t>Invoice# 14772    Comprehensive Landscape Maintenance at O'Hare for the month of</t>
        </is>
      </c>
    </row>
    <row r="126">
      <c r="A126" s="23" t="n">
        <v>86</v>
      </c>
      <c r="B126" s="23" t="inlineStr">
        <is>
          <t>09/30/2025</t>
        </is>
      </c>
      <c r="C126" s="23" t="inlineStr">
        <is>
          <t>A SAFE HAVEN FOUNDATION</t>
        </is>
      </c>
      <c r="D126" s="23" t="inlineStr">
        <is>
          <t>84-CHICAGO DEPARTMENT OF TRANSPORTATION</t>
        </is>
      </c>
      <c r="E126" s="23" t="inlineStr">
        <is>
          <t>84-CDOT</t>
        </is>
      </c>
      <c r="F126" s="24" t="n">
        <v>77040.42</v>
      </c>
      <c r="G126" s="23" t="inlineStr">
        <is>
          <t>APPROVED</t>
        </is>
      </c>
      <c r="H126" s="23" t="inlineStr">
        <is>
          <t>LANDSCAPE MAINTENANCE SERVICES-JULY 2025</t>
        </is>
      </c>
    </row>
    <row r="127">
      <c r="A127" s="23" t="n">
        <v>87</v>
      </c>
      <c r="B127" s="23" t="inlineStr">
        <is>
          <t>09/30/2025</t>
        </is>
      </c>
      <c r="C127" s="23" t="inlineStr">
        <is>
          <t>CHRISTY WEBBER LANDSCAPES</t>
        </is>
      </c>
      <c r="D127" s="23" t="inlineStr">
        <is>
          <t>84-CHICAGO DEPARTMENT OF TRANSPORTATION</t>
        </is>
      </c>
      <c r="E127" s="23" t="inlineStr">
        <is>
          <t>84-CDOT</t>
        </is>
      </c>
      <c r="F127" s="24" t="n">
        <v>18811.54</v>
      </c>
      <c r="G127" s="23" t="inlineStr">
        <is>
          <t>APPROVED</t>
        </is>
      </c>
      <c r="H127" s="23" t="inlineStr">
        <is>
          <t>Landscaping Services Regions 2 and 6</t>
        </is>
      </c>
    </row>
    <row r="128">
      <c r="A128" s="23" t="n">
        <v>88</v>
      </c>
      <c r="B128" s="23" t="inlineStr">
        <is>
          <t>09/30/2025</t>
        </is>
      </c>
      <c r="C128" s="23" t="inlineStr">
        <is>
          <t>LIZZETTE MEDINA &amp; COMPANY</t>
        </is>
      </c>
      <c r="D128" s="23" t="inlineStr">
        <is>
          <t>84-CHICAGO DEPARTMENT OF TRANSPORTATION</t>
        </is>
      </c>
      <c r="E128" s="23" t="inlineStr">
        <is>
          <t>84-CDOT</t>
        </is>
      </c>
      <c r="F128" s="24" t="n">
        <v>31912.53</v>
      </c>
      <c r="G128" s="23" t="inlineStr">
        <is>
          <t>APPROVED</t>
        </is>
      </c>
      <c r="H128" s="23" t="inlineStr">
        <is>
          <t>LANDSCAPE SERVICES, REGIONS III &amp; V</t>
        </is>
      </c>
    </row>
    <row r="129">
      <c r="A129" s="23" t="n">
        <v>89</v>
      </c>
      <c r="B129" s="23" t="inlineStr">
        <is>
          <t>10/02/2025</t>
        </is>
      </c>
      <c r="C129" s="23" t="inlineStr">
        <is>
          <t>CHRISTY WEBBER LANDSCAPES</t>
        </is>
      </c>
      <c r="D129" s="23" t="inlineStr">
        <is>
          <t>38-DEPARTMENT OF FLEET AND FACILITY MANAGEMENT</t>
        </is>
      </c>
      <c r="E129" s="23" t="inlineStr">
        <is>
          <t>38-2FM</t>
        </is>
      </c>
      <c r="F129" s="24" t="n">
        <v>167914.51</v>
      </c>
      <c r="G129" s="23" t="inlineStr">
        <is>
          <t>APPROVED</t>
        </is>
      </c>
      <c r="H129" s="23" t="inlineStr">
        <is>
          <t>Christy Webber 1060451 A  JS/ AH/ 16-INVOICES/ $167,914.51/ MAY &amp; JUNE</t>
        </is>
      </c>
    </row>
    <row r="130">
      <c r="A130" s="23" t="n">
        <v>90</v>
      </c>
      <c r="B130" s="23" t="inlineStr">
        <is>
          <t>10/02/2025</t>
        </is>
      </c>
      <c r="C130" s="23" t="inlineStr">
        <is>
          <t>A SAFE HAVEN FOUNDATION</t>
        </is>
      </c>
      <c r="D130" s="23" t="inlineStr">
        <is>
          <t>38-DEPARTMENT OF FLEET AND FACILITY MANAGEMENT</t>
        </is>
      </c>
      <c r="E130" s="23" t="inlineStr">
        <is>
          <t>38-2FM</t>
        </is>
      </c>
      <c r="F130" s="24" t="n">
        <v>75343.48</v>
      </c>
      <c r="G130" s="23" t="inlineStr">
        <is>
          <t>APPROVED</t>
        </is>
      </c>
      <c r="H130" s="23" t="inlineStr">
        <is>
          <t>A SAFE HAVEN 50074290 JT-AH Remaining past due 4 invoices $ 75,343.48</t>
        </is>
      </c>
    </row>
    <row r="131">
      <c r="A131" s="23" t="n">
        <v>91</v>
      </c>
      <c r="B131" s="23" t="inlineStr">
        <is>
          <t>10/09/2025</t>
        </is>
      </c>
      <c r="C131" s="23" t="inlineStr">
        <is>
          <t>LIZZETTE MEDINA &amp; COMPANY</t>
        </is>
      </c>
      <c r="D131" s="23" t="inlineStr">
        <is>
          <t>38-DEPARTMENT OF FLEET AND FACILITY MANAGEMENT</t>
        </is>
      </c>
      <c r="E131" s="23" t="inlineStr">
        <is>
          <t>38-2FM</t>
        </is>
      </c>
      <c r="F131" s="24" t="n">
        <v>208342.05</v>
      </c>
      <c r="G131" s="23" t="inlineStr">
        <is>
          <t>APPROVED</t>
        </is>
      </c>
      <c r="H131" s="23" t="inlineStr">
        <is>
          <t>Lizzette Medina 56979506 B   JS/ AH/ 42 INVOICES/ $208,342.05/ APR-JUN/ 2FM &amp; CP</t>
        </is>
      </c>
    </row>
    <row r="132">
      <c r="A132" s="23" t="n">
        <v>92</v>
      </c>
      <c r="B132" s="23" t="inlineStr">
        <is>
          <t>10/09/2025</t>
        </is>
      </c>
      <c r="C132" s="23" t="inlineStr">
        <is>
          <t>LIZZETTE MEDINA &amp; COMPANY</t>
        </is>
      </c>
      <c r="D132" s="23" t="inlineStr">
        <is>
          <t>38-DEPARTMENT OF FLEET AND FACILITY MANAGEMENT</t>
        </is>
      </c>
      <c r="E132" s="23" t="inlineStr">
        <is>
          <t>38-2FM</t>
        </is>
      </c>
      <c r="F132" s="24" t="n">
        <v>212979.2</v>
      </c>
      <c r="G132" s="23" t="inlineStr">
        <is>
          <t>APPROVED</t>
        </is>
      </c>
      <c r="H132" s="23" t="inlineStr">
        <is>
          <t>CDOT Lead Dept. 2FM utlizes PO#32556 for Citywide Comprehensive Landscape Servic</t>
        </is>
      </c>
    </row>
    <row r="133">
      <c r="A133" s="23" t="n">
        <v>93</v>
      </c>
      <c r="B133" s="23" t="inlineStr">
        <is>
          <t>10/24/2025</t>
        </is>
      </c>
      <c r="C133" s="23" t="inlineStr">
        <is>
          <t>A SAFE HAVEN FOUNDATION</t>
        </is>
      </c>
      <c r="D133" s="23" t="inlineStr">
        <is>
          <t>38-DEPARTMENT OF FLEET AND FACILITY MANAGEMENT</t>
        </is>
      </c>
      <c r="E133" s="23" t="inlineStr">
        <is>
          <t>38-2FM</t>
        </is>
      </c>
      <c r="F133" s="24" t="n">
        <v>86879.36</v>
      </c>
      <c r="G133" s="23" t="inlineStr">
        <is>
          <t>APPROVED</t>
        </is>
      </c>
      <c r="H133" s="23" t="inlineStr">
        <is>
          <t>CDOT Lead Dept. 2FM utlized PO#30816 for Citywide Comprehensive Landscape Servic</t>
        </is>
      </c>
    </row>
    <row r="134">
      <c r="A134" s="23" t="n">
        <v>94</v>
      </c>
      <c r="B134" s="23" t="inlineStr">
        <is>
          <t>11/12/2025</t>
        </is>
      </c>
      <c r="C134" s="23" t="inlineStr">
        <is>
          <t>Yellowstone Landscape, Inc</t>
        </is>
      </c>
      <c r="D134" s="23" t="inlineStr">
        <is>
          <t>84-CHICAGO DEPARTMENT OF TRANSPORTATION</t>
        </is>
      </c>
      <c r="E134" s="23" t="inlineStr">
        <is>
          <t>84-CDOT</t>
        </is>
      </c>
      <c r="F134" s="24" t="n">
        <v>147063.1</v>
      </c>
      <c r="G134" s="23" t="inlineStr">
        <is>
          <t>APPROVED</t>
        </is>
      </c>
      <c r="H134" s="23" t="inlineStr">
        <is>
          <t>Landscape Services North &amp; South LSD</t>
        </is>
      </c>
    </row>
    <row r="135">
      <c r="A135" s="23" t="n">
        <v>95</v>
      </c>
      <c r="B135" s="23" t="inlineStr">
        <is>
          <t>11/13/2025</t>
        </is>
      </c>
      <c r="C135" s="23" t="inlineStr">
        <is>
          <t>LIZZETTE MEDINA &amp; COMPANY</t>
        </is>
      </c>
      <c r="D135" s="23" t="inlineStr">
        <is>
          <t>38-DEPARTMENT OF FLEET AND FACILITY MANAGEMENT</t>
        </is>
      </c>
      <c r="E135" s="23" t="inlineStr">
        <is>
          <t>38-2FM</t>
        </is>
      </c>
      <c r="F135" s="24" t="n">
        <v>11149</v>
      </c>
      <c r="G135" s="23" t="inlineStr">
        <is>
          <t>APPROVED</t>
        </is>
      </c>
      <c r="H135" s="23" t="inlineStr">
        <is>
          <t>CDOT Lead Dept. 2FM utlizes PO#32556 for Citywide Comprehensive Landscape Servic</t>
        </is>
      </c>
    </row>
    <row r="136">
      <c r="A136" s="23" t="n">
        <v>96</v>
      </c>
      <c r="B136" s="23" t="inlineStr">
        <is>
          <t>11/17/2025</t>
        </is>
      </c>
      <c r="C136" s="23" t="inlineStr">
        <is>
          <t>LIZZETTE MEDINA &amp; COMPANY</t>
        </is>
      </c>
      <c r="D136" s="23" t="inlineStr">
        <is>
          <t>38-DEPARTMENT OF FLEET AND FACILITY MANAGEMENT</t>
        </is>
      </c>
      <c r="E136" s="23" t="inlineStr">
        <is>
          <t>38-2FM</t>
        </is>
      </c>
      <c r="F136" s="24" t="n">
        <v>17351.09</v>
      </c>
      <c r="G136" s="23" t="inlineStr">
        <is>
          <t>APPROVED</t>
        </is>
      </c>
      <c r="H136" s="23" t="inlineStr">
        <is>
          <t>LIZZETTE 56979506 A JT -AKESYHA 11 INVS $ 17,351.09</t>
        </is>
      </c>
    </row>
    <row r="137">
      <c r="A137" s="23" t="n">
        <v>97</v>
      </c>
      <c r="B137" s="23" t="inlineStr">
        <is>
          <t>11/19/2025</t>
        </is>
      </c>
      <c r="C137" s="23" t="inlineStr">
        <is>
          <t>Yellowstone Landscape, Inc</t>
        </is>
      </c>
      <c r="D137" s="23" t="inlineStr">
        <is>
          <t>84-CHICAGO DEPARTMENT OF TRANSPORTATION</t>
        </is>
      </c>
      <c r="E137" s="23" t="inlineStr">
        <is>
          <t>84-CDOT</t>
        </is>
      </c>
      <c r="F137" s="24" t="n">
        <v>147063.1</v>
      </c>
      <c r="G137" s="23" t="inlineStr">
        <is>
          <t>APPROVED</t>
        </is>
      </c>
      <c r="H137" s="23" t="inlineStr">
        <is>
          <t>Landscape Services North &amp; South LSD</t>
        </is>
      </c>
    </row>
    <row r="138">
      <c r="A138" s="23" t="n">
        <v>98</v>
      </c>
      <c r="B138" s="23" t="inlineStr">
        <is>
          <t>11/21/2025</t>
        </is>
      </c>
      <c r="C138" s="23" t="inlineStr">
        <is>
          <t>A SAFE HAVEN FOUNDATION</t>
        </is>
      </c>
      <c r="D138" s="23" t="inlineStr">
        <is>
          <t>84-CHICAGO DEPARTMENT OF TRANSPORTATION</t>
        </is>
      </c>
      <c r="E138" s="23" t="inlineStr">
        <is>
          <t>84-CDOT</t>
        </is>
      </c>
      <c r="F138" s="24" t="n">
        <v>67393.49000000001</v>
      </c>
      <c r="G138" s="23" t="inlineStr">
        <is>
          <t>APPROVED</t>
        </is>
      </c>
      <c r="H138" s="23" t="inlineStr">
        <is>
          <t>Landscape Maintenance Services Region 1</t>
        </is>
      </c>
    </row>
    <row r="139">
      <c r="A139" s="23" t="n">
        <v>99</v>
      </c>
      <c r="B139" s="23" t="inlineStr">
        <is>
          <t>11/21/2025</t>
        </is>
      </c>
      <c r="C139" s="23" t="inlineStr">
        <is>
          <t>A SAFE HAVEN FOUNDATION</t>
        </is>
      </c>
      <c r="D139" s="23" t="inlineStr">
        <is>
          <t>84-CHICAGO DEPARTMENT OF TRANSPORTATION</t>
        </is>
      </c>
      <c r="E139" s="23" t="inlineStr">
        <is>
          <t>84-CDOT</t>
        </is>
      </c>
      <c r="F139" s="24" t="n">
        <v>66380.74000000001</v>
      </c>
      <c r="G139" s="23" t="inlineStr">
        <is>
          <t>APPROVED</t>
        </is>
      </c>
      <c r="H139" s="23" t="inlineStr">
        <is>
          <t>Landscape Maintenance Services Region 1</t>
        </is>
      </c>
    </row>
    <row r="140">
      <c r="A140" s="23" t="n">
        <v>100</v>
      </c>
      <c r="B140" s="23" t="inlineStr">
        <is>
          <t>12/03/2025</t>
        </is>
      </c>
      <c r="C140" s="23" t="inlineStr">
        <is>
          <t>LIZZETTE MEDINA &amp; COMPANY</t>
        </is>
      </c>
      <c r="D140" s="23" t="inlineStr">
        <is>
          <t>84-CHICAGO DEPARTMENT OF TRANSPORTATION</t>
        </is>
      </c>
      <c r="E140" s="23" t="inlineStr">
        <is>
          <t>84-CDOT</t>
        </is>
      </c>
      <c r="F140" s="24" t="n">
        <v>30079.58</v>
      </c>
      <c r="G140" s="23" t="inlineStr">
        <is>
          <t>APPROVED</t>
        </is>
      </c>
      <c r="H140" s="23" t="inlineStr">
        <is>
          <t>LANDSCAPE SERVICES, REGIONS III &amp; V</t>
        </is>
      </c>
    </row>
    <row r="141">
      <c r="A141" s="23" t="n">
        <v>101</v>
      </c>
      <c r="B141" s="23" t="inlineStr">
        <is>
          <t>12/03/2025</t>
        </is>
      </c>
      <c r="C141" s="23" t="inlineStr">
        <is>
          <t>CHRISTY WEBBER LANDSCAPES</t>
        </is>
      </c>
      <c r="D141" s="23" t="inlineStr">
        <is>
          <t>84-CHICAGO DEPARTMENT OF TRANSPORTATION</t>
        </is>
      </c>
      <c r="E141" s="23" t="inlineStr">
        <is>
          <t>84-CDOT</t>
        </is>
      </c>
      <c r="F141" s="24" t="n">
        <v>45584.27</v>
      </c>
      <c r="G141" s="23" t="inlineStr">
        <is>
          <t>APPROVED</t>
        </is>
      </c>
      <c r="H141" s="23" t="inlineStr">
        <is>
          <t>Landscaping Services Regions 2 and 6</t>
        </is>
      </c>
    </row>
    <row r="142">
      <c r="A142" s="23" t="n">
        <v>102</v>
      </c>
      <c r="B142" s="23" t="inlineStr">
        <is>
          <t>12/03/2025</t>
        </is>
      </c>
      <c r="C142" s="23" t="inlineStr">
        <is>
          <t>Yellowstone Landscape, Inc</t>
        </is>
      </c>
      <c r="D142" s="23" t="inlineStr">
        <is>
          <t>84-CHICAGO DEPARTMENT OF TRANSPORTATION</t>
        </is>
      </c>
      <c r="E142" s="23" t="inlineStr">
        <is>
          <t>84-CDOT</t>
        </is>
      </c>
      <c r="F142" s="24" t="n">
        <v>140068.8</v>
      </c>
      <c r="G142" s="23" t="inlineStr">
        <is>
          <t>APPROVED</t>
        </is>
      </c>
      <c r="H142" s="23" t="inlineStr">
        <is>
          <t>Landscape Services North &amp; South LSD</t>
        </is>
      </c>
    </row>
    <row r="143">
      <c r="A143" s="23" t="n">
        <v>103</v>
      </c>
      <c r="B143" s="23" t="inlineStr">
        <is>
          <t>12/19/2025</t>
        </is>
      </c>
      <c r="C143" s="23" t="inlineStr">
        <is>
          <t>LIZZETTE MEDINA &amp; COMPANY</t>
        </is>
      </c>
      <c r="D143" s="23" t="inlineStr">
        <is>
          <t>38-DEPARTMENT OF FLEET AND FACILITY MANAGEMENT</t>
        </is>
      </c>
      <c r="E143" s="23" t="inlineStr">
        <is>
          <t>38-2FM</t>
        </is>
      </c>
      <c r="F143" s="24" t="n">
        <v>54507.25</v>
      </c>
      <c r="G143" s="23" t="inlineStr">
        <is>
          <t>APPROVED</t>
        </is>
      </c>
      <c r="H143" s="23" t="inlineStr">
        <is>
          <t>CDOT Lead Dept. 2FM utlizes PO#32556 for Citywide Comprehensive Landscape Servic</t>
        </is>
      </c>
    </row>
    <row r="144">
      <c r="A144" s="23" t="n">
        <v>104</v>
      </c>
      <c r="B144" s="23" t="inlineStr">
        <is>
          <t>12/22/2025</t>
        </is>
      </c>
      <c r="C144" s="23" t="inlineStr">
        <is>
          <t>A SAFE HAVEN FOUNDATION</t>
        </is>
      </c>
      <c r="D144" s="23" t="inlineStr">
        <is>
          <t>38-DEPARTMENT OF FLEET AND FACILITY MANAGEMENT</t>
        </is>
      </c>
      <c r="E144" s="23" t="inlineStr">
        <is>
          <t>38-2FM</t>
        </is>
      </c>
      <c r="F144" s="24" t="n">
        <v>88285.38</v>
      </c>
      <c r="G144" s="23" t="inlineStr">
        <is>
          <t>APPROVED</t>
        </is>
      </c>
      <c r="H144" s="23" t="inlineStr">
        <is>
          <t>A Safe Haven 50074290 A  JS/ AH/ 2 Invoices/ $88,285.38/ July</t>
        </is>
      </c>
    </row>
    <row r="145">
      <c r="A145" s="23" t="n">
        <v>105</v>
      </c>
      <c r="B145" s="23" t="inlineStr">
        <is>
          <t>12/23/2025</t>
        </is>
      </c>
      <c r="C145" s="23" t="inlineStr">
        <is>
          <t>CHRISTY WEBBER LANDSCAPES</t>
        </is>
      </c>
      <c r="D145" s="23" t="inlineStr">
        <is>
          <t>84-CHICAGO DEPARTMENT OF TRANSPORTATION</t>
        </is>
      </c>
      <c r="E145" s="23" t="inlineStr">
        <is>
          <t>84-CDOT</t>
        </is>
      </c>
      <c r="F145" s="24" t="n">
        <v>23682.59</v>
      </c>
      <c r="G145" s="23" t="inlineStr">
        <is>
          <t>APPROVED</t>
        </is>
      </c>
      <c r="H145" s="23" t="inlineStr">
        <is>
          <t>Landscaping Services Regions 2 and 6</t>
        </is>
      </c>
    </row>
    <row r="146">
      <c r="A146" s="23" t="n">
        <v>106</v>
      </c>
      <c r="B146" s="23" t="inlineStr">
        <is>
          <t>12/23/2025</t>
        </is>
      </c>
      <c r="C146" s="23" t="inlineStr">
        <is>
          <t>LIZZETTE MEDINA &amp; COMPANY</t>
        </is>
      </c>
      <c r="D146" s="23" t="inlineStr">
        <is>
          <t>84-CHICAGO DEPARTMENT OF TRANSPORTATION</t>
        </is>
      </c>
      <c r="E146" s="23" t="inlineStr">
        <is>
          <t>84-CDOT</t>
        </is>
      </c>
      <c r="F146" s="24" t="n">
        <v>27546.27</v>
      </c>
      <c r="G146" s="23" t="inlineStr">
        <is>
          <t>APPROVED</t>
        </is>
      </c>
      <c r="H146" s="23" t="inlineStr">
        <is>
          <t>LANDSCAPE SERVICES, REGIONS III &amp; V</t>
        </is>
      </c>
    </row>
    <row r="147">
      <c r="A147" s="23" t="n">
        <v>107</v>
      </c>
      <c r="B147" s="23" t="inlineStr">
        <is>
          <t>01/02/2026</t>
        </is>
      </c>
      <c r="C147" s="23" t="inlineStr">
        <is>
          <t>CHRISTY WEBBER LANDSCAPES</t>
        </is>
      </c>
      <c r="D147" s="23" t="inlineStr">
        <is>
          <t>84-CHICAGO DEPARTMENT OF TRANSPORTATION</t>
        </is>
      </c>
      <c r="E147" s="23" t="inlineStr">
        <is>
          <t>84-CDOT</t>
        </is>
      </c>
      <c r="F147" s="24" t="n">
        <v>29460.56</v>
      </c>
      <c r="G147" s="23" t="inlineStr">
        <is>
          <t>APPROVED</t>
        </is>
      </c>
      <c r="H147" s="23" t="inlineStr">
        <is>
          <t>Landscaping Services Regions 2 and 6</t>
        </is>
      </c>
    </row>
    <row r="148">
      <c r="A148" s="23" t="n">
        <v>108</v>
      </c>
      <c r="B148" s="23" t="inlineStr">
        <is>
          <t>01/02/2026</t>
        </is>
      </c>
      <c r="C148" s="23" t="inlineStr">
        <is>
          <t>LIZZETTE MEDINA &amp; COMPANY</t>
        </is>
      </c>
      <c r="D148" s="23" t="inlineStr">
        <is>
          <t>84-CHICAGO DEPARTMENT OF TRANSPORTATION</t>
        </is>
      </c>
      <c r="E148" s="23" t="inlineStr">
        <is>
          <t>84-CDOT</t>
        </is>
      </c>
      <c r="F148" s="24" t="n">
        <v>45477.13</v>
      </c>
      <c r="G148" s="23" t="inlineStr">
        <is>
          <t>APPROVED</t>
        </is>
      </c>
      <c r="H148" s="23" t="inlineStr">
        <is>
          <t>LANDSCAPE SERVICES, REGIONS III &amp; V</t>
        </is>
      </c>
    </row>
    <row r="149">
      <c r="A149" s="23" t="n">
        <v>109</v>
      </c>
      <c r="B149" s="23" t="inlineStr">
        <is>
          <t>01/02/2026</t>
        </is>
      </c>
      <c r="C149" s="23" t="inlineStr">
        <is>
          <t>Yellowstone Landscape, Inc</t>
        </is>
      </c>
      <c r="D149" s="23" t="inlineStr">
        <is>
          <t>84-CHICAGO DEPARTMENT OF TRANSPORTATION</t>
        </is>
      </c>
      <c r="E149" s="23" t="inlineStr">
        <is>
          <t>84-CDOT</t>
        </is>
      </c>
      <c r="F149" s="24" t="n">
        <v>148091.2</v>
      </c>
      <c r="G149" s="23" t="inlineStr">
        <is>
          <t>APPROVED</t>
        </is>
      </c>
      <c r="H149" s="23" t="inlineStr">
        <is>
          <t>Landscape Services North &amp; South LSD</t>
        </is>
      </c>
    </row>
    <row r="150">
      <c r="A150" s="23" t="n">
        <v>110</v>
      </c>
      <c r="B150" s="23" t="inlineStr">
        <is>
          <t>01/02/2026</t>
        </is>
      </c>
      <c r="C150" s="23" t="inlineStr">
        <is>
          <t>A SAFE HAVEN FOUNDATION</t>
        </is>
      </c>
      <c r="D150" s="23" t="inlineStr">
        <is>
          <t>84-CHICAGO DEPARTMENT OF TRANSPORTATION</t>
        </is>
      </c>
      <c r="E150" s="23" t="inlineStr">
        <is>
          <t>84-CDOT</t>
        </is>
      </c>
      <c r="F150" s="24" t="n">
        <v>92090.14</v>
      </c>
      <c r="G150" s="23" t="inlineStr">
        <is>
          <t>APPROVED</t>
        </is>
      </c>
      <c r="H150" s="23" t="inlineStr">
        <is>
          <t>Landscape Maintenance Services</t>
        </is>
      </c>
    </row>
    <row r="151">
      <c r="A151" s="23" t="n">
        <v>111</v>
      </c>
      <c r="B151" s="23" t="inlineStr">
        <is>
          <t>01/08/2026</t>
        </is>
      </c>
      <c r="C151" s="23" t="inlineStr">
        <is>
          <t>A SAFE HAVEN FOUNDATION</t>
        </is>
      </c>
      <c r="D151" s="23" t="inlineStr">
        <is>
          <t>38-DEPARTMENT OF FLEET AND FACILITY MANAGEMENT</t>
        </is>
      </c>
      <c r="E151" s="23" t="inlineStr">
        <is>
          <t>38-2FM</t>
        </is>
      </c>
      <c r="F151" s="24" t="n">
        <v>67254.39</v>
      </c>
      <c r="G151" s="23" t="inlineStr">
        <is>
          <t>APPROVED</t>
        </is>
      </c>
      <c r="H151" s="23" t="inlineStr">
        <is>
          <t>A Safe Haven 50074290 A  JS/ AH/ 4 INVOICES/ $67,254.39/ Past Due Invoices</t>
        </is>
      </c>
    </row>
    <row r="152">
      <c r="A152" s="23" t="n">
        <v>112</v>
      </c>
      <c r="B152" s="23" t="inlineStr">
        <is>
          <t>01/13/2026</t>
        </is>
      </c>
      <c r="C152" s="23" t="inlineStr">
        <is>
          <t>A SAFE HAVEN FOUNDATION</t>
        </is>
      </c>
      <c r="D152" s="23" t="inlineStr">
        <is>
          <t>84-CHICAGO DEPARTMENT OF TRANSPORTATION</t>
        </is>
      </c>
      <c r="E152" s="23" t="inlineStr">
        <is>
          <t>84-CDOT</t>
        </is>
      </c>
      <c r="F152" s="24" t="n">
        <v>16227.84</v>
      </c>
      <c r="G152" s="23" t="inlineStr">
        <is>
          <t>APPROVED</t>
        </is>
      </c>
      <c r="H152" s="23" t="inlineStr">
        <is>
          <t>Landscape Maintenance Services</t>
        </is>
      </c>
    </row>
    <row r="153">
      <c r="A153" s="23" t="n">
        <v>113</v>
      </c>
      <c r="B153" s="23" t="inlineStr">
        <is>
          <t>01/13/2026</t>
        </is>
      </c>
      <c r="C153" s="23" t="inlineStr">
        <is>
          <t>CHRISTY WEBBER LANDSCAPES</t>
        </is>
      </c>
      <c r="D153" s="23" t="inlineStr">
        <is>
          <t>84-CHICAGO DEPARTMENT OF TRANSPORTATION</t>
        </is>
      </c>
      <c r="E153" s="23" t="inlineStr">
        <is>
          <t>84-CDOT</t>
        </is>
      </c>
      <c r="F153" s="24" t="n">
        <v>4463.8</v>
      </c>
      <c r="G153" s="23" t="inlineStr">
        <is>
          <t>APPROVED</t>
        </is>
      </c>
      <c r="H153" s="23" t="inlineStr">
        <is>
          <t>Landscaping Services Regions 2 and 6</t>
        </is>
      </c>
    </row>
    <row r="154">
      <c r="A154" s="23" t="n">
        <v>114</v>
      </c>
      <c r="B154" s="23" t="inlineStr">
        <is>
          <t>01/13/2026</t>
        </is>
      </c>
      <c r="C154" s="23" t="inlineStr">
        <is>
          <t>LIZZETTE MEDINA &amp; COMPANY</t>
        </is>
      </c>
      <c r="D154" s="23" t="inlineStr">
        <is>
          <t>84-CHICAGO DEPARTMENT OF TRANSPORTATION</t>
        </is>
      </c>
      <c r="E154" s="23" t="inlineStr">
        <is>
          <t>84-CDOT</t>
        </is>
      </c>
      <c r="F154" s="24" t="n">
        <v>7331.24</v>
      </c>
      <c r="G154" s="23" t="inlineStr">
        <is>
          <t>APPROVED</t>
        </is>
      </c>
      <c r="H154" s="23" t="inlineStr">
        <is>
          <t>LANDSCAPE SERVICES, REGIONS III &amp; V</t>
        </is>
      </c>
    </row>
    <row r="155">
      <c r="A155" s="23" t="n">
        <v>115</v>
      </c>
      <c r="B155" s="23" t="inlineStr">
        <is>
          <t>01/22/2026</t>
        </is>
      </c>
      <c r="C155" s="23" t="inlineStr">
        <is>
          <t>LIZZETTE MEDINA &amp; COMPANY</t>
        </is>
      </c>
      <c r="D155" s="23" t="inlineStr">
        <is>
          <t>38-DEPARTMENT OF FLEET AND FACILITY MANAGEMENT</t>
        </is>
      </c>
      <c r="E155" s="23" t="inlineStr">
        <is>
          <t>38-2FM</t>
        </is>
      </c>
      <c r="F155" s="24" t="n">
        <v>5225</v>
      </c>
      <c r="G155" s="23" t="inlineStr">
        <is>
          <t>APPROVED</t>
        </is>
      </c>
      <c r="H155" s="23" t="inlineStr">
        <is>
          <t>Lizzette Medina  56979506 B  JS/ AH/ Invoice 253905 &amp; 255938/ $5,225.00/ Oct Rem</t>
        </is>
      </c>
    </row>
  </sheetData>
  <mergeCells count="10">
    <mergeCell ref="A39:H39"/>
    <mergeCell ref="A15:H15"/>
    <mergeCell ref="A20:H20"/>
    <mergeCell ref="A2:H2"/>
    <mergeCell ref="A16:H16"/>
    <mergeCell ref="A13:H13"/>
    <mergeCell ref="A14:H14"/>
    <mergeCell ref="A19:H19"/>
    <mergeCell ref="A1:H1"/>
    <mergeCell ref="A31:H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3"/>
  <sheetViews>
    <sheetView showGridLines="0" workbookViewId="0">
      <selection activeCell="A1" sqref="A1"/>
    </sheetView>
  </sheetViews>
  <sheetFormatPr baseColWidth="8" defaultRowHeight="15"/>
  <cols>
    <col width="50" customWidth="1" min="1" max="1"/>
    <col width="50" customWidth="1" min="2" max="2"/>
  </cols>
  <sheetData>
    <row r="1">
      <c r="A1" s="5" t="inlineStr">
        <is>
          <t>STRATEGIC FRAMEWORK: LANDSCAPING SERVICES CONSOLIDATION</t>
        </is>
      </c>
    </row>
    <row r="2">
      <c r="A2" s="18" t="inlineStr">
        <is>
          <t>City of Chicago | Department of Procurement Services | Category Management Initiative</t>
        </is>
      </c>
    </row>
    <row r="4">
      <c r="A4" s="9" t="inlineStr">
        <is>
          <t>THE PROBLEM</t>
        </is>
      </c>
    </row>
    <row r="5" ht="80" customHeight="1">
      <c r="A5" s="25" t="inlineStr">
        <is>
          <t>Exhibit B is designed as a procurement workaround for urgent needs — not routine recurring services. Despite this, $8,562,289 in landscaping services has been processed through Exhibit B over 5 years across 7 vendors and 4 departments with no citywide contract in place. Each of the 115 transactions required individual approval, legal review, and processing — representing significant administrative waste for a predictable, routine service category.</t>
        </is>
      </c>
    </row>
    <row r="7">
      <c r="A7" s="9" t="inlineStr">
        <is>
          <t>ROOT CAUSES</t>
        </is>
      </c>
    </row>
    <row r="8">
      <c r="A8" s="4" t="inlineStr">
        <is>
          <t>• Lack of upstream supply chain engagement — no proactive contract planning for recurring services</t>
        </is>
      </c>
    </row>
    <row r="9">
      <c r="A9" s="4" t="inlineStr">
        <is>
          <t>• Reactive vs. proactive procurement — contracts allowed to expire without timely replacement</t>
        </is>
      </c>
    </row>
    <row r="10">
      <c r="A10" s="4" t="inlineStr">
        <is>
          <t>• No category management — landscaping treated as ad-hoc rather than a managed spend category</t>
        </is>
      </c>
    </row>
    <row r="11">
      <c r="A11" s="4" t="inlineStr">
        <is>
          <t>• Contract replacement timeline failures — multiple vendors operating without formal contracts</t>
        </is>
      </c>
    </row>
    <row r="12">
      <c r="A12" s="4" t="inlineStr">
        <is>
          <t>• Departmental fragmentation — 4 departments purchasing independently with no coordination</t>
        </is>
      </c>
    </row>
    <row r="13">
      <c r="A13" s="4" t="inlineStr">
        <is>
          <t>• No volume leverage — 7 separate vendor relationships eliminate bulk discount opportunities</t>
        </is>
      </c>
    </row>
    <row r="15">
      <c r="A15" s="9" t="inlineStr">
        <is>
          <t>THE SOLUTION</t>
        </is>
      </c>
    </row>
    <row r="16">
      <c r="A16" s="26" t="inlineStr">
        <is>
          <t>Category Strategy Development</t>
        </is>
      </c>
    </row>
    <row r="17" ht="45" customHeight="1">
      <c r="A17" s="25" t="inlineStr">
        <is>
          <t>Treat Landscaping &amp; Grounds Maintenance as a managed spend category. Develop a 5-year category strategy with defined contract lots, SLAs, and vendor performance metrics.</t>
        </is>
      </c>
    </row>
    <row r="18">
      <c r="A18" s="26" t="inlineStr">
        <is>
          <t>Consolidated Contracting</t>
        </is>
      </c>
    </row>
    <row r="19" ht="45" customHeight="1">
      <c r="A19" s="25" t="inlineStr">
        <is>
          <t>Issue a single citywide RFP for comprehensive landscape maintenance (Regions I–VI) with CDOT as lead department. Estimated annual contract value: $3.5M+.</t>
        </is>
      </c>
    </row>
    <row r="20">
      <c r="A20" s="26" t="inlineStr">
        <is>
          <t>Upstream Engagement</t>
        </is>
      </c>
    </row>
    <row r="21" ht="45" customHeight="1">
      <c r="A21" s="25" t="inlineStr">
        <is>
          <t>Require 6-month advance notification before contract expiration. Eliminate the pattern of post-expiration Exhibit B usage.</t>
        </is>
      </c>
    </row>
    <row r="22">
      <c r="A22" s="26" t="inlineStr">
        <is>
          <t>Proactive Pipeline Management</t>
        </is>
      </c>
    </row>
    <row r="23" ht="45" customHeight="1">
      <c r="A23" s="25" t="inlineStr">
        <is>
          <t>Create a rolling 18-month procurement calendar for all landscaping contracts. Flag re-procurement triggers 12 months in advance.</t>
        </is>
      </c>
    </row>
    <row r="24">
      <c r="A24" s="26" t="inlineStr">
        <is>
          <t>Blanket Purchase Agreements</t>
        </is>
      </c>
    </row>
    <row r="25" ht="45" customHeight="1">
      <c r="A25" s="25" t="inlineStr">
        <is>
          <t>Replace 29 individual POs/year with seasonal task orders under master contracts. Target: reduce transaction volume by 65%.</t>
        </is>
      </c>
    </row>
    <row r="27">
      <c r="A27" s="9" t="inlineStr">
        <is>
          <t>EXPECTED OUTCOMES</t>
        </is>
      </c>
    </row>
    <row r="28">
      <c r="A28" s="4" t="inlineStr">
        <is>
          <t>• Annual cost savings of $173,117–$259,675 through competitive RFP and volume consolidation</t>
        </is>
      </c>
    </row>
    <row r="29">
      <c r="A29" s="4" t="inlineStr">
        <is>
          <t>• 3-Year total benefit of $1,038,700 (savings + cost avoidance)</t>
        </is>
      </c>
    </row>
    <row r="30">
      <c r="A30" s="4" t="inlineStr">
        <is>
          <t>• Reduction in Exhibit B transaction volume by 60–65% for this category</t>
        </is>
      </c>
    </row>
    <row r="31">
      <c r="A31" s="4" t="inlineStr">
        <is>
          <t>• Full contract coverage for all 7 current vendors — eliminating compliance exposure</t>
        </is>
      </c>
    </row>
    <row r="32">
      <c r="A32" s="4" t="inlineStr">
        <is>
          <t>• Standardized service levels and performance measurement across all departments</t>
        </is>
      </c>
    </row>
    <row r="33">
      <c r="A33" s="4" t="inlineStr">
        <is>
          <t>• MBE/WBE spend goals formalized in contract (minimum 25% participation)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2"/>
  <sheetViews>
    <sheetView showGridLines="0" workbookViewId="0">
      <selection activeCell="A1" sqref="A1"/>
    </sheetView>
  </sheetViews>
  <sheetFormatPr baseColWidth="8" defaultRowHeight="15"/>
  <cols>
    <col width="36" customWidth="1" min="1" max="1"/>
    <col width="22" customWidth="1" min="2" max="2"/>
    <col width="6" customWidth="1" min="3" max="3"/>
    <col width="22" customWidth="1" min="4" max="4"/>
    <col width="6" customWidth="1" min="5" max="5"/>
    <col width="22" customWidth="1" min="6" max="6"/>
    <col width="6" customWidth="1" min="7" max="7"/>
    <col width="22" customWidth="1" min="8" max="8"/>
  </cols>
  <sheetData>
    <row r="1" ht="24" customHeight="1">
      <c r="A1" s="41" t="inlineStr">
        <is>
          <t>SAVINGS PROJECTIONS: LANDSCAPING &amp; GROUNDS MAINTENANCE</t>
        </is>
      </c>
    </row>
    <row r="2" ht="16" customHeight="1">
      <c r="A2" s="42" t="inlineStr">
        <is>
          <t>Step-by-step calculation of consolidation savings, cost avoidance, and administrative efficiency gains</t>
        </is>
      </c>
    </row>
    <row r="3" ht="6" customHeight="1"/>
    <row r="4" ht="18" customHeight="1">
      <c r="A4" s="43" t="inlineStr">
        <is>
          <t>SECTION 1 — BASELINE INPUTS</t>
        </is>
      </c>
    </row>
    <row r="5" ht="14" customHeight="1">
      <c r="A5" s="44" t="inlineStr">
        <is>
          <t>These are the raw numbers from the Exhibit B data (Jan 2021 – Feb 2026) that feed every calculation below.</t>
        </is>
      </c>
    </row>
    <row r="6" ht="6" customHeight="1"/>
    <row r="7" ht="18" customHeight="1">
      <c r="A7" s="45" t="inlineStr">
        <is>
          <t>DATA POINT</t>
        </is>
      </c>
      <c r="B7" s="45" t="inlineStr">
        <is>
          <t>VALUE</t>
        </is>
      </c>
      <c r="D7" s="45" t="inlineStr">
        <is>
          <t>CALCULATION / SOURCE</t>
        </is>
      </c>
      <c r="F7" s="45" t="inlineStr"/>
      <c r="H7" s="45" t="inlineStr"/>
    </row>
    <row r="8" ht="15" customHeight="1">
      <c r="A8" s="46" t="inlineStr">
        <is>
          <t>Annual Spend — 2022</t>
        </is>
      </c>
      <c r="B8" s="47" t="n">
        <v>0</v>
      </c>
      <c r="D8" s="48" t="inlineStr">
        <is>
          <t>From Exhibit B data (confirmed landscaping records only)</t>
        </is>
      </c>
    </row>
    <row r="9" ht="15" customHeight="1">
      <c r="A9" s="49" t="inlineStr">
        <is>
          <t>Annual Spend — 2023</t>
        </is>
      </c>
      <c r="B9" s="50" t="n">
        <v>544240.27</v>
      </c>
      <c r="D9" s="51" t="inlineStr">
        <is>
          <t>From Exhibit B data (confirmed landscaping records only)</t>
        </is>
      </c>
    </row>
    <row r="10" ht="15" customHeight="1">
      <c r="A10" s="46" t="inlineStr">
        <is>
          <t>Annual Spend — 2024</t>
        </is>
      </c>
      <c r="B10" s="47" t="n">
        <v>3544292.47</v>
      </c>
      <c r="D10" s="48" t="inlineStr">
        <is>
          <t>From Exhibit B data (confirmed landscaping records only)</t>
        </is>
      </c>
    </row>
    <row r="11" ht="15" customHeight="1">
      <c r="A11" s="49" t="inlineStr">
        <is>
          <t>Annual Spend — 2025</t>
        </is>
      </c>
      <c r="B11" s="50" t="n">
        <v>4058134.81</v>
      </c>
      <c r="D11" s="51" t="inlineStr">
        <is>
          <t>From Exhibit B data (confirmed landscaping records only)</t>
        </is>
      </c>
    </row>
    <row r="12" ht="15" customHeight="1">
      <c r="A12" s="52" t="inlineStr">
        <is>
          <t>Total 5-Year Spend</t>
        </is>
      </c>
      <c r="B12" s="53" t="n">
        <v>8562288.85</v>
      </c>
      <c r="D12" s="48" t="inlineStr">
        <is>
          <t>Sum of all confirmed landscaping transactions 2021–2026</t>
        </is>
      </c>
    </row>
    <row r="13" ht="15" customHeight="1">
      <c r="A13" s="54" t="inlineStr">
        <is>
          <t>Annual Average Spend</t>
        </is>
      </c>
      <c r="B13" s="55" t="n">
        <v>2036666.8875</v>
      </c>
      <c r="D13" s="51" t="inlineStr">
        <is>
          <t>($0 + $544,240 + $3,544,292 + $4,058,135) ÷ 4 years = $2,036,666.89</t>
        </is>
      </c>
    </row>
    <row r="14" ht="15" customHeight="1">
      <c r="A14" s="46" t="inlineStr">
        <is>
          <t>Number of Transactions</t>
        </is>
      </c>
      <c r="B14" s="56" t="n">
        <v>115</v>
      </c>
      <c r="D14" s="48" t="inlineStr">
        <is>
          <t>115 confirmed requisitions over 5-year period</t>
        </is>
      </c>
    </row>
    <row r="15" ht="15" customHeight="1">
      <c r="A15" s="49" t="inlineStr">
        <is>
          <t>Number of Active Vendors</t>
        </is>
      </c>
      <c r="B15" s="57" t="n">
        <v>7</v>
      </c>
      <c r="D15" s="51" t="inlineStr">
        <is>
          <t>7 confirmed landscaping vendors</t>
        </is>
      </c>
    </row>
    <row r="16" ht="15" customHeight="1">
      <c r="A16" s="46" t="inlineStr">
        <is>
          <t>Number of Using Departments</t>
        </is>
      </c>
      <c r="B16" s="56" t="n">
        <v>4</v>
      </c>
      <c r="D16" s="48" t="inlineStr">
        <is>
          <t>CDOT (84), 2FM (38), CDA (85), CDPH (41)</t>
        </is>
      </c>
    </row>
    <row r="17" ht="15" customHeight="1">
      <c r="A17" s="49" t="inlineStr">
        <is>
          <t>Avg Cost Per Transaction</t>
        </is>
      </c>
      <c r="B17" s="50" t="n">
        <v>74454.68565217391</v>
      </c>
      <c r="D17" s="51" t="inlineStr">
        <is>
          <t>$8,562,288.85 ÷ 115 transactions = $74,454.69</t>
        </is>
      </c>
    </row>
    <row r="18" ht="8" customHeight="1"/>
    <row r="19" ht="18" customHeight="1">
      <c r="A19" s="43" t="inlineStr">
        <is>
          <t>SECTION 2 — STEP 1: DETERMINE ADDRESSABLE SPEND</t>
        </is>
      </c>
    </row>
    <row r="20" ht="14" customHeight="1">
      <c r="A20" s="44" t="inlineStr">
        <is>
          <t>Not all spend can be reduced through consolidation. We exclude 15% that is already optimized, emergency-driven, or non-addressable. *</t>
        </is>
      </c>
    </row>
    <row r="21" ht="6" customHeight="1"/>
    <row r="22" ht="18" customHeight="1">
      <c r="A22" s="58" t="inlineStr">
        <is>
          <t xml:space="preserve">  FORMULA:   Annual Avg Spend   ×   85%   =   Addressable Spend</t>
        </is>
      </c>
    </row>
    <row r="23" ht="20" customHeight="1">
      <c r="A23" s="59" t="inlineStr">
        <is>
          <t xml:space="preserve">  MATH:      $2,036,666.89   ×   85%   =   $1,731,166.85</t>
        </is>
      </c>
    </row>
    <row r="24" ht="6" customHeight="1"/>
    <row r="25" ht="15" customHeight="1">
      <c r="A25" s="46" t="inlineStr">
        <is>
          <t>Annual Average Spend</t>
        </is>
      </c>
      <c r="B25" s="47" t="n">
        <v>2036666.8875</v>
      </c>
      <c r="C25" s="60" t="n"/>
    </row>
    <row r="26" ht="15" customHeight="1">
      <c r="A26" s="46" t="inlineStr">
        <is>
          <t>Less: Non-Addressable (15%)</t>
        </is>
      </c>
      <c r="B26" s="47" t="n">
        <v>-305500.033125</v>
      </c>
      <c r="C26" s="60" t="n"/>
    </row>
    <row r="27" ht="15" customHeight="1">
      <c r="A27" s="61">
        <f> ADDRESSABLE SPEND (85%)</f>
        <v/>
      </c>
      <c r="B27" s="62" t="n">
        <v>1731166.854375</v>
      </c>
      <c r="C27" s="63" t="n"/>
    </row>
    <row r="28" ht="8" customHeight="1"/>
    <row r="29" ht="18" customHeight="1">
      <c r="A29" s="43" t="inlineStr">
        <is>
          <t>SECTION 3 — STEP 2: CONSOLIDATION SAVINGS (3 Scenarios) *</t>
        </is>
      </c>
    </row>
    <row r="30" ht="28" customHeight="1">
      <c r="A30" s="64" t="inlineStr">
        <is>
          <t>Savings rate reflects price reduction achievable through competitive RFP with consolidated citywide volume. Three scenarios are modeled; Moderate (10%) is the recommended planning figure per CPO methodology. *</t>
        </is>
      </c>
    </row>
    <row r="31" ht="6" customHeight="1"/>
    <row r="32" ht="18" customHeight="1">
      <c r="A32" s="58" t="inlineStr">
        <is>
          <t xml:space="preserve">  FORMULA:   Addressable Spend   ×   Savings Rate   =   Annual Savings   →   Annual Savings   ×   3 Years   =   3-Year Savings</t>
        </is>
      </c>
    </row>
    <row r="33" ht="6" customHeight="1"/>
    <row r="34" ht="18" customHeight="1">
      <c r="A34" s="65" t="inlineStr">
        <is>
          <t>SCENARIO</t>
        </is>
      </c>
      <c r="B34" s="65" t="inlineStr">
        <is>
          <t>SAVINGS RATE</t>
        </is>
      </c>
      <c r="D34" s="65" t="inlineStr">
        <is>
          <t>ANNUAL SAVINGS</t>
        </is>
      </c>
      <c r="F34" s="65" t="inlineStr">
        <is>
          <t>3-YEAR SAVINGS</t>
        </is>
      </c>
      <c r="H34" s="65" t="inlineStr">
        <is>
          <t>3-YR MATH</t>
        </is>
      </c>
    </row>
    <row r="35" ht="20" customHeight="1">
      <c r="A35" s="66" t="inlineStr">
        <is>
          <t>Conservative</t>
        </is>
      </c>
      <c r="B35" s="67" t="n">
        <v>0.05</v>
      </c>
      <c r="D35" s="68" t="n">
        <v>86558.34271875001</v>
      </c>
      <c r="F35" s="68" t="n">
        <v>259675.02815625</v>
      </c>
      <c r="H35" s="69" t="inlineStr">
        <is>
          <t>$1,731,166.85 × 5% = $86,558.34/yr × 3 = $259,675.03</t>
        </is>
      </c>
    </row>
    <row r="36" ht="20" customHeight="1">
      <c r="A36" s="70" t="inlineStr">
        <is>
          <t>Moderate  ★ Recommended</t>
        </is>
      </c>
      <c r="B36" s="71" t="n">
        <v>0.1</v>
      </c>
      <c r="D36" s="72" t="n">
        <v>173116.6854375</v>
      </c>
      <c r="F36" s="72" t="n">
        <v>519350.0563125</v>
      </c>
      <c r="H36" s="73" t="inlineStr">
        <is>
          <t>$1,731,166.85 × 10% = $173,116.69/yr × 3 = $519,350.06</t>
        </is>
      </c>
    </row>
    <row r="37" ht="20" customHeight="1">
      <c r="A37" s="66" t="inlineStr">
        <is>
          <t>Aggressive</t>
        </is>
      </c>
      <c r="B37" s="67" t="n">
        <v>0.15</v>
      </c>
      <c r="D37" s="68" t="n">
        <v>259675.02815625</v>
      </c>
      <c r="F37" s="68" t="n">
        <v>779025.0844687501</v>
      </c>
      <c r="H37" s="69" t="inlineStr">
        <is>
          <t>$1,731,166.85 × 15% = $259,675.03/yr × 3 = $779,025.08</t>
        </is>
      </c>
    </row>
    <row r="38" ht="8" customHeight="1"/>
    <row r="39" ht="18" customHeight="1">
      <c r="A39" s="43" t="inlineStr">
        <is>
          <t>SECTION 4 — STEP 3: COST AVOIDANCE ***</t>
        </is>
      </c>
    </row>
    <row r="40" ht="36" customHeight="1">
      <c r="A40" s="64" t="inlineStr">
        <is>
          <t>Without a contract, vendors will raise prices annually. Cost avoidance measures the price increase the City AVOIDS by locking in contract rates. Market escalation rate: 8%/yr (BLS PPI for Lawn &amp; Garden Services). Contract locks in 10% below current market. ***</t>
        </is>
      </c>
    </row>
    <row r="41" ht="6" customHeight="1"/>
    <row r="42" ht="18" customHeight="1">
      <c r="A42" s="58" t="inlineStr">
        <is>
          <t xml:space="preserve">  CONTRACT PRICE LOCKED IN:   $2,036,666.89 (current spend)   ×   90%  (10% savings)   =   $1,833,000.20/year</t>
        </is>
      </c>
    </row>
    <row r="43" ht="18" customHeight="1">
      <c r="A43" s="58" t="inlineStr">
        <is>
          <t xml:space="preserve">  FORMULA PER YEAR:   (Annual Avg × 1.08ⁿ)  −  Contract Price  =  Annual Avoidance   (where n = year number)</t>
        </is>
      </c>
    </row>
    <row r="44" ht="6" customHeight="1"/>
    <row r="45" ht="30" customHeight="1">
      <c r="A45" s="74" t="inlineStr">
        <is>
          <t>YEAR</t>
        </is>
      </c>
      <c r="B45" s="74" t="inlineStr">
        <is>
          <t>MARKET PRICE
(No Contract, +8%/yr)</t>
        </is>
      </c>
      <c r="D45" s="74" t="inlineStr">
        <is>
          <t>CONTRACT PRICE
(Locked In)</t>
        </is>
      </c>
      <c r="F45" s="74" t="inlineStr">
        <is>
          <t>ANNUAL AVOIDANCE
(Market − Contract)</t>
        </is>
      </c>
      <c r="H45" s="75" t="inlineStr">
        <is>
          <t>MATH</t>
        </is>
      </c>
    </row>
    <row r="46" ht="16" customHeight="1">
      <c r="A46" s="66" t="inlineStr">
        <is>
          <t>Year 1</t>
        </is>
      </c>
      <c r="B46" s="68" t="n">
        <v>2199600.2385</v>
      </c>
      <c r="D46" s="68" t="n">
        <v>1833000.19875</v>
      </c>
      <c r="F46" s="68" t="n">
        <v>366600.0397500002</v>
      </c>
      <c r="H46" s="69" t="inlineStr">
        <is>
          <t>$2,036,666.89 × 1.08¹ = $2,199,600.24  −  $1,833,000.20  =  $366,600.04</t>
        </is>
      </c>
    </row>
    <row r="47" ht="16" customHeight="1">
      <c r="A47" s="76" t="inlineStr">
        <is>
          <t>Year 2</t>
        </is>
      </c>
      <c r="B47" s="77" t="n">
        <v>2375568.25758</v>
      </c>
      <c r="D47" s="77" t="n">
        <v>1833000.19875</v>
      </c>
      <c r="F47" s="77" t="n">
        <v>542568.0588300002</v>
      </c>
      <c r="H47" s="78" t="inlineStr">
        <is>
          <t>$2,036,666.89 × 1.08² = $2,375,568.26  −  $1,833,000.20  =  $542,568.06</t>
        </is>
      </c>
    </row>
    <row r="48" ht="16" customHeight="1">
      <c r="A48" s="66" t="inlineStr">
        <is>
          <t>Year 3</t>
        </is>
      </c>
      <c r="B48" s="68" t="n">
        <v>2565613.7181864</v>
      </c>
      <c r="D48" s="68" t="n">
        <v>1833000.19875</v>
      </c>
      <c r="F48" s="68" t="n">
        <v>732613.5194364002</v>
      </c>
      <c r="H48" s="69" t="inlineStr">
        <is>
          <t>$2,036,666.89 × 1.08³ = $2,565,613.72  −  $1,833,000.20  =  $732,613.52</t>
        </is>
      </c>
    </row>
    <row r="49" ht="16" customHeight="1">
      <c r="A49" s="79" t="inlineStr">
        <is>
          <t>TOTAL 3-YR AVOIDANCE</t>
        </is>
      </c>
      <c r="B49" s="79" t="inlineStr"/>
      <c r="C49" s="79" t="inlineStr"/>
      <c r="D49" s="79" t="inlineStr"/>
      <c r="E49" s="79" t="inlineStr"/>
      <c r="F49" s="72" t="n">
        <v>1641781.618016401</v>
      </c>
      <c r="G49" s="79" t="inlineStr"/>
      <c r="H49" s="80" t="inlineStr">
        <is>
          <t>$366,600.04 + $542,568.06 + $732,613.52 = $1,641,781.62</t>
        </is>
      </c>
    </row>
    <row r="50" ht="8" customHeight="1"/>
    <row r="51" ht="18" customHeight="1">
      <c r="A51" s="43" t="inlineStr">
        <is>
          <t>SECTION 5 — STEP 4: ADMINISTRATIVE SAVINGS ****</t>
        </is>
      </c>
    </row>
    <row r="52" ht="28" customHeight="1">
      <c r="A52" s="64" t="inlineStr">
        <is>
          <t>Every Exhibit B requisition consumes staff time for processing, approval, legal review, and system entry. Consolidating into blanket task-order contracts dramatically reduces this volume. ****</t>
        </is>
      </c>
    </row>
    <row r="53" ht="6" customHeight="1"/>
    <row r="54" ht="18" customHeight="1">
      <c r="A54" s="58" t="inlineStr">
        <is>
          <t xml:space="preserve">  FORMULA:   (Current POs/yr  −  Target POs/yr)  ×  Cost Per PO  =  Annual Admin Savings</t>
        </is>
      </c>
    </row>
    <row r="55" ht="6" customHeight="1"/>
    <row r="56" ht="18" customHeight="1">
      <c r="A56" s="65" t="inlineStr">
        <is>
          <t>METRIC</t>
        </is>
      </c>
      <c r="B56" s="65" t="inlineStr">
        <is>
          <t>VALUE</t>
        </is>
      </c>
      <c r="D56" s="65" t="inlineStr">
        <is>
          <t>MATH / NOTES</t>
        </is>
      </c>
      <c r="F56" s="65" t="inlineStr"/>
      <c r="H56" s="65" t="inlineStr"/>
    </row>
    <row r="57" ht="15" customHeight="1">
      <c r="A57" s="46" t="inlineStr">
        <is>
          <t>Current Avg Requisitions / Year</t>
        </is>
      </c>
      <c r="B57" s="81" t="inlineStr">
        <is>
          <t>23</t>
        </is>
      </c>
      <c r="D57" s="48" t="inlineStr">
        <is>
          <t>115 total transactions ÷ 5 years = ~23 POs/year</t>
        </is>
      </c>
    </row>
    <row r="58" ht="15" customHeight="1">
      <c r="A58" s="49" t="inlineStr">
        <is>
          <t>Target Under Blanket Contract</t>
        </is>
      </c>
      <c r="B58" s="82" t="inlineStr">
        <is>
          <t>8</t>
        </is>
      </c>
      <c r="D58" s="51" t="inlineStr">
        <is>
          <t>~8 seasonal task orders/year (spring, summer, fall + invoicing)</t>
        </is>
      </c>
    </row>
    <row r="59" ht="15" customHeight="1">
      <c r="A59" s="46" t="inlineStr">
        <is>
          <t>POs Eliminated Per Year</t>
        </is>
      </c>
      <c r="B59" s="81" t="inlineStr">
        <is>
          <t>15</t>
        </is>
      </c>
      <c r="D59" s="48" t="inlineStr">
        <is>
          <t>23 current  −  8 target  =  15 POs eliminated/year</t>
        </is>
      </c>
    </row>
    <row r="60" ht="15" customHeight="1">
      <c r="A60" s="49" t="inlineStr">
        <is>
          <t>Cost Per PO (Low)</t>
        </is>
      </c>
      <c r="B60" s="82" t="inlineStr">
        <is>
          <t>$250</t>
        </is>
      </c>
      <c r="D60" s="51" t="inlineStr">
        <is>
          <t>ISM benchmark for government PO processing (2022)  ****</t>
        </is>
      </c>
    </row>
    <row r="61" ht="15" customHeight="1">
      <c r="A61" s="46" t="inlineStr">
        <is>
          <t>Cost Per PO (High)</t>
        </is>
      </c>
      <c r="B61" s="81" t="inlineStr">
        <is>
          <t>$400</t>
        </is>
      </c>
      <c r="D61" s="48" t="inlineStr">
        <is>
          <t>Aberdeen/Ardent Partners benchmark — manual approval process  ****</t>
        </is>
      </c>
    </row>
    <row r="62" ht="15" customHeight="1">
      <c r="A62" s="49" t="inlineStr">
        <is>
          <t>Annual Admin Savings (Low)</t>
        </is>
      </c>
      <c r="B62" s="82" t="inlineStr">
        <is>
          <t>$3,750</t>
        </is>
      </c>
      <c r="D62" s="51" t="inlineStr">
        <is>
          <t>15 POs eliminated  ×  $250/PO  =  $3,750/year</t>
        </is>
      </c>
    </row>
    <row r="63" ht="15" customHeight="1">
      <c r="A63" s="46" t="inlineStr">
        <is>
          <t>Annual Admin Savings (High)</t>
        </is>
      </c>
      <c r="B63" s="81" t="inlineStr">
        <is>
          <t>$6,000</t>
        </is>
      </c>
      <c r="D63" s="48" t="inlineStr">
        <is>
          <t>15 POs eliminated  ×  $400/PO  =  $6,000/year</t>
        </is>
      </c>
    </row>
    <row r="64" ht="15" customHeight="1">
      <c r="A64" s="54" t="inlineStr">
        <is>
          <t>3-Year Admin Savings (Low)</t>
        </is>
      </c>
      <c r="B64" s="83" t="inlineStr">
        <is>
          <t>$11,250</t>
        </is>
      </c>
      <c r="D64" s="51" t="inlineStr">
        <is>
          <t>$3,750/year  ×  3 years  =  $11,250</t>
        </is>
      </c>
    </row>
    <row r="65" ht="15" customHeight="1">
      <c r="A65" s="52" t="inlineStr">
        <is>
          <t>3-Year Admin Savings (High)</t>
        </is>
      </c>
      <c r="B65" s="84" t="inlineStr">
        <is>
          <t>$18,000</t>
        </is>
      </c>
      <c r="D65" s="48" t="inlineStr">
        <is>
          <t>$6,000/year  ×  3 years  =  $18,000</t>
        </is>
      </c>
    </row>
    <row r="66" ht="8" customHeight="1"/>
    <row r="67" ht="18" customHeight="1">
      <c r="A67" s="43" t="inlineStr">
        <is>
          <t>SECTION 6 — STEP 5: TOTAL 3-YEAR BENEFIT ROLLUP **</t>
        </is>
      </c>
    </row>
    <row r="68" ht="14" customHeight="1">
      <c r="A68" s="44" t="inlineStr">
        <is>
          <t>All components summed by scenario. The 3-Year Benefit = Consolidation Savings + Cost Avoidance + Administrative Savings.</t>
        </is>
      </c>
    </row>
    <row r="69" ht="6" customHeight="1"/>
    <row r="70" ht="30" customHeight="1">
      <c r="A70" s="75" t="inlineStr">
        <is>
          <t>COMPONENT</t>
        </is>
      </c>
      <c r="B70" s="74" t="inlineStr">
        <is>
          <t>CONSERVATIVE
(5%)</t>
        </is>
      </c>
      <c r="D70" s="74" t="inlineStr">
        <is>
          <t>MODERATE ★
(10% — Rec.)</t>
        </is>
      </c>
      <c r="F70" s="74" t="inlineStr">
        <is>
          <t>AGGRESSIVE
(15%)</t>
        </is>
      </c>
      <c r="H70" s="75" t="inlineStr">
        <is>
          <t>NOTES</t>
        </is>
      </c>
    </row>
    <row r="71" ht="16" customHeight="1">
      <c r="A71" s="46" t="inlineStr">
        <is>
          <t>3-Year Consolidation Savings</t>
        </is>
      </c>
      <c r="B71" s="47" t="n">
        <v>259675.02815625</v>
      </c>
      <c r="D71" s="47" t="n">
        <v>519350.0563125</v>
      </c>
      <c r="F71" s="47" t="n">
        <v>779025.0844687501</v>
      </c>
      <c r="H71" s="48" t="inlineStr">
        <is>
          <t>$1,731,167 × 5/10/15% × 3</t>
        </is>
      </c>
    </row>
    <row r="72" ht="16" customHeight="1">
      <c r="A72" s="49" t="inlineStr">
        <is>
          <t>3-Year Cost Avoidance</t>
        </is>
      </c>
      <c r="B72" s="50" t="n">
        <v>1641781.618016401</v>
      </c>
      <c r="D72" s="50" t="n">
        <v>1641781.618016401</v>
      </c>
      <c r="F72" s="50" t="n">
        <v>1641781.618016401</v>
      </c>
      <c r="H72" s="51" t="inlineStr">
        <is>
          <t>Yrs 1+2+3: $366,600+$542,568+$732,614</t>
        </is>
      </c>
    </row>
    <row r="73" ht="16" customHeight="1">
      <c r="A73" s="46" t="inlineStr">
        <is>
          <t>3-Year Admin Savings (midpoint)</t>
        </is>
      </c>
      <c r="B73" s="47" t="n">
        <v>11250</v>
      </c>
      <c r="D73" s="47" t="n">
        <v>14625</v>
      </c>
      <c r="F73" s="47" t="n">
        <v>18000</v>
      </c>
      <c r="H73" s="48" t="inlineStr">
        <is>
          <t>Low=$11,250  Mid=$14,625  High=$18,000</t>
        </is>
      </c>
    </row>
    <row r="74" ht="4" customHeight="1">
      <c r="A74" s="85" t="n"/>
      <c r="B74" s="85" t="n"/>
      <c r="C74" s="85" t="n"/>
      <c r="D74" s="85" t="n"/>
      <c r="E74" s="85" t="n"/>
      <c r="F74" s="85" t="n"/>
      <c r="G74" s="85" t="n"/>
      <c r="H74" s="85" t="n"/>
    </row>
    <row r="75" ht="26" customHeight="1">
      <c r="A75" s="86">
        <f> TOTAL 3-YEAR BENEFIT</f>
        <v/>
      </c>
      <c r="B75" s="87" t="n">
        <v>1912706.646172651</v>
      </c>
      <c r="C75" s="88" t="n"/>
      <c r="D75" s="89" t="n">
        <v>2175756.674328901</v>
      </c>
      <c r="E75" s="88" t="n"/>
      <c r="F75" s="87" t="n">
        <v>2438806.702485151</v>
      </c>
      <c r="G75" s="88" t="n"/>
      <c r="H75" s="90" t="inlineStr">
        <is>
          <t>★ Moderate recommended: $2,175,756.67</t>
        </is>
      </c>
    </row>
    <row r="76" ht="6" customHeight="1"/>
    <row r="77" ht="18" customHeight="1">
      <c r="A77" s="91" t="inlineStr">
        <is>
          <t>PROOF — MODERATE SCENARIO MATH CHECK **</t>
        </is>
      </c>
    </row>
    <row r="78" ht="16" customHeight="1">
      <c r="A78" s="92" t="inlineStr">
        <is>
          <t xml:space="preserve">  Step 1 — Addressable Spend:           $2,036,666.89  ×  85%  =  $1,731,166.85</t>
        </is>
      </c>
    </row>
    <row r="79" ht="16" customHeight="1">
      <c r="A79" s="92" t="inlineStr">
        <is>
          <t xml:space="preserve">  Step 2 — Annual Savings (10%):         $1,731,166.85  ×  10%  =  $173,116.69/yr  ×  3 yrs  =  $519,350.06</t>
        </is>
      </c>
    </row>
    <row r="80" ht="16" customHeight="1">
      <c r="A80" s="92" t="inlineStr">
        <is>
          <t xml:space="preserve">  Step 3 — Cost Avoidance (3 yrs):       $366,600.04  +  $542,568.06  +  $732,613.52  =  $1,641,781.62</t>
        </is>
      </c>
    </row>
    <row r="81" ht="16" customHeight="1">
      <c r="A81" s="92" t="inlineStr">
        <is>
          <t xml:space="preserve">  Step 4 — Admin Savings (midpoint):     15 POs  ×  $325/PO  =  $4,875.00/yr  ×  3 yrs  =  $14,625.00</t>
        </is>
      </c>
    </row>
    <row r="82" ht="16" customHeight="1">
      <c r="A82" s="93" t="inlineStr">
        <is>
          <t xml:space="preserve">  ─────────────────────────────────────────────────────────────────────────────────────</t>
        </is>
      </c>
    </row>
    <row r="83" ht="20" customHeight="1">
      <c r="A83" s="94" t="inlineStr">
        <is>
          <t xml:space="preserve">  TOTAL 3-YEAR BENEFIT:                 $519,350.06  +  $1,641,781.62  +  $14,625.00  =  $2,175,756.67</t>
        </is>
      </c>
    </row>
    <row r="84" ht="8" customHeight="1"/>
    <row r="85" ht="8" customHeight="1">
      <c r="A85" s="95" t="inlineStr">
        <is>
          <t>──────────────────────────────────────────────────────────────────────────────────────────────────────────────</t>
        </is>
      </c>
    </row>
    <row r="86" ht="18" customHeight="1">
      <c r="A86" s="91" t="inlineStr">
        <is>
          <t>SOURCES &amp; METHODOLOGY NOTES</t>
        </is>
      </c>
    </row>
    <row r="87" ht="4" customHeight="1"/>
    <row r="88" ht="16" customHeight="1">
      <c r="A88" s="96" t="inlineStr">
        <is>
          <t>* SAVINGS RATE BASIS — Conservative (5%) / Moderate (10%) / Aggressive (15%)</t>
        </is>
      </c>
    </row>
    <row r="89" ht="24" customHeight="1">
      <c r="A89" s="97" t="inlineStr">
        <is>
          <t>Source 1: NIGP (National Institute of Governmental Purchasing) – "Strategic Sourcing &amp; Spend Consolidation for Public Entities" (2023): Municipal landscape/grounds contracts consistently yield 8–15% savings when fragmented spend is consolidated through competitive RFP.</t>
        </is>
      </c>
    </row>
    <row r="90" ht="24" customHeight="1">
      <c r="A90" s="97" t="inlineStr">
        <is>
          <t>Source 2: NASPO (National Association of State Procurement Officials) – Cooperative Purchasing Benchmarks (2022): Grounds maintenance category average savings of 10–14% reported across state and local government cooperative contract awards.</t>
        </is>
      </c>
    </row>
    <row r="91" ht="24" customHeight="1">
      <c r="A91" s="97" t="inlineStr">
        <is>
          <t>Source 3: APPA (Association of Physical Plant Administrators) – "Grounds Management Benchmarks" (2023): Competitive rebid with consolidated volume typically produces 10–18% unit price reduction vs. incumbent sole-source pricing.</t>
        </is>
      </c>
    </row>
    <row r="92" ht="24" customHeight="1">
      <c r="A92" s="97" t="inlineStr">
        <is>
          <t>Source 4: City of Chicago CPO Office – Internal Exhibit B Consolidation Methodology: Moderate (10%) is the recommended baseline, consistent with CPO strategic sourcing methodology applied across all Exhibit B categories.</t>
        </is>
      </c>
    </row>
    <row r="93" ht="24" customHeight="1">
      <c r="A93" s="97" t="inlineStr">
        <is>
          <t>Application: Savings rate applied to Addressable Spend only (85% of annual avg). 15% excluded as already optimized, emergency-driven, or non-addressable through consolidation.</t>
        </is>
      </c>
    </row>
    <row r="94" ht="4" customHeight="1"/>
    <row r="95" ht="16" customHeight="1">
      <c r="A95" s="96" t="inlineStr">
        <is>
          <t>** 3-YEAR BENEFIT CALCULATION</t>
        </is>
      </c>
    </row>
    <row r="96" ht="24" customHeight="1">
      <c r="A96" s="97" t="inlineStr">
        <is>
          <t>Formula: (Annual Savings × 3 yrs) + (Cost Avoidance Yr1 + Yr2 + Yr3) + (Admin Savings/yr × 3 yrs)</t>
        </is>
      </c>
    </row>
    <row r="97" ht="24" customHeight="1">
      <c r="A97" s="97" t="inlineStr">
        <is>
          <t>3-year horizon = standard City of Chicago base contract term (3 years + 2 option years). Savings begin Year 1.</t>
        </is>
      </c>
    </row>
    <row r="98" ht="24" customHeight="1">
      <c r="A98" s="97" t="inlineStr">
        <is>
          <t>Cost avoidance compounds annually because market prices escalate each year while the contract price remains fixed.</t>
        </is>
      </c>
    </row>
    <row r="99" ht="4" customHeight="1"/>
    <row r="100" ht="16" customHeight="1">
      <c r="A100" s="96" t="inlineStr">
        <is>
          <t>*** COST AVOIDANCE RATE BASIS — 8% Annual Market Escalation</t>
        </is>
      </c>
    </row>
    <row r="101" ht="24" customHeight="1">
      <c r="A101" s="97" t="inlineStr">
        <is>
          <t>Source 1: U.S. Bureau of Labor Statistics (BLS) – Producer Price Index for Lawn and Garden Services (PCU561730561730): Landscape services PPI increased an average of 6.2% annually 2021–2024, driven by labor costs, fuel surcharges, and equipment inflation.</t>
        </is>
      </c>
    </row>
    <row r="102" ht="24" customHeight="1">
      <c r="A102" s="97" t="inlineStr">
        <is>
          <t>Source 2: BOMA (Building Owners &amp; Managers Association) – "Grounds Maintenance Cost Escalation Report" (2024): Municipal grounds contracts without price protection experienced 8–12% year-over-year cost increases in 2022–2024.</t>
        </is>
      </c>
    </row>
    <row r="103" ht="24" customHeight="1">
      <c r="A103" s="97" t="inlineStr">
        <is>
          <t>Source 3: City of Chicago Observed Trend (Exhibit B Data): Landscaping Exhibit B spend grew from $544K (2023) to $4.06M (2025) — CAGR of ~65%, reflecting volume growth AND price escalation. 8% assumption is conservative.</t>
        </is>
      </c>
    </row>
    <row r="104" ht="24" customHeight="1">
      <c r="A104" s="97" t="inlineStr">
        <is>
          <t>Application: Annual avoidance = (Avg Spend × 1.08ⁿ) − Locked Contract Price. Contract price = Avg Spend × 90% (reflecting 10% savings locked in at award).</t>
        </is>
      </c>
    </row>
    <row r="105" ht="4" customHeight="1"/>
    <row r="106" ht="16" customHeight="1">
      <c r="A106" s="96" t="inlineStr">
        <is>
          <t>**** ADMINISTRATIVE SAVINGS BASIS — $250–$400 Per Purchase Order</t>
        </is>
      </c>
    </row>
    <row r="107" ht="24" customHeight="1">
      <c r="A107" s="97" t="inlineStr">
        <is>
          <t>Source 1: Institute for Supply Management (ISM) – "Cost of a Purchase Order" Research (2022): Government/public sector PO processing: $217–$462 per requisition. Average for mid-complexity government transaction: ~$325.</t>
        </is>
      </c>
    </row>
    <row r="108" ht="24" customHeight="1">
      <c r="A108" s="97" t="inlineStr">
        <is>
          <t>Source 2: Aberdeen Group / Ardent Partners – "Procurement Operations Benchmarks" (2023): Manual PO processing $350–$500; e-procurement systems $150–$250. City of Chicago Exhibit B assumed at midpoint: $275–$400.</t>
        </is>
      </c>
    </row>
    <row r="109" ht="24" customHeight="1">
      <c r="A109" s="97" t="inlineStr">
        <is>
          <t>Source 3: APQC (American Productivity &amp; Quality Center) – "Cost Per Purchase Order Benchmarks" (2024): Top-quartile government = $185/PO; Median = $310/PO; Bottom-quartile = $450+/PO.</t>
        </is>
      </c>
    </row>
    <row r="110" ht="24" customHeight="1">
      <c r="A110" s="97" t="inlineStr">
        <is>
          <t>Application: 15 POs eliminated/year × $250–$400 = $3,750–$6,000/year → $11,250–$18,000 over 3 years. Midpoint ($14,625) used in Moderate scenario.</t>
        </is>
      </c>
    </row>
    <row r="111" ht="4" customHeight="1"/>
    <row r="112" ht="36" customHeight="1">
      <c r="A112" s="98" t="inlineStr">
        <is>
          <t>All savings and cost avoidance figures are estimates based on industry benchmarks and historical trend analysis. Actual results will vary based on market conditions, vendor competition, and contract execution. Moderate scenario (10%) is the recommended planning figure per CPO Exhibit B consolidation methodology.</t>
        </is>
      </c>
    </row>
  </sheetData>
  <mergeCells count="76">
    <mergeCell ref="D59:H59"/>
    <mergeCell ref="C25:H25"/>
    <mergeCell ref="D60:H60"/>
    <mergeCell ref="A67:H67"/>
    <mergeCell ref="A30:H30"/>
    <mergeCell ref="A39:H39"/>
    <mergeCell ref="H75"/>
    <mergeCell ref="A77:H77"/>
    <mergeCell ref="A83:H83"/>
    <mergeCell ref="A92:H92"/>
    <mergeCell ref="D10:H10"/>
    <mergeCell ref="A51:H51"/>
    <mergeCell ref="A107:H107"/>
    <mergeCell ref="D63:H63"/>
    <mergeCell ref="A82:H82"/>
    <mergeCell ref="A98:H98"/>
    <mergeCell ref="H71"/>
    <mergeCell ref="A1:H1"/>
    <mergeCell ref="A103:H103"/>
    <mergeCell ref="A110:H110"/>
    <mergeCell ref="A79:H79"/>
    <mergeCell ref="A88:H88"/>
    <mergeCell ref="D65:H65"/>
    <mergeCell ref="A78:H78"/>
    <mergeCell ref="D57:H57"/>
    <mergeCell ref="C27:H27"/>
    <mergeCell ref="A54:H54"/>
    <mergeCell ref="D11:H11"/>
    <mergeCell ref="D13:H13"/>
    <mergeCell ref="A90:H90"/>
    <mergeCell ref="A108:H108"/>
    <mergeCell ref="D61:H61"/>
    <mergeCell ref="A80:H80"/>
    <mergeCell ref="A89:H89"/>
    <mergeCell ref="D17:H17"/>
    <mergeCell ref="A101:H101"/>
    <mergeCell ref="A86:H86"/>
    <mergeCell ref="D16:H16"/>
    <mergeCell ref="A95:H95"/>
    <mergeCell ref="A2:H2"/>
    <mergeCell ref="A104:H104"/>
    <mergeCell ref="A85:H85"/>
    <mergeCell ref="A42:H42"/>
    <mergeCell ref="H73"/>
    <mergeCell ref="A5:H5"/>
    <mergeCell ref="A23:H23"/>
    <mergeCell ref="A32:H32"/>
    <mergeCell ref="D62:H62"/>
    <mergeCell ref="D58:H58"/>
    <mergeCell ref="A22:H22"/>
    <mergeCell ref="D9:H9"/>
    <mergeCell ref="A97:H97"/>
    <mergeCell ref="A4:H4"/>
    <mergeCell ref="D12:H12"/>
    <mergeCell ref="A100:H100"/>
    <mergeCell ref="D8:H8"/>
    <mergeCell ref="A91:H91"/>
    <mergeCell ref="D15:H15"/>
    <mergeCell ref="A29:H29"/>
    <mergeCell ref="A106:H106"/>
    <mergeCell ref="A109:H109"/>
    <mergeCell ref="A20:H20"/>
    <mergeCell ref="A43:H43"/>
    <mergeCell ref="D64:H64"/>
    <mergeCell ref="A81:H81"/>
    <mergeCell ref="A52:H52"/>
    <mergeCell ref="A96:H96"/>
    <mergeCell ref="A112:H112"/>
    <mergeCell ref="A19:H19"/>
    <mergeCell ref="A68:H68"/>
    <mergeCell ref="H72"/>
    <mergeCell ref="D14:H14"/>
    <mergeCell ref="C26:H26"/>
    <mergeCell ref="A102:H102"/>
    <mergeCell ref="A93:H93"/>
    <mergeCell ref="A40:H4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
  <sheetViews>
    <sheetView showGridLines="0" workbookViewId="0">
      <selection activeCell="A1" sqref="A1"/>
    </sheetView>
  </sheetViews>
  <sheetFormatPr baseColWidth="8" defaultRowHeight="15"/>
  <cols>
    <col width="40" customWidth="1" min="1" max="1"/>
    <col width="25" customWidth="1" min="2" max="2"/>
    <col width="20" customWidth="1" min="3" max="3"/>
  </cols>
  <sheetData>
    <row r="1">
      <c r="A1" s="5" t="inlineStr">
        <is>
          <t>DETAILED CALCULATIONS: LANDSCAPING SERVICES SAVINGS MODEL</t>
        </is>
      </c>
    </row>
    <row r="3">
      <c r="A3" s="9" t="inlineStr">
        <is>
          <t>ADDRESSABLE SPEND CALCULATION</t>
        </is>
      </c>
    </row>
    <row r="4">
      <c r="A4" s="4" t="inlineStr">
        <is>
          <t>Total 5-Year Landscaping Spend</t>
        </is>
      </c>
      <c r="B4" s="6" t="n">
        <v>8562288.85</v>
      </c>
    </row>
    <row r="5">
      <c r="A5" s="4" t="inlineStr">
        <is>
          <t>Annual Average (2022–2025)</t>
        </is>
      </c>
      <c r="B5" s="6" t="n">
        <v>2036666.8875</v>
      </c>
    </row>
    <row r="6">
      <c r="A6" s="4" t="inlineStr">
        <is>
          <t>Less: Already Optimized / Non-Addressable (15%)</t>
        </is>
      </c>
      <c r="B6" s="6" t="n">
        <v>305500.033125</v>
      </c>
    </row>
    <row r="7">
      <c r="A7" s="3" t="inlineStr">
        <is>
          <t>Addressable Spend (Annual)</t>
        </is>
      </c>
      <c r="B7" s="33" t="n">
        <v>1731166.854375</v>
      </c>
    </row>
    <row r="10">
      <c r="A10" s="9" t="inlineStr">
        <is>
          <t>CONSOLIDATION SAVINGS CALCULATION</t>
        </is>
      </c>
    </row>
    <row r="11">
      <c r="A11" s="15" t="inlineStr">
        <is>
          <t>Scenario</t>
        </is>
      </c>
      <c r="B11" s="15" t="inlineStr">
        <is>
          <t>Savings Rate</t>
        </is>
      </c>
      <c r="C11" s="15" t="inlineStr">
        <is>
          <t>Annual Savings</t>
        </is>
      </c>
      <c r="D11" s="15" t="inlineStr">
        <is>
          <t>3-Year Savings</t>
        </is>
      </c>
    </row>
    <row r="12">
      <c r="A12" s="4" t="inlineStr">
        <is>
          <t>Conservative</t>
        </is>
      </c>
      <c r="B12" s="27" t="n">
        <v>0.05</v>
      </c>
      <c r="C12" s="6" t="n">
        <v>86558.34271875001</v>
      </c>
      <c r="D12" s="6" t="n">
        <v>259675.02815625</v>
      </c>
    </row>
    <row r="13">
      <c r="A13" s="4" t="inlineStr">
        <is>
          <t>Moderate (Recommended)</t>
        </is>
      </c>
      <c r="B13" s="27" t="n">
        <v>0.1</v>
      </c>
      <c r="C13" s="6" t="n">
        <v>173116.6854375</v>
      </c>
      <c r="D13" s="6" t="n">
        <v>519350.0563125</v>
      </c>
    </row>
    <row r="14">
      <c r="A14" s="4" t="inlineStr">
        <is>
          <t>Aggressive</t>
        </is>
      </c>
      <c r="B14" s="27" t="n">
        <v>0.15</v>
      </c>
      <c r="C14" s="6" t="n">
        <v>259675.02815625</v>
      </c>
      <c r="D14" s="6" t="n">
        <v>779025.0844687498</v>
      </c>
    </row>
    <row r="16">
      <c r="A16" s="9" t="inlineStr">
        <is>
          <t>COST AVOIDANCE CALCULATION</t>
        </is>
      </c>
    </row>
    <row r="17">
      <c r="A17" s="4" t="inlineStr">
        <is>
          <t>Assumption: 5% annual cost inflation without a negotiated contract</t>
        </is>
      </c>
    </row>
    <row r="18">
      <c r="A18" s="4" t="inlineStr">
        <is>
          <t>Year 1 Avoidance: $86,558.34  (Addressable Spend × 5%)</t>
        </is>
      </c>
    </row>
    <row r="19">
      <c r="A19" s="4" t="inlineStr">
        <is>
          <t>Year 2 Avoidance: $173,116.69  (Addressable Spend × 5% × 2)</t>
        </is>
      </c>
    </row>
    <row r="20">
      <c r="A20" s="4" t="inlineStr">
        <is>
          <t>Year 3 Avoidance: $259,675.03  (Addressable Spend × 5% × 3)</t>
        </is>
      </c>
    </row>
    <row r="21">
      <c r="A21" s="3" t="inlineStr">
        <is>
          <t>Total 3-Year Avoidance: $519,350.06</t>
        </is>
      </c>
    </row>
    <row r="23">
      <c r="A23" s="9" t="inlineStr">
        <is>
          <t>PO PROCESSING COST CALCULATION</t>
        </is>
      </c>
    </row>
    <row r="24">
      <c r="A24" s="4" t="inlineStr">
        <is>
          <t>Current annual POs: 23  |  Under BPA structure: 8</t>
        </is>
      </c>
    </row>
    <row r="25">
      <c r="A25" s="4" t="inlineStr">
        <is>
          <t>POs eliminated: 15/year</t>
        </is>
      </c>
    </row>
    <row r="26">
      <c r="A26" s="4" t="inlineStr">
        <is>
          <t>Cost per PO (low/high): $250–$400</t>
        </is>
      </c>
    </row>
    <row r="27">
      <c r="A27" s="3" t="inlineStr">
        <is>
          <t>Annual admin savings: $3,750–$6,000</t>
        </is>
      </c>
    </row>
    <row r="29">
      <c r="A29" s="9" t="inlineStr">
        <is>
          <t>TOTAL 3-YEAR BENEFIT (MODERATE SCENARIO)</t>
        </is>
      </c>
    </row>
    <row r="30">
      <c r="A30" s="4" t="inlineStr">
        <is>
          <t>3-Year Savings (Moderate 10%):</t>
        </is>
      </c>
      <c r="B30" s="34" t="n">
        <v>519350.0563125</v>
      </c>
    </row>
    <row r="31">
      <c r="A31" s="4" t="inlineStr">
        <is>
          <t>3-Year Cost Avoidance:</t>
        </is>
      </c>
      <c r="B31" s="34" t="n">
        <v>519350.0563125</v>
      </c>
    </row>
    <row r="32">
      <c r="A32" s="9" t="inlineStr">
        <is>
          <t>TOTAL 3-YEAR BENEFIT:</t>
        </is>
      </c>
      <c r="B32" s="10" t="n">
        <v>1038700.112625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60" customWidth="1" min="1" max="1"/>
  </cols>
  <sheetData>
    <row r="1">
      <c r="A1" s="5" t="inlineStr">
        <is>
          <t>METHODOLOGY &amp; ASSUMPTIONS</t>
        </is>
      </c>
    </row>
    <row r="3">
      <c r="A3" s="9" t="inlineStr">
        <is>
          <t>DATA SOURCE</t>
        </is>
      </c>
    </row>
    <row r="4">
      <c r="A4" s="4" t="inlineStr">
        <is>
          <t>City of Chicago 5-Year Exhibit B Spend Report (Jan 2021 – Jan 2026)</t>
        </is>
      </c>
    </row>
    <row r="5">
      <c r="A5" s="4" t="inlineStr">
        <is>
          <t>Total Records in Source File: 5,103 | Total Exhibit B Spend: $297,964,917.35</t>
        </is>
      </c>
    </row>
    <row r="6">
      <c r="A6" s="4" t="inlineStr">
        <is>
          <t>Landscaping Records Identified: 115 | Landscaping Spend: $8,562,288.85</t>
        </is>
      </c>
    </row>
    <row r="8">
      <c r="A8" s="9" t="inlineStr">
        <is>
          <t>APPROACH</t>
        </is>
      </c>
    </row>
    <row r="9" ht="30" customHeight="1">
      <c r="A9" s="25" t="inlineStr">
        <is>
          <t>1. Data Categorization — All 5,103 Exhibit B records reviewed; landscaping services identified via keyword matching on vendor name, description, and justification fields.</t>
        </is>
      </c>
    </row>
    <row r="10" ht="30" customHeight="1">
      <c r="A10" s="25" t="inlineStr">
        <is>
          <t>2. Verification — False positives removed: elevator services ("Parkway Elevators"), tree stump removal, graffiti removal, janitorial services, and health services were excluded.</t>
        </is>
      </c>
    </row>
    <row r="11" ht="30" customHeight="1">
      <c r="A11" s="25" t="inlineStr">
        <is>
          <t>3. Spend Analysis — Confirmed 115 records totaling $8,562,288.85 across 7 vendors and 4 departments over the 5-year period.</t>
        </is>
      </c>
    </row>
    <row r="12" ht="30" customHeight="1">
      <c r="A12" s="25" t="inlineStr">
        <is>
          <t>4. Pareto Analysis — Applied 80/20 rule to identify top vendors and departments driving the majority of spend.</t>
        </is>
      </c>
    </row>
    <row r="13" ht="30" customHeight="1">
      <c r="A13" s="25" t="inlineStr">
        <is>
          <t>5. Vendor Analysis — Assessed vendor contract status, transaction frequency, and cross-department usage patterns.</t>
        </is>
      </c>
    </row>
    <row r="14" ht="30" customHeight="1">
      <c r="A14" s="25" t="inlineStr">
        <is>
          <t>6. Savings Modeling — Applied Conservative (5%), Moderate (10%), and Aggressive (15%) savings scenarios to addressable spend.</t>
        </is>
      </c>
    </row>
    <row r="16">
      <c r="A16" s="9" t="inlineStr">
        <is>
          <t>ASSUMPTIONS</t>
        </is>
      </c>
    </row>
    <row r="17">
      <c r="A17" s="4" t="inlineStr">
        <is>
          <t>• 15% of annual spend excluded as already optimized or non-addressable (same methodology as full Exhibit B analysis)</t>
        </is>
      </c>
    </row>
    <row r="18">
      <c r="A18" s="4" t="inlineStr">
        <is>
          <t>• 5% annual cost inflation assumed for cost avoidance calculation (conservative; actual 2021–2025 trend was higher)</t>
        </is>
      </c>
    </row>
    <row r="19">
      <c r="A19" s="4" t="inlineStr">
        <is>
          <t>• 3-year contract term used for benefit projections (standard City of Chicago contract base period)</t>
        </is>
      </c>
    </row>
    <row r="20">
      <c r="A20" s="4" t="inlineStr">
        <is>
          <t>• Moderate scenario (10% savings) recommended based on competitive RFP market benchmarks for similar municipal landscaping contracts</t>
        </is>
      </c>
    </row>
    <row r="21">
      <c r="A21" s="4" t="inlineStr">
        <is>
          <t>• PO processing cost estimated at $250–$400 per requisition (industry standard for government procurement)</t>
        </is>
      </c>
    </row>
    <row r="22">
      <c r="A22" s="4" t="inlineStr">
        <is>
          <t>• Annual average spend baseline uses 2022–2025 data (4 full calendar years); 2021 and 2026 excluded as partial years</t>
        </is>
      </c>
    </row>
    <row r="24">
      <c r="A24" s="9" t="inlineStr">
        <is>
          <t>LIMITATIONS</t>
        </is>
      </c>
    </row>
    <row r="25">
      <c r="A25" s="4" t="inlineStr">
        <is>
          <t>• Analysis based on Exhibit B data only; departmental purchase orders outside Exhibit B are not captured and may understate total landscaping spend.</t>
        </is>
      </c>
    </row>
    <row r="26">
      <c r="A26" s="4" t="inlineStr">
        <is>
          <t>• Vendor names may have slight variations; consolidation was applied conservatively to avoid over-counting.</t>
        </is>
      </c>
    </row>
    <row r="27">
      <c r="A27" s="4" t="inlineStr">
        <is>
          <t>• Contract numbers for 5 of 7 vendors show as "na" or blank in the source data; actual contract status should be verified with DPS contract management.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RowHeight="15"/>
  <cols>
    <col width="8" customWidth="1" min="1" max="1"/>
    <col width="50" customWidth="1" min="2" max="2"/>
    <col width="10" customWidth="1" min="3" max="3"/>
    <col width="18" customWidth="1" min="4" max="4"/>
    <col width="12" customWidth="1" min="5" max="5"/>
    <col width="15" customWidth="1" min="6" max="6"/>
    <col width="20" customWidth="1" min="7" max="7"/>
  </cols>
  <sheetData>
    <row r="1">
      <c r="A1" s="5" t="inlineStr">
        <is>
          <t>DEPARTMENT SPEND ANALYSIS – LANDSCAPING SERVICES</t>
        </is>
      </c>
    </row>
    <row r="3">
      <c r="A3" s="15" t="inlineStr">
        <is>
          <t>Rank</t>
        </is>
      </c>
      <c r="B3" s="15" t="inlineStr">
        <is>
          <t>Department</t>
        </is>
      </c>
      <c r="C3" s="15" t="inlineStr">
        <is>
          <t>Dept Code</t>
        </is>
      </c>
      <c r="D3" s="15" t="inlineStr">
        <is>
          <t>Total Spend</t>
        </is>
      </c>
      <c r="E3" s="15" t="inlineStr">
        <is>
          <t>Transaction Count</t>
        </is>
      </c>
      <c r="F3" s="15" t="inlineStr">
        <is>
          <t>% of Total</t>
        </is>
      </c>
      <c r="G3" s="15" t="inlineStr">
        <is>
          <t>Cumulative %</t>
        </is>
      </c>
    </row>
    <row r="4">
      <c r="A4" s="4" t="n">
        <v>1</v>
      </c>
      <c r="B4" s="4" t="inlineStr">
        <is>
          <t>84-CHICAGO DEPARTMENT OF TRANSPORTATION</t>
        </is>
      </c>
      <c r="C4" s="4" t="inlineStr">
        <is>
          <t>84-CDOT</t>
        </is>
      </c>
      <c r="D4" s="6" t="n">
        <v>5187712.29</v>
      </c>
      <c r="E4" s="4" t="n">
        <v>80</v>
      </c>
      <c r="F4" s="14" t="n">
        <v>0.605879149942483</v>
      </c>
      <c r="G4" s="14" t="n">
        <v>0.605879149942483</v>
      </c>
    </row>
    <row r="5">
      <c r="A5" s="4" t="n">
        <v>2</v>
      </c>
      <c r="B5" s="4" t="inlineStr">
        <is>
          <t>38-DEPARTMENT OF FLEET AND FACILITY MANAGEMENT</t>
        </is>
      </c>
      <c r="C5" s="4" t="inlineStr">
        <is>
          <t>38-2FM</t>
        </is>
      </c>
      <c r="D5" s="6" t="n">
        <v>3293432.81</v>
      </c>
      <c r="E5" s="4" t="n">
        <v>32</v>
      </c>
      <c r="F5" s="14" t="n">
        <v>0.3846439740233711</v>
      </c>
      <c r="G5" s="14" t="n">
        <v>0.9905231239658542</v>
      </c>
    </row>
    <row r="6">
      <c r="A6" s="4" t="n">
        <v>3</v>
      </c>
      <c r="B6" s="4" t="inlineStr">
        <is>
          <t>85-CHICAGO DEPARTMENT OF AVIATION</t>
        </is>
      </c>
      <c r="C6" s="4" t="inlineStr">
        <is>
          <t>85-CDA</t>
        </is>
      </c>
      <c r="D6" s="6" t="n">
        <v>81143.75</v>
      </c>
      <c r="E6" s="4" t="n">
        <v>2</v>
      </c>
      <c r="F6" s="14" t="n">
        <v>0.00947687603414594</v>
      </c>
      <c r="G6" s="14" t="n">
        <v>1</v>
      </c>
    </row>
    <row r="7">
      <c r="A7" s="4" t="n">
        <v>4</v>
      </c>
      <c r="B7" s="4" t="inlineStr">
        <is>
          <t>41-CHICAGO DEPARTMENT OF PUBLIC HEALTH</t>
        </is>
      </c>
      <c r="C7" s="4" t="inlineStr">
        <is>
          <t>41-CDPH</t>
        </is>
      </c>
      <c r="D7" s="6" t="n">
        <v>0</v>
      </c>
      <c r="E7" s="4" t="n">
        <v>1</v>
      </c>
      <c r="F7" s="14" t="n">
        <v>0</v>
      </c>
      <c r="G7" s="14" t="n">
        <v>1</v>
      </c>
    </row>
    <row r="8">
      <c r="A8" s="3" t="inlineStr">
        <is>
          <t>TOTAL</t>
        </is>
      </c>
      <c r="D8" s="33" t="n">
        <v>8562288.85</v>
      </c>
      <c r="E8" s="3" t="n">
        <v>115</v>
      </c>
      <c r="F8" s="20"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8" customWidth="1" min="1" max="1"/>
    <col width="40" customWidth="1" min="2" max="2"/>
    <col width="18" customWidth="1" min="3" max="3"/>
    <col width="15" customWidth="1" min="4" max="4"/>
    <col width="12" customWidth="1" min="5" max="5"/>
    <col width="50" customWidth="1" min="6" max="6"/>
    <col width="12" customWidth="1" min="7" max="7"/>
    <col width="30" customWidth="1" min="8" max="8"/>
  </cols>
  <sheetData>
    <row r="1">
      <c r="A1" s="5" t="inlineStr">
        <is>
          <t>VENDOR SPEND ANALYSIS – LANDSCAPING SERVICES</t>
        </is>
      </c>
    </row>
    <row r="3">
      <c r="A3" s="15" t="inlineStr">
        <is>
          <t>Rank</t>
        </is>
      </c>
      <c r="B3" s="15" t="inlineStr">
        <is>
          <t>Vendor Name</t>
        </is>
      </c>
      <c r="C3" s="15" t="inlineStr">
        <is>
          <t>Total Spend</t>
        </is>
      </c>
      <c r="D3" s="15" t="inlineStr">
        <is>
          <t>Transaction Count</t>
        </is>
      </c>
      <c r="E3" s="15" t="inlineStr">
        <is>
          <t>Departments Served</t>
        </is>
      </c>
      <c r="F3" s="15" t="inlineStr">
        <is>
          <t>Department Names</t>
        </is>
      </c>
      <c r="G3" s="15" t="inlineStr">
        <is>
          <t>% of Total</t>
        </is>
      </c>
      <c r="H3" s="15" t="inlineStr">
        <is>
          <t>Flag</t>
        </is>
      </c>
    </row>
    <row r="4">
      <c r="A4" s="4" t="n">
        <v>1</v>
      </c>
      <c r="B4" s="4" t="inlineStr">
        <is>
          <t>A SAFE HAVEN FOUNDATION</t>
        </is>
      </c>
      <c r="C4" s="6" t="n">
        <v>2338012.55</v>
      </c>
      <c r="D4" s="4" t="n">
        <v>32</v>
      </c>
      <c r="E4" s="4" t="n">
        <v>3</v>
      </c>
      <c r="F4" s="4" t="inlineStr">
        <is>
          <t>38-DEPARTMENT OF FLEET AND FACILITY MANAGEMENT, 41-CHICAGO DEPARTMENT OF PUBLIC HEALTH, 84-CHICAGO DEPARTMENT OF TRANSPORTATION</t>
        </is>
      </c>
      <c r="G4" s="14" t="n">
        <v>0.2730592941862736</v>
      </c>
      <c r="H4" s="16" t="inlineStr">
        <is>
          <t>Cross-Department Consolidation Opportunity</t>
        </is>
      </c>
    </row>
    <row r="5">
      <c r="A5" s="4" t="n">
        <v>2</v>
      </c>
      <c r="B5" s="4" t="inlineStr">
        <is>
          <t>LIZZETTE MEDINA &amp; COMPANY</t>
        </is>
      </c>
      <c r="C5" s="6" t="n">
        <v>2151043.91</v>
      </c>
      <c r="D5" s="4" t="n">
        <v>32</v>
      </c>
      <c r="E5" s="4" t="n">
        <v>2</v>
      </c>
      <c r="F5" s="4" t="inlineStr">
        <is>
          <t>38-DEPARTMENT OF FLEET AND FACILITY MANAGEMENT, 84-CHICAGO DEPARTMENT OF TRANSPORTATION</t>
        </is>
      </c>
      <c r="G5" s="14" t="n">
        <v>0.2512230021298569</v>
      </c>
      <c r="H5" s="16" t="inlineStr">
        <is>
          <t>Cross-Department Consolidation Opportunity</t>
        </is>
      </c>
    </row>
    <row r="6">
      <c r="A6" s="4" t="n">
        <v>3</v>
      </c>
      <c r="B6" s="4" t="inlineStr">
        <is>
          <t>MOORE LANDSCAPES LLC</t>
        </is>
      </c>
      <c r="C6" s="6" t="n">
        <v>2040628.41</v>
      </c>
      <c r="D6" s="4" t="n">
        <v>17</v>
      </c>
      <c r="E6" s="4" t="n">
        <v>1</v>
      </c>
      <c r="F6" s="4" t="inlineStr">
        <is>
          <t>84-CHICAGO DEPARTMENT OF TRANSPORTATION</t>
        </is>
      </c>
      <c r="G6" s="14" t="n">
        <v>0.2383274432513451</v>
      </c>
      <c r="H6" s="21" t="inlineStr">
        <is>
          <t>Single-Department</t>
        </is>
      </c>
    </row>
    <row r="7">
      <c r="A7" s="4" t="n">
        <v>4</v>
      </c>
      <c r="B7" s="4" t="inlineStr">
        <is>
          <t>CHRISTY WEBBER LANDSCAPES</t>
        </is>
      </c>
      <c r="C7" s="6" t="n">
        <v>950462.03</v>
      </c>
      <c r="D7" s="4" t="n">
        <v>23</v>
      </c>
      <c r="E7" s="4" t="n">
        <v>2</v>
      </c>
      <c r="F7" s="4" t="inlineStr">
        <is>
          <t>38-DEPARTMENT OF FLEET AND FACILITY MANAGEMENT, 84-CHICAGO DEPARTMENT OF TRANSPORTATION</t>
        </is>
      </c>
      <c r="G7" s="14" t="n">
        <v>0.1110056021994633</v>
      </c>
      <c r="H7" s="16" t="inlineStr">
        <is>
          <t>Cross-Department Consolidation Opportunity</t>
        </is>
      </c>
    </row>
    <row r="8">
      <c r="A8" s="4" t="n">
        <v>5</v>
      </c>
      <c r="B8" s="4" t="inlineStr">
        <is>
          <t>Yellowstone Landscape, Inc</t>
        </is>
      </c>
      <c r="C8" s="6" t="n">
        <v>876998.2000000001</v>
      </c>
      <c r="D8" s="4" t="n">
        <v>7</v>
      </c>
      <c r="E8" s="4" t="n">
        <v>1</v>
      </c>
      <c r="F8" s="4" t="inlineStr">
        <is>
          <t>84-CHICAGO DEPARTMENT OF TRANSPORTATION</t>
        </is>
      </c>
      <c r="G8" s="14" t="n">
        <v>0.1024256732474051</v>
      </c>
      <c r="H8" s="21" t="inlineStr">
        <is>
          <t>Single-Department</t>
        </is>
      </c>
    </row>
    <row r="9">
      <c r="A9" s="4" t="n">
        <v>6</v>
      </c>
      <c r="B9" s="4" t="inlineStr">
        <is>
          <t>PAMELA SELF LANDSCAPE ARCHITECTURE LTD</t>
        </is>
      </c>
      <c r="C9" s="6" t="n">
        <v>124000</v>
      </c>
      <c r="D9" s="4" t="n">
        <v>2</v>
      </c>
      <c r="E9" s="4" t="n">
        <v>1</v>
      </c>
      <c r="F9" s="4" t="inlineStr">
        <is>
          <t>84-CHICAGO DEPARTMENT OF TRANSPORTATION</t>
        </is>
      </c>
      <c r="G9" s="14" t="n">
        <v>0.01448210895151009</v>
      </c>
      <c r="H9" s="21" t="inlineStr">
        <is>
          <t>Single-Department</t>
        </is>
      </c>
    </row>
    <row r="10">
      <c r="A10" s="4" t="n">
        <v>7</v>
      </c>
      <c r="B10" s="4" t="inlineStr">
        <is>
          <t>CITYESCAPE GARDEN &amp; DESIGN,LLC</t>
        </is>
      </c>
      <c r="C10" s="6" t="n">
        <v>81143.75</v>
      </c>
      <c r="D10" s="4" t="n">
        <v>2</v>
      </c>
      <c r="E10" s="4" t="n">
        <v>1</v>
      </c>
      <c r="F10" s="4" t="inlineStr">
        <is>
          <t>85-CHICAGO DEPARTMENT OF AVIATION</t>
        </is>
      </c>
      <c r="G10" s="14" t="n">
        <v>0.00947687603414594</v>
      </c>
      <c r="H10" s="21" t="inlineStr">
        <is>
          <t>Single-Department</t>
        </is>
      </c>
    </row>
    <row r="11">
      <c r="A11" s="3" t="inlineStr">
        <is>
          <t>TOTAL</t>
        </is>
      </c>
      <c r="C11" s="33" t="n">
        <v>8562288.85</v>
      </c>
      <c r="D11" s="3" t="n">
        <v>115</v>
      </c>
      <c r="G11" s="20"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8" customWidth="1" min="1" max="1"/>
    <col width="40" customWidth="1" min="2" max="2"/>
    <col width="18" customWidth="1" min="3" max="3"/>
    <col width="15" customWidth="1" min="4" max="4"/>
    <col width="12" customWidth="1" min="5" max="5"/>
    <col width="12" customWidth="1" min="6" max="6"/>
    <col width="15" customWidth="1" min="7" max="7"/>
    <col width="30" customWidth="1" min="8" max="8"/>
  </cols>
  <sheetData>
    <row r="1">
      <c r="A1" s="5" t="inlineStr">
        <is>
          <t>CATEGORY SPEND ANALYSIS – LANDSCAPING SERVICES</t>
        </is>
      </c>
    </row>
    <row r="3">
      <c r="A3" s="15" t="inlineStr">
        <is>
          <t>Rank</t>
        </is>
      </c>
      <c r="B3" s="15" t="inlineStr">
        <is>
          <t>Sub-Category</t>
        </is>
      </c>
      <c r="C3" s="15" t="inlineStr">
        <is>
          <t>Total Spend</t>
        </is>
      </c>
      <c r="D3" s="15" t="inlineStr">
        <is>
          <t>Transaction Count</t>
        </is>
      </c>
      <c r="E3" s="15" t="inlineStr">
        <is>
          <t>Vendor Count</t>
        </is>
      </c>
      <c r="F3" s="15" t="inlineStr">
        <is>
          <t>% of Total</t>
        </is>
      </c>
      <c r="G3" s="15" t="inlineStr">
        <is>
          <t>Cumulative %</t>
        </is>
      </c>
      <c r="H3" s="15" t="inlineStr">
        <is>
          <t>Flag</t>
        </is>
      </c>
    </row>
    <row r="4">
      <c r="A4" s="4" t="n">
        <v>1</v>
      </c>
      <c r="B4" s="4" t="inlineStr">
        <is>
          <t>Comprehensive Landscape Maintenance (Regional)</t>
        </is>
      </c>
      <c r="C4" s="6" t="n">
        <v>5340616.49</v>
      </c>
      <c r="D4" s="4" t="n">
        <v>82</v>
      </c>
      <c r="E4" s="4" t="n">
        <v>6</v>
      </c>
      <c r="F4" s="14" t="n">
        <v>0.6237370151323498</v>
      </c>
      <c r="G4" s="14" t="n">
        <v>0.6237370151323498</v>
      </c>
      <c r="H4" s="21" t="inlineStr">
        <is>
          <t>Strategic Sourcing Candidate</t>
        </is>
      </c>
    </row>
    <row r="5">
      <c r="A5" s="4" t="n">
        <v>2</v>
      </c>
      <c r="B5" s="4" t="inlineStr">
        <is>
          <t>Other Landscaping / Grounds Services</t>
        </is>
      </c>
      <c r="C5" s="6" t="n">
        <v>3091907.47</v>
      </c>
      <c r="D5" s="4" t="n">
        <v>30</v>
      </c>
      <c r="E5" s="4" t="n">
        <v>4</v>
      </c>
      <c r="F5" s="14" t="n">
        <v>0.3611075874881282</v>
      </c>
      <c r="G5" s="14" t="n">
        <v>0.984844602620478</v>
      </c>
      <c r="H5" s="21" t="inlineStr">
        <is>
          <t>Strategic Sourcing Candidate</t>
        </is>
      </c>
    </row>
    <row r="6">
      <c r="A6" s="4" t="n">
        <v>3</v>
      </c>
      <c r="B6" s="4" t="inlineStr">
        <is>
          <t>Landscape Architecture / Design</t>
        </is>
      </c>
      <c r="C6" s="6" t="n">
        <v>205143.75</v>
      </c>
      <c r="D6" s="4" t="n">
        <v>4</v>
      </c>
      <c r="E6" s="4" t="n">
        <v>2</v>
      </c>
      <c r="F6" s="14" t="n">
        <v>0.02395898498565603</v>
      </c>
      <c r="G6" s="14" t="n">
        <v>1.008803587606134</v>
      </c>
      <c r="H6" s="21" t="inlineStr">
        <is>
          <t>Strategic Sourcing Candidate</t>
        </is>
      </c>
    </row>
    <row r="7">
      <c r="A7" s="4" t="n">
        <v>4</v>
      </c>
      <c r="B7" s="4" t="inlineStr">
        <is>
          <t>Irrigation System Services</t>
        </is>
      </c>
      <c r="C7" s="6" t="n">
        <v>81143.75</v>
      </c>
      <c r="D7" s="4" t="n">
        <v>2</v>
      </c>
      <c r="E7" s="4" t="n">
        <v>1</v>
      </c>
      <c r="F7" s="14" t="n">
        <v>0.00947687603414594</v>
      </c>
      <c r="G7" s="14" t="n">
        <v>1.01828046364028</v>
      </c>
      <c r="H7" s="21" t="inlineStr">
        <is>
          <t>Strategic Sourcing Candidate</t>
        </is>
      </c>
    </row>
    <row r="8">
      <c r="A8" s="4" t="n">
        <v>5</v>
      </c>
      <c r="B8" s="4" t="inlineStr">
        <is>
          <t>Lawn &amp; Grounds Maintenance</t>
        </is>
      </c>
      <c r="C8" s="6" t="n">
        <v>0</v>
      </c>
      <c r="D8" s="4" t="n">
        <v>0</v>
      </c>
      <c r="E8" s="4" t="n">
        <v>0</v>
      </c>
      <c r="F8" s="14" t="n">
        <v>0</v>
      </c>
      <c r="G8" s="14" t="n">
        <v>1.01828046364028</v>
      </c>
      <c r="H8" s="21" t="inlineStr">
        <is>
          <t>Strategic Sourcing Candidate</t>
        </is>
      </c>
    </row>
    <row r="9">
      <c r="A9" s="3" t="inlineStr">
        <is>
          <t>TOTAL</t>
        </is>
      </c>
      <c r="C9" s="33" t="n">
        <v>8562288.85</v>
      </c>
      <c r="D9" s="3" t="n">
        <v>115</v>
      </c>
      <c r="F9" s="2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2026-02-27T17:49:57Z</dcterms:created>
  <dcterms:modified xmlns:dcterms="http://purl.org/dc/terms/" xmlns:xsi="http://www.w3.org/2001/XMLSchema-instance" xsi:type="dcterms:W3CDTF">2026-02-27T18:09:49Z</dcterms:modified>
</cp:coreProperties>
</file>