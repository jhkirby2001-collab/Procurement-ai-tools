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0.xml" ContentType="application/vnd.openxmlformats-officedocument.drawing+xml"/>
  <Override PartName="/xl/worksheets/sheet13.xml" ContentType="application/vnd.openxmlformats-officedocument.spreadsheetml.worksheet+xml"/>
  <Override PartName="/xl/drawings/drawing11.xml" ContentType="application/vnd.openxmlformats-officedocument.drawing+xml"/>
  <Override PartName="/xl/worksheets/sheet14.xml" ContentType="application/vnd.openxmlformats-officedocument.spreadsheetml.worksheet+xml"/>
  <Override PartName="/xl/drawings/drawing12.xml" ContentType="application/vnd.openxmlformats-officedocument.drawing+xml"/>
  <Override PartName="/xl/worksheets/sheet15.xml" ContentType="application/vnd.openxmlformats-officedocument.spreadsheetml.worksheet+xml"/>
  <Override PartName="/xl/drawings/drawing1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op 10 Problems" sheetId="2" state="visible" r:id="rId2"/>
    <sheet name="Dept Analysis" sheetId="3" state="visible" r:id="rId3"/>
    <sheet name="Category Analysis" sheetId="4" state="visible" r:id="rId4"/>
    <sheet name="Top 50 Vendors by Spend" sheetId="5" state="visible" r:id="rId5"/>
    <sheet name="Repeat Offenders" sheetId="6" state="visible" r:id="rId6"/>
    <sheet name="High Value &gt;$500K" sheetId="7" state="visible" r:id="rId7"/>
    <sheet name="Justification Analysis" sheetId="8" state="visible" r:id="rId8"/>
    <sheet name="Dept-Category Combos" sheetId="9" state="visible" r:id="rId9"/>
    <sheet name="Aging Analysis" sheetId="10" state="visible" r:id="rId10"/>
    <sheet name="Action Plan" sheetId="11" state="visible" r:id="rId11"/>
    <sheet name="Pareto 80-20 Summary" sheetId="12" state="visible" r:id="rId12"/>
    <sheet name="Pareto - Vendors" sheetId="13" state="visible" r:id="rId13"/>
    <sheet name="Pareto - Departments" sheetId="14" state="visible" r:id="rId14"/>
    <sheet name="Pareto - Categori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$#,##0"/>
    <numFmt numFmtId="166" formatCode="$#,##0.00"/>
    <numFmt numFmtId="167" formatCode="0.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0" pivotButton="0" quotePrefix="0" xfId="0"/>
    <xf numFmtId="166" fontId="0" fillId="0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Critical Problem Areas - Amount at Risk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'Top 10 Problems'!G1</f>
            </strRef>
          </tx>
          <spPr>
            <a:ln>
              <a:prstDash val="solid"/>
            </a:ln>
          </spPr>
          <cat>
            <numRef>
              <f>'Top 10 Problems'!$B$2:$B$11</f>
            </numRef>
          </cat>
          <val>
            <numRef>
              <f>'Top 10 Problems'!$G$2:$G$11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Problem Area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 at Risk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15 Departments - Spending Without Contracts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'Dept Analysis'!B1</f>
            </strRef>
          </tx>
          <spPr>
            <a:ln>
              <a:prstDash val="solid"/>
            </a:ln>
          </spPr>
          <cat>
            <numRef>
              <f>'Dept Analysis'!$A$2:$A$16</f>
            </numRef>
          </cat>
          <val>
            <numRef>
              <f>'Dept Analysis'!$B$2:$B$16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Total Spend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Spending by Category</a:t>
            </a:r>
          </a:p>
        </rich>
      </tx>
    </title>
    <plotArea>
      <pieChart>
        <varyColors val="1"/>
        <ser>
          <idx val="0"/>
          <order val="0"/>
          <tx>
            <strRef>
              <f>'Category Analysis'!B1</f>
            </strRef>
          </tx>
          <spPr>
            <a:ln>
              <a:prstDash val="solid"/>
            </a:ln>
          </spPr>
          <cat>
            <numRef>
              <f>'Category Analysis'!$A$2:$A$13</f>
            </numRef>
          </cat>
          <val>
            <numRef>
              <f>'Category Analysis'!$B$2:$B$13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Spending by Category - Dollar Amounts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'Category Analysis'!B1</f>
            </strRef>
          </tx>
          <spPr>
            <a:ln>
              <a:prstDash val="solid"/>
            </a:ln>
          </spPr>
          <cat>
            <numRef>
              <f>'Category Analysis'!$A$2:$A$13</f>
            </numRef>
          </cat>
          <val>
            <numRef>
              <f>'Category Analysis'!$B$2:$B$13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Total Spend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20 Vendors - Spending Without Contracts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50 Vendors by Spend'!B1</f>
            </strRef>
          </tx>
          <spPr>
            <a:ln>
              <a:prstDash val="solid"/>
            </a:ln>
          </spPr>
          <cat>
            <numRef>
              <f>'Top 50 Vendors by Spend'!$A$2:$A$21</f>
            </numRef>
          </cat>
          <val>
            <numRef>
              <f>'Top 50 Vendors by Spend'!$B$2:$B$21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Total Spend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Vendor Name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20 Repeat Offenders - Most Frequent Requisitions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'Repeat Offenders'!C1</f>
            </strRef>
          </tx>
          <spPr>
            <a:ln>
              <a:prstDash val="solid"/>
            </a:ln>
          </spPr>
          <cat>
            <numRef>
              <f>'Repeat Offenders'!$A$2:$A$21</f>
            </numRef>
          </cat>
          <val>
            <numRef>
              <f>'Repeat Offenders'!$C$2:$C$21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Requisitions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Vendor Name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20 High Value Transactions (&gt;$500K) by Vendor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'High Value &gt;$500K'!B1</f>
            </strRef>
          </tx>
          <spPr>
            <a:ln>
              <a:prstDash val="solid"/>
            </a:ln>
          </spPr>
          <cat>
            <numRef>
              <f>'High Value &gt;$500K'!$C$2:$C$21</f>
            </numRef>
          </cat>
          <val>
            <numRef>
              <f>'High Value &gt;$500K'!$B$2:$B$21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Vendor Name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Reasons for Spending Without Contracts</a:t>
            </a:r>
          </a:p>
        </rich>
      </tx>
    </title>
    <plotArea>
      <pieChart>
        <varyColors val="1"/>
        <ser>
          <idx val="0"/>
          <order val="0"/>
          <tx>
            <strRef>
              <f>'Justification Analysis'!B1</f>
            </strRef>
          </tx>
          <spPr>
            <a:ln>
              <a:prstDash val="solid"/>
            </a:ln>
          </spPr>
          <cat>
            <numRef>
              <f>'Justification Analysis'!$A$2:$A$7</f>
            </numRef>
          </cat>
          <val>
            <numRef>
              <f>'Justification Analysis'!$B$2:$B$7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15 Department-Category Combinations at Risk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'Dept-Category Combos'!C1</f>
            </strRef>
          </tx>
          <spPr>
            <a:ln>
              <a:prstDash val="solid"/>
            </a:ln>
          </spPr>
          <cat>
            <numRef>
              <f>'Dept-Category Combos'!$E$2:$E$16</f>
            </numRef>
          </cat>
          <val>
            <numRef>
              <f>'Dept-Category Combos'!$C$2:$C$16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Total Spend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Department | Category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Requisition Aging - Total Spend by Age Bucket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'Aging Analysis'!B1</f>
            </strRef>
          </tx>
          <spPr>
            <a:ln>
              <a:prstDash val="solid"/>
            </a:ln>
          </spPr>
          <cat>
            <numRef>
              <f>'Aging Analysis'!$A$2:$A$6</f>
            </numRef>
          </cat>
          <val>
            <numRef>
              <f>'Aging Analysis'!$B$2:$B$6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Age 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Spend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Requisition Aging - Count by Age Bucket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'Aging Analysis'!C1</f>
            </strRef>
          </tx>
          <spPr>
            <a:ln>
              <a:prstDash val="solid"/>
            </a:ln>
          </spPr>
          <cat>
            <numRef>
              <f>'Aging Analysis'!$A$2:$A$6</f>
            </numRef>
          </cat>
          <val>
            <numRef>
              <f>'Aging Analysis'!$C$2:$C$6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Age Bucket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Requisitions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80/20 Rule: % of Total Needed for 80% of Spending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'Pareto 80-20 Summary'!D1</f>
            </strRef>
          </tx>
          <spPr>
            <a:ln>
              <a:prstDash val="solid"/>
            </a:ln>
          </spPr>
          <cat>
            <numRef>
              <f>'Pareto 80-20 Summary'!$A$2:$A$5</f>
            </numRef>
          </cat>
          <val>
            <numRef>
              <f>'Pareto 80-20 Summary'!$D$2:$D$5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Analysis Area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Percentage (%)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Vendor Pareto - Top 50 Vendors by Spend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'Pareto - Vendors'!C1</f>
            </strRef>
          </tx>
          <spPr>
            <a:ln>
              <a:prstDash val="solid"/>
            </a:ln>
          </spPr>
          <cat>
            <numRef>
              <f>'Pareto - Vendors'!$A$2:$A$51</f>
            </numRef>
          </cat>
          <val>
            <numRef>
              <f>'Pareto - Vendors'!$C$2:$C$51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Vendor Rank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Spend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Cumulative % - Top 50 Vendors (80% Line)</a:t>
            </a:r>
          </a:p>
        </rich>
      </tx>
    </title>
    <plotArea>
      <lineChart>
        <grouping val="standard"/>
        <ser>
          <idx val="0"/>
          <order val="0"/>
          <tx>
            <strRef>
              <f>'Pareto - Vendors'!D1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'Pareto - Vendors'!$A$2:$A$51</f>
            </numRef>
          </cat>
          <val>
            <numRef>
              <f>'Pareto - Vendors'!$D$2:$D$51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Vendor Rank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style val="14"/>
  <chart>
    <title>
      <tx>
        <rich>
          <a:bodyPr/>
          <a:p>
            <a:pPr>
              <a:defRPr/>
            </a:pPr>
            <a:r>
              <a:t>Department Pareto - All Departments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'Pareto - Departments'!C1</f>
            </strRef>
          </tx>
          <spPr>
            <a:ln>
              <a:prstDash val="solid"/>
            </a:ln>
          </spPr>
          <cat>
            <numRef>
              <f>'Pareto - Departments'!$A$2:$A$28</f>
            </numRef>
          </cat>
          <val>
            <numRef>
              <f>'Pareto - Departments'!$C$2:$C$28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Department Rank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Spend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15"/>
  <chart>
    <title>
      <tx>
        <rich>
          <a:bodyPr/>
          <a:p>
            <a:pPr>
              <a:defRPr/>
            </a:pPr>
            <a:r>
              <a:t>Cumulative % - All Departments (80% Line)</a:t>
            </a:r>
          </a:p>
        </rich>
      </tx>
    </title>
    <plotArea>
      <lineChart>
        <grouping val="standard"/>
        <ser>
          <idx val="0"/>
          <order val="0"/>
          <tx>
            <strRef>
              <f>'Pareto - Departments'!D1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'Pareto - Departments'!$A$2:$A$28</f>
            </numRef>
          </cat>
          <val>
            <numRef>
              <f>'Pareto - Departments'!$D$2:$D$28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Department Rank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style val="16"/>
  <chart>
    <title>
      <tx>
        <rich>
          <a:bodyPr/>
          <a:p>
            <a:pPr>
              <a:defRPr/>
            </a:pPr>
            <a:r>
              <a:t>Category Pareto - All Categories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'Pareto - Categories'!C1</f>
            </strRef>
          </tx>
          <spPr>
            <a:ln>
              <a:prstDash val="solid"/>
            </a:ln>
          </spPr>
          <cat>
            <numRef>
              <f>'Pareto - Categories'!$B$2:$B$13</f>
            </numRef>
          </cat>
          <val>
            <numRef>
              <f>'Pareto - Categories'!$C$2:$C$13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Spend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17"/>
  <chart>
    <title>
      <tx>
        <rich>
          <a:bodyPr/>
          <a:p>
            <a:pPr>
              <a:defRPr/>
            </a:pPr>
            <a:r>
              <a:t>Cumulative % - All Categories (80% Line)</a:t>
            </a:r>
          </a:p>
        </rich>
      </tx>
    </title>
    <plotArea>
      <lineChart>
        <grouping val="standard"/>
        <ser>
          <idx val="0"/>
          <order val="0"/>
          <tx>
            <strRef>
              <f>'Pareto - Categories'!D1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'Pareto - Categories'!$B$2:$B$13</f>
            </numRef>
          </cat>
          <val>
            <numRef>
              <f>'Pareto - Categories'!$D$2:$D$13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Cumulative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10.xml" Id="rId1" /><Relationship Type="http://schemas.openxmlformats.org/officeDocument/2006/relationships/chart" Target="/xl/charts/chart11.xml" Id="rId2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3.xml" Id="rId1" /><Relationship Type="http://schemas.openxmlformats.org/officeDocument/2006/relationships/chart" Target="/xl/charts/chart14.xml" Id="rId2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5.xml" Id="rId1" /><Relationship Type="http://schemas.openxmlformats.org/officeDocument/2006/relationships/chart" Target="/xl/charts/chart16.xml" Id="rId2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7.xml" Id="rId1" /><Relationship Type="http://schemas.openxmlformats.org/officeDocument/2006/relationships/chart" Target="/xl/charts/chart18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0800000" cy="64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10080000" cy="7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21</row>
      <rowOff>0</rowOff>
    </from>
    <ext cx="900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79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79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79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92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72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864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21</row>
      <rowOff>0</rowOff>
    </from>
    <ext cx="10080000" cy="57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936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21</row>
      <rowOff>0</rowOff>
    </from>
    <ext cx="9360000" cy="57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19</row>
      <rowOff>0</rowOff>
    </from>
    <ext cx="864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Total Spend at Risk</t>
        </is>
      </c>
      <c r="B2" s="4" t="inlineStr">
        <is>
          <t>$68,928,355.10</t>
        </is>
      </c>
    </row>
    <row r="3">
      <c r="A3" s="4" t="inlineStr">
        <is>
          <t>Total Requisitions</t>
        </is>
      </c>
      <c r="B3" s="4" t="inlineStr">
        <is>
          <t>1,112</t>
        </is>
      </c>
    </row>
    <row r="4">
      <c r="A4" s="4" t="inlineStr">
        <is>
          <t>Average Transaction</t>
        </is>
      </c>
      <c r="B4" s="4" t="inlineStr">
        <is>
          <t>$61,985.93</t>
        </is>
      </c>
    </row>
    <row r="5">
      <c r="A5" s="4" t="inlineStr">
        <is>
          <t>Average Days Pending</t>
        </is>
      </c>
      <c r="B5" s="4" t="inlineStr">
        <is>
          <t>189 days</t>
        </is>
      </c>
    </row>
    <row r="6">
      <c r="A6" s="4" t="inlineStr">
        <is>
          <t>Oldest Requisition (days)</t>
        </is>
      </c>
      <c r="B6" s="4" t="inlineStr">
        <is>
          <t>371 days</t>
        </is>
      </c>
    </row>
    <row r="7">
      <c r="A7" s="4" t="inlineStr">
        <is>
          <t>Unique Vendors</t>
        </is>
      </c>
      <c r="B7" s="4" t="inlineStr">
        <is>
          <t>207</t>
        </is>
      </c>
    </row>
    <row r="8">
      <c r="A8" s="4" t="inlineStr">
        <is>
          <t>Unique Departments</t>
        </is>
      </c>
      <c r="B8" s="4" t="inlineStr">
        <is>
          <t>27</t>
        </is>
      </c>
    </row>
    <row r="9">
      <c r="A9" s="4" t="inlineStr">
        <is>
          <t>Unique Categories</t>
        </is>
      </c>
      <c r="B9" s="4" t="inlineStr">
        <is>
          <t>12</t>
        </is>
      </c>
    </row>
    <row r="10">
      <c r="A10" s="4" t="inlineStr">
        <is>
          <t>Requisitions WITHOUT Contract</t>
        </is>
      </c>
      <c r="B10" s="4" t="inlineStr">
        <is>
          <t>1,022</t>
        </is>
      </c>
    </row>
    <row r="11">
      <c r="A11" s="4" t="inlineStr">
        <is>
          <t>% Without Contract</t>
        </is>
      </c>
      <c r="B11" s="4" t="inlineStr">
        <is>
          <t>91.9%</t>
        </is>
      </c>
    </row>
    <row r="12">
      <c r="A12" s="4" t="inlineStr">
        <is>
          <t>Top 20 Vendors Total</t>
        </is>
      </c>
      <c r="B12" s="4" t="inlineStr">
        <is>
          <t>$48,728,252</t>
        </is>
      </c>
    </row>
    <row r="13">
      <c r="A13" s="4" t="inlineStr">
        <is>
          <t>% from Top 20 Vendors</t>
        </is>
      </c>
      <c r="B13" s="4" t="inlineStr">
        <is>
          <t>70.7%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7" customWidth="1" min="2" max="2"/>
    <col width="16" customWidth="1" min="3" max="3"/>
    <col width="7" customWidth="1" min="4" max="4"/>
    <col width="18" customWidth="1" min="5" max="5"/>
    <col width="10" customWidth="1" min="6" max="6"/>
  </cols>
  <sheetData>
    <row r="1">
      <c r="A1" s="3" t="inlineStr">
        <is>
          <t>Rank</t>
        </is>
      </c>
      <c r="B1" s="3" t="inlineStr">
        <is>
          <t>Problem Area</t>
        </is>
      </c>
      <c r="C1" s="3" t="inlineStr">
        <is>
          <t>Amount at Risk</t>
        </is>
      </c>
      <c r="D1" s="3" t="inlineStr">
        <is>
          <t>Count</t>
        </is>
      </c>
      <c r="E1" s="3" t="inlineStr">
        <is>
          <t>Percent of Total</t>
        </is>
      </c>
      <c r="F1" s="3" t="inlineStr">
        <is>
          <t>Priority</t>
        </is>
      </c>
      <c r="G1" t="inlineStr">
        <is>
          <t>Amount_Numeric</t>
        </is>
      </c>
    </row>
    <row r="2">
      <c r="A2" s="4" t="n">
        <v>1</v>
      </c>
      <c r="B2" s="4" t="inlineStr">
        <is>
          <t>Expired Contracts - Pending Renewal</t>
        </is>
      </c>
      <c r="C2" s="4" t="inlineStr">
        <is>
          <t>$55,323,235</t>
        </is>
      </c>
      <c r="D2" s="4" t="n">
        <v>860</v>
      </c>
      <c r="E2" s="4" t="inlineStr">
        <is>
          <t>80.4%</t>
        </is>
      </c>
      <c r="F2" s="4" t="inlineStr">
        <is>
          <t>CRITICAL</t>
        </is>
      </c>
      <c r="G2" s="6" t="n">
        <v>55323235</v>
      </c>
    </row>
    <row r="3">
      <c r="A3" s="4" t="n">
        <v>2</v>
      </c>
      <c r="B3" s="4" t="inlineStr">
        <is>
          <t>Water Management Department</t>
        </is>
      </c>
      <c r="C3" s="4" t="inlineStr">
        <is>
          <t>$17,845,765</t>
        </is>
      </c>
      <c r="D3" s="4" t="n">
        <v>30</v>
      </c>
      <c r="E3" s="4" t="inlineStr">
        <is>
          <t>25.9%</t>
        </is>
      </c>
      <c r="F3" s="4" t="inlineStr">
        <is>
          <t>CRITICAL</t>
        </is>
      </c>
      <c r="G3" s="6" t="n">
        <v>17845765</v>
      </c>
    </row>
    <row r="4">
      <c r="A4" s="4" t="n">
        <v>3</v>
      </c>
      <c r="B4" s="4" t="inlineStr">
        <is>
          <t>Aviation Department</t>
        </is>
      </c>
      <c r="C4" s="4" t="inlineStr">
        <is>
          <t>$11,830,337</t>
        </is>
      </c>
      <c r="D4" s="4" t="n">
        <v>80</v>
      </c>
      <c r="E4" s="4" t="inlineStr">
        <is>
          <t>17.2%</t>
        </is>
      </c>
      <c r="F4" s="4" t="inlineStr">
        <is>
          <t>CRITICAL</t>
        </is>
      </c>
      <c r="G4" s="6" t="n">
        <v>11830337</v>
      </c>
    </row>
    <row r="5">
      <c r="A5" s="4" t="n">
        <v>4</v>
      </c>
      <c r="B5" s="4" t="inlineStr">
        <is>
          <t>No Contracts Awarded Yet</t>
        </is>
      </c>
      <c r="C5" s="4" t="inlineStr">
        <is>
          <t>$58,011,820</t>
        </is>
      </c>
      <c r="D5" s="4" t="n">
        <v>1022</v>
      </c>
      <c r="E5" s="4" t="inlineStr">
        <is>
          <t>91.9%</t>
        </is>
      </c>
      <c r="F5" s="4" t="inlineStr">
        <is>
          <t>CRITICAL</t>
        </is>
      </c>
      <c r="G5" s="6" t="n">
        <v>58011820</v>
      </c>
    </row>
    <row r="6">
      <c r="A6" s="4" t="n">
        <v>5</v>
      </c>
      <c r="B6" s="4" t="inlineStr">
        <is>
          <t>High-Value Transactions (&gt;$500K)</t>
        </is>
      </c>
      <c r="C6" s="4" t="inlineStr">
        <is>
          <t>$40,895,048</t>
        </is>
      </c>
      <c r="D6" s="4" t="n">
        <v>36</v>
      </c>
      <c r="E6" s="4" t="inlineStr">
        <is>
          <t>59.0%</t>
        </is>
      </c>
      <c r="F6" s="4" t="inlineStr">
        <is>
          <t>HIGH</t>
        </is>
      </c>
      <c r="G6" s="6" t="n">
        <v>40895048</v>
      </c>
    </row>
    <row r="7">
      <c r="A7" s="4" t="n">
        <v>6</v>
      </c>
      <c r="B7" s="4" t="inlineStr">
        <is>
          <t>Parts &amp; Supplies Category</t>
        </is>
      </c>
      <c r="C7" s="4" t="inlineStr">
        <is>
          <t>$17,401,063</t>
        </is>
      </c>
      <c r="D7" s="4" t="n">
        <v>171</v>
      </c>
      <c r="E7" s="4" t="inlineStr">
        <is>
          <t>25.2%</t>
        </is>
      </c>
      <c r="F7" s="4" t="inlineStr">
        <is>
          <t>HIGH</t>
        </is>
      </c>
      <c r="G7" s="6" t="n">
        <v>17401063</v>
      </c>
    </row>
    <row r="8">
      <c r="A8" s="4" t="n">
        <v>7</v>
      </c>
      <c r="B8" s="4" t="inlineStr">
        <is>
          <t>Fleet &amp; Facility Management</t>
        </is>
      </c>
      <c r="C8" s="4" t="inlineStr">
        <is>
          <t>$10,677,537</t>
        </is>
      </c>
      <c r="D8" s="4" t="n">
        <v>566</v>
      </c>
      <c r="E8" s="4" t="inlineStr">
        <is>
          <t>15.5%</t>
        </is>
      </c>
      <c r="F8" s="4" t="inlineStr">
        <is>
          <t>HIGH</t>
        </is>
      </c>
      <c r="G8" s="6" t="n">
        <v>10677537</v>
      </c>
    </row>
    <row r="9">
      <c r="A9" s="4" t="n">
        <v>8</v>
      </c>
      <c r="B9" s="4" t="inlineStr">
        <is>
          <t>Vendor Concentration Risk (Top 20)</t>
        </is>
      </c>
      <c r="C9" s="4" t="inlineStr">
        <is>
          <t>$48,728,252</t>
        </is>
      </c>
      <c r="D9" s="4" t="n">
        <v>20</v>
      </c>
      <c r="E9" s="4" t="inlineStr">
        <is>
          <t>70.7%</t>
        </is>
      </c>
      <c r="F9" s="4" t="inlineStr">
        <is>
          <t>HIGH</t>
        </is>
      </c>
      <c r="G9" s="6" t="n">
        <v>48728252</v>
      </c>
    </row>
    <row r="10">
      <c r="A10" s="4" t="n">
        <v>9</v>
      </c>
      <c r="B10" s="4" t="inlineStr">
        <is>
          <t>Aging Requisitions (&gt;180 days)</t>
        </is>
      </c>
      <c r="C10" s="4" t="inlineStr">
        <is>
          <t>$8,592,551</t>
        </is>
      </c>
      <c r="D10" s="4" t="n">
        <v>126</v>
      </c>
      <c r="E10" s="4" t="inlineStr">
        <is>
          <t>12.5%</t>
        </is>
      </c>
      <c r="F10" s="4" t="inlineStr">
        <is>
          <t>MEDIUM</t>
        </is>
      </c>
      <c r="G10" s="6" t="n">
        <v>8592551</v>
      </c>
    </row>
    <row r="11">
      <c r="A11" s="4" t="n">
        <v>10</v>
      </c>
      <c r="B11" s="4" t="inlineStr">
        <is>
          <t>Procurement Process Bottlenecks</t>
        </is>
      </c>
      <c r="C11" s="4" t="inlineStr">
        <is>
          <t>$8,400,000</t>
        </is>
      </c>
      <c r="D11" s="4" t="n">
        <v>33</v>
      </c>
      <c r="E11" s="4" t="inlineStr">
        <is>
          <t>12.2%</t>
        </is>
      </c>
      <c r="F11" s="4" t="inlineStr">
        <is>
          <t>MEDIUM</t>
        </is>
      </c>
      <c r="G11" s="6" t="n">
        <v>8400000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3" customWidth="1" min="2" max="2"/>
    <col width="19" customWidth="1" min="3" max="3"/>
    <col width="16" customWidth="1" min="4" max="4"/>
    <col width="12" customWidth="1" min="5" max="5"/>
  </cols>
  <sheetData>
    <row r="1">
      <c r="A1" s="3" t="inlineStr">
        <is>
          <t>Department</t>
        </is>
      </c>
      <c r="B1" s="3" t="inlineStr">
        <is>
          <t>Total Spend</t>
        </is>
      </c>
      <c r="C1" s="3" t="inlineStr">
        <is>
          <t>Requisition Count</t>
        </is>
      </c>
      <c r="D1" s="3" t="inlineStr">
        <is>
          <t>Average Amount</t>
        </is>
      </c>
      <c r="E1" s="3" t="inlineStr">
        <is>
          <t>% of Total</t>
        </is>
      </c>
    </row>
    <row r="2">
      <c r="A2" s="4" t="inlineStr">
        <is>
          <t>88-DEPARTMENT OF WATER MANAGEMENT</t>
        </is>
      </c>
      <c r="B2" s="7" t="n">
        <v>17845764.53</v>
      </c>
      <c r="C2" s="4" t="n">
        <v>30</v>
      </c>
      <c r="D2" s="7" t="n">
        <v>594858.8199999999</v>
      </c>
      <c r="E2" s="4" t="n">
        <v>25.9</v>
      </c>
    </row>
    <row r="3">
      <c r="A3" s="4" t="inlineStr">
        <is>
          <t>85-CHICAGO DEPARTMENT OF AVIATION</t>
        </is>
      </c>
      <c r="B3" s="7" t="n">
        <v>11830336.82</v>
      </c>
      <c r="C3" s="4" t="n">
        <v>80</v>
      </c>
      <c r="D3" s="7" t="n">
        <v>147879.21</v>
      </c>
      <c r="E3" s="4" t="n">
        <v>17.2</v>
      </c>
    </row>
    <row r="4">
      <c r="A4" s="4" t="inlineStr">
        <is>
          <t>38-DEPARTMENT OF FLEET AND FACILITY MANAGEMENT</t>
        </is>
      </c>
      <c r="B4" s="7" t="n">
        <v>10677536.58</v>
      </c>
      <c r="C4" s="4" t="n">
        <v>566</v>
      </c>
      <c r="D4" s="7" t="n">
        <v>18864.91</v>
      </c>
      <c r="E4" s="4" t="n">
        <v>15.5</v>
      </c>
    </row>
    <row r="5">
      <c r="A5" s="4" t="inlineStr">
        <is>
          <t>06-DEPARTMENT OF TECHNOLOGY AND INNOVATION</t>
        </is>
      </c>
      <c r="B5" s="7" t="n">
        <v>6706190.91</v>
      </c>
      <c r="C5" s="4" t="n">
        <v>6</v>
      </c>
      <c r="D5" s="7" t="n">
        <v>1117698.49</v>
      </c>
      <c r="E5" s="4" t="n">
        <v>9.699999999999999</v>
      </c>
    </row>
    <row r="6">
      <c r="A6" s="4" t="inlineStr">
        <is>
          <t>81-DEPARTMENT OF STREETS AND SANITATION</t>
        </is>
      </c>
      <c r="B6" s="7" t="n">
        <v>5767285.79</v>
      </c>
      <c r="C6" s="4" t="n">
        <v>58</v>
      </c>
      <c r="D6" s="7" t="n">
        <v>99435.96000000001</v>
      </c>
      <c r="E6" s="4" t="n">
        <v>8.4</v>
      </c>
    </row>
    <row r="7">
      <c r="A7" s="4" t="inlineStr">
        <is>
          <t>84-CHICAGO DEPARTMENT OF TRANSPORTATION</t>
        </is>
      </c>
      <c r="B7" s="7" t="n">
        <v>5225827.7</v>
      </c>
      <c r="C7" s="4" t="n">
        <v>76</v>
      </c>
      <c r="D7" s="7" t="n">
        <v>68760.89</v>
      </c>
      <c r="E7" s="4" t="n">
        <v>7.6</v>
      </c>
    </row>
    <row r="8">
      <c r="A8" s="4" t="inlineStr">
        <is>
          <t>41-CHICAGO DEPARTMENT OF PUBLIC HEALTH</t>
        </is>
      </c>
      <c r="B8" s="7" t="n">
        <v>4680792.05</v>
      </c>
      <c r="C8" s="4" t="n">
        <v>75</v>
      </c>
      <c r="D8" s="7" t="n">
        <v>62410.56</v>
      </c>
      <c r="E8" s="4" t="n">
        <v>6.8</v>
      </c>
    </row>
    <row r="9">
      <c r="A9" s="4" t="inlineStr">
        <is>
          <t>59-CHICAGO FIRE DEPARTMENT</t>
        </is>
      </c>
      <c r="B9" s="7" t="n">
        <v>2382367.33</v>
      </c>
      <c r="C9" s="4" t="n">
        <v>24</v>
      </c>
      <c r="D9" s="7" t="n">
        <v>99265.31</v>
      </c>
      <c r="E9" s="4" t="n">
        <v>3.5</v>
      </c>
    </row>
    <row r="10">
      <c r="A10" s="4" t="inlineStr">
        <is>
          <t>67-DEPARTMENT OF BUILDINGS</t>
        </is>
      </c>
      <c r="B10" s="7" t="n">
        <v>1139292.92</v>
      </c>
      <c r="C10" s="4" t="n">
        <v>24</v>
      </c>
      <c r="D10" s="7" t="n">
        <v>47470.54</v>
      </c>
      <c r="E10" s="4" t="n">
        <v>1.7</v>
      </c>
    </row>
    <row r="11">
      <c r="A11" s="4" t="inlineStr">
        <is>
          <t>25-OFFICE OF CITY CLERK</t>
        </is>
      </c>
      <c r="B11" s="7" t="n">
        <v>595743.66</v>
      </c>
      <c r="C11" s="4" t="n">
        <v>28</v>
      </c>
      <c r="D11" s="7" t="n">
        <v>21276.56</v>
      </c>
      <c r="E11" s="4" t="n">
        <v>0.9</v>
      </c>
    </row>
    <row r="12">
      <c r="A12" s="4" t="inlineStr">
        <is>
          <t>73-CHICAGO ANIMAL CARE AND CONTROL</t>
        </is>
      </c>
      <c r="B12" s="7" t="n">
        <v>486976</v>
      </c>
      <c r="C12" s="4" t="n">
        <v>19</v>
      </c>
      <c r="D12" s="7" t="n">
        <v>25630.32</v>
      </c>
      <c r="E12" s="4" t="n">
        <v>0.7</v>
      </c>
    </row>
    <row r="13">
      <c r="A13" s="4" t="inlineStr">
        <is>
          <t>58-OFFICE OF EMERGENCY MANAGEMENT AND COMMUNICATIONS</t>
        </is>
      </c>
      <c r="B13" s="7" t="n">
        <v>313408.92</v>
      </c>
      <c r="C13" s="4" t="n">
        <v>6</v>
      </c>
      <c r="D13" s="7" t="n">
        <v>52234.82</v>
      </c>
      <c r="E13" s="4" t="n">
        <v>0.5</v>
      </c>
    </row>
    <row r="14">
      <c r="A14" s="4" t="inlineStr">
        <is>
          <t>33-DEPARTMENT OF HUMAN RESOURCES</t>
        </is>
      </c>
      <c r="B14" s="7" t="n">
        <v>217957.42</v>
      </c>
      <c r="C14" s="4" t="n">
        <v>2</v>
      </c>
      <c r="D14" s="7" t="n">
        <v>108978.71</v>
      </c>
      <c r="E14" s="4" t="n">
        <v>0.3</v>
      </c>
    </row>
    <row r="15">
      <c r="A15" s="4" t="inlineStr">
        <is>
          <t>50-DEPARTMENT OF FAMILY AND SUPPORT SERVICES</t>
        </is>
      </c>
      <c r="B15" s="7" t="n">
        <v>211646.72</v>
      </c>
      <c r="C15" s="4" t="n">
        <v>16</v>
      </c>
      <c r="D15" s="7" t="n">
        <v>13227.92</v>
      </c>
      <c r="E15" s="4" t="n">
        <v>0.3</v>
      </c>
    </row>
    <row r="16">
      <c r="A16" s="4" t="inlineStr">
        <is>
          <t>57-CHICAGO POLICE DEPARTMENT</t>
        </is>
      </c>
      <c r="B16" s="7" t="n">
        <v>194662.62</v>
      </c>
      <c r="C16" s="4" t="n">
        <v>34</v>
      </c>
      <c r="D16" s="7" t="n">
        <v>5725.37</v>
      </c>
      <c r="E16" s="4" t="n">
        <v>0.3</v>
      </c>
    </row>
    <row r="17">
      <c r="A17" s="4" t="inlineStr">
        <is>
          <t>91-CHICAGO PUBLIC LIBRARY</t>
        </is>
      </c>
      <c r="B17" s="7" t="n">
        <v>104464.5</v>
      </c>
      <c r="C17" s="4" t="n">
        <v>7</v>
      </c>
      <c r="D17" s="7" t="n">
        <v>14923.5</v>
      </c>
      <c r="E17" s="4" t="n">
        <v>0.2</v>
      </c>
    </row>
    <row r="18">
      <c r="A18" s="4" t="inlineStr">
        <is>
          <t>23-DEPARTMENT OF CULTURAL AFFAIRS AND SPECIAL EVENTS</t>
        </is>
      </c>
      <c r="B18" s="7" t="n">
        <v>102243.48</v>
      </c>
      <c r="C18" s="4" t="n">
        <v>4</v>
      </c>
      <c r="D18" s="7" t="n">
        <v>25560.87</v>
      </c>
      <c r="E18" s="4" t="n">
        <v>0.1</v>
      </c>
    </row>
    <row r="19">
      <c r="A19" s="4" t="inlineStr">
        <is>
          <t>70-DEPARTMENT OF BUSINESS AFFAIRS AND CONSUMER PROTECTION</t>
        </is>
      </c>
      <c r="B19" s="7" t="n">
        <v>101537.93</v>
      </c>
      <c r="C19" s="4" t="n">
        <v>4</v>
      </c>
      <c r="D19" s="7" t="n">
        <v>25384.48</v>
      </c>
      <c r="E19" s="4" t="n">
        <v>0.1</v>
      </c>
    </row>
    <row r="20">
      <c r="A20" s="4" t="inlineStr">
        <is>
          <t>03-OFFICE OF INSPECTOR GENERAL</t>
        </is>
      </c>
      <c r="B20" s="7" t="n">
        <v>99723.75</v>
      </c>
      <c r="C20" s="4" t="n">
        <v>2</v>
      </c>
      <c r="D20" s="7" t="n">
        <v>49861.88</v>
      </c>
      <c r="E20" s="4" t="n">
        <v>0.1</v>
      </c>
    </row>
    <row r="21">
      <c r="A21" s="4" t="inlineStr">
        <is>
          <t>01-OFFICE OF THE MAYOR</t>
        </is>
      </c>
      <c r="B21" s="7" t="n">
        <v>87736.25</v>
      </c>
      <c r="C21" s="4" t="n">
        <v>4</v>
      </c>
      <c r="D21" s="7" t="n">
        <v>21934.06</v>
      </c>
      <c r="E21" s="4" t="n">
        <v>0.1</v>
      </c>
    </row>
    <row r="22">
      <c r="A22" s="4" t="inlineStr">
        <is>
          <t>54-DEPARTMENT OF PLANNING AND DEVELOPMENT</t>
        </is>
      </c>
      <c r="B22" s="7" t="n">
        <v>70148.73</v>
      </c>
      <c r="C22" s="4" t="n">
        <v>8</v>
      </c>
      <c r="D22" s="7" t="n">
        <v>8768.59</v>
      </c>
      <c r="E22" s="4" t="n">
        <v>0.1</v>
      </c>
    </row>
    <row r="23">
      <c r="A23" s="4" t="inlineStr">
        <is>
          <t>27-DEPARTMENT OF FINANCE</t>
        </is>
      </c>
      <c r="B23" s="7" t="n">
        <v>68079</v>
      </c>
      <c r="C23" s="4" t="n">
        <v>5</v>
      </c>
      <c r="D23" s="7" t="n">
        <v>13615.8</v>
      </c>
      <c r="E23" s="4" t="n">
        <v>0.1</v>
      </c>
    </row>
    <row r="24">
      <c r="A24" s="4" t="inlineStr">
        <is>
          <t>51-OFFICE OF PUBLIC SAFETY ADMINISTRATION</t>
        </is>
      </c>
      <c r="B24" s="7" t="n">
        <v>14402.36</v>
      </c>
      <c r="C24" s="4" t="n">
        <v>15</v>
      </c>
      <c r="D24" s="7" t="n">
        <v>960.16</v>
      </c>
      <c r="E24" s="4" t="n">
        <v>0</v>
      </c>
    </row>
    <row r="25">
      <c r="A25" s="4" t="inlineStr">
        <is>
          <t>35-DEPARTMENT OF PROCUREMENT SERVICES</t>
        </is>
      </c>
      <c r="B25" s="7" t="n">
        <v>4229.13</v>
      </c>
      <c r="C25" s="4" t="n">
        <v>16</v>
      </c>
      <c r="D25" s="7" t="n">
        <v>264.32</v>
      </c>
      <c r="E25" s="4" t="n">
        <v>0</v>
      </c>
    </row>
    <row r="26">
      <c r="A26" s="4" t="inlineStr">
        <is>
          <t>30-DEPARTMENT OF ADMINISTRATIVE HEARINGS</t>
        </is>
      </c>
      <c r="B26" s="7" t="n">
        <v>0</v>
      </c>
      <c r="C26" s="4" t="n">
        <v>1</v>
      </c>
      <c r="D26" s="7" t="n">
        <v>0</v>
      </c>
      <c r="E26" s="4" t="n">
        <v>0</v>
      </c>
    </row>
    <row r="27">
      <c r="A27" s="4" t="inlineStr">
        <is>
          <t>21-DEPARTMENT OF HOUSING</t>
        </is>
      </c>
      <c r="B27" s="7" t="n">
        <v>0</v>
      </c>
      <c r="C27" s="4" t="n">
        <v>1</v>
      </c>
      <c r="D27" s="7" t="n">
        <v>0</v>
      </c>
      <c r="E27" s="4" t="n">
        <v>0</v>
      </c>
    </row>
    <row r="28">
      <c r="A28" s="4" t="inlineStr">
        <is>
          <t>31-DEPARTMENT OF LAW</t>
        </is>
      </c>
      <c r="B28" s="7" t="n">
        <v>0</v>
      </c>
      <c r="C28" s="4" t="n">
        <v>1</v>
      </c>
      <c r="D28" s="7" t="n">
        <v>0</v>
      </c>
      <c r="E28" s="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3" customWidth="1" min="2" max="2"/>
    <col width="19" customWidth="1" min="3" max="3"/>
    <col width="16" customWidth="1" min="4" max="4"/>
    <col width="12" customWidth="1" min="5" max="5"/>
  </cols>
  <sheetData>
    <row r="1">
      <c r="A1" s="3" t="inlineStr">
        <is>
          <t>Category</t>
        </is>
      </c>
      <c r="B1" s="3" t="inlineStr">
        <is>
          <t>Total Spend</t>
        </is>
      </c>
      <c r="C1" s="3" t="inlineStr">
        <is>
          <t>Requisition Count</t>
        </is>
      </c>
      <c r="D1" s="3" t="inlineStr">
        <is>
          <t>Average Amount</t>
        </is>
      </c>
      <c r="E1" s="3" t="inlineStr">
        <is>
          <t>% of Total</t>
        </is>
      </c>
    </row>
    <row r="2">
      <c r="A2" s="4" t="inlineStr">
        <is>
          <t>Parts &amp; Supplies</t>
        </is>
      </c>
      <c r="B2" s="7" t="n">
        <v>17401063.08</v>
      </c>
      <c r="C2" s="4" t="n">
        <v>171</v>
      </c>
      <c r="D2" s="7" t="n">
        <v>101760.6</v>
      </c>
      <c r="E2" s="4" t="n">
        <v>25.2</v>
      </c>
    </row>
    <row r="3">
      <c r="A3" s="4" t="inlineStr">
        <is>
          <t>Facilities &amp; Maintenance</t>
        </is>
      </c>
      <c r="B3" s="7" t="n">
        <v>11403139.88</v>
      </c>
      <c r="C3" s="4" t="n">
        <v>298</v>
      </c>
      <c r="D3" s="7" t="n">
        <v>38265.57</v>
      </c>
      <c r="E3" s="4" t="n">
        <v>16.5</v>
      </c>
    </row>
    <row r="4">
      <c r="A4" s="4" t="inlineStr">
        <is>
          <t>Professional Services</t>
        </is>
      </c>
      <c r="B4" s="7" t="n">
        <v>9603111.210000001</v>
      </c>
      <c r="C4" s="4" t="n">
        <v>175</v>
      </c>
      <c r="D4" s="7" t="n">
        <v>54874.92</v>
      </c>
      <c r="E4" s="4" t="n">
        <v>13.9</v>
      </c>
    </row>
    <row r="5">
      <c r="A5" s="4" t="inlineStr">
        <is>
          <t>Environmental Services</t>
        </is>
      </c>
      <c r="B5" s="7" t="n">
        <v>6914748.19</v>
      </c>
      <c r="C5" s="4" t="n">
        <v>33</v>
      </c>
      <c r="D5" s="7" t="n">
        <v>209537.82</v>
      </c>
      <c r="E5" s="4" t="n">
        <v>10</v>
      </c>
    </row>
    <row r="6">
      <c r="A6" s="4" t="inlineStr">
        <is>
          <t>Utilities</t>
        </is>
      </c>
      <c r="B6" s="7" t="n">
        <v>6232988.93</v>
      </c>
      <c r="C6" s="4" t="n">
        <v>99</v>
      </c>
      <c r="D6" s="7" t="n">
        <v>62959.48</v>
      </c>
      <c r="E6" s="4" t="n">
        <v>9</v>
      </c>
    </row>
    <row r="7">
      <c r="A7" s="4" t="inlineStr">
        <is>
          <t>Aviation &amp; Airport Services</t>
        </is>
      </c>
      <c r="B7" s="7" t="n">
        <v>5615155.24</v>
      </c>
      <c r="C7" s="4" t="n">
        <v>55</v>
      </c>
      <c r="D7" s="7" t="n">
        <v>102093.73</v>
      </c>
      <c r="E7" s="4" t="n">
        <v>8.1</v>
      </c>
    </row>
    <row r="8">
      <c r="A8" s="4" t="inlineStr">
        <is>
          <t>Construction</t>
        </is>
      </c>
      <c r="B8" s="7" t="n">
        <v>4877561.63</v>
      </c>
      <c r="C8" s="4" t="n">
        <v>56</v>
      </c>
      <c r="D8" s="7" t="n">
        <v>87099.31</v>
      </c>
      <c r="E8" s="4" t="n">
        <v>7.1</v>
      </c>
    </row>
    <row r="9">
      <c r="A9" s="4" t="inlineStr">
        <is>
          <t>IT &amp; Technology</t>
        </is>
      </c>
      <c r="B9" s="7" t="n">
        <v>3020635.03</v>
      </c>
      <c r="C9" s="4" t="n">
        <v>35</v>
      </c>
      <c r="D9" s="7" t="n">
        <v>86303.86</v>
      </c>
      <c r="E9" s="4" t="n">
        <v>4.4</v>
      </c>
    </row>
    <row r="10">
      <c r="A10" s="4" t="inlineStr">
        <is>
          <t>Fleet &amp; Transportation</t>
        </is>
      </c>
      <c r="B10" s="7" t="n">
        <v>2332692.48</v>
      </c>
      <c r="C10" s="4" t="n">
        <v>134</v>
      </c>
      <c r="D10" s="7" t="n">
        <v>17408.15</v>
      </c>
      <c r="E10" s="4" t="n">
        <v>3.4</v>
      </c>
    </row>
    <row r="11">
      <c r="A11" s="4" t="inlineStr">
        <is>
          <t>Medical &amp; Health</t>
        </is>
      </c>
      <c r="B11" s="7" t="n">
        <v>986519.17</v>
      </c>
      <c r="C11" s="4" t="n">
        <v>28</v>
      </c>
      <c r="D11" s="7" t="n">
        <v>35232.83</v>
      </c>
      <c r="E11" s="4" t="n">
        <v>1.4</v>
      </c>
    </row>
    <row r="12">
      <c r="A12" s="4" t="inlineStr">
        <is>
          <t>Public Safety</t>
        </is>
      </c>
      <c r="B12" s="7" t="n">
        <v>527840.26</v>
      </c>
      <c r="C12" s="4" t="n">
        <v>26</v>
      </c>
      <c r="D12" s="7" t="n">
        <v>20301.55</v>
      </c>
      <c r="E12" s="4" t="n">
        <v>0.8</v>
      </c>
    </row>
    <row r="13">
      <c r="A13" s="4" t="inlineStr">
        <is>
          <t>Courier &amp; Delivery</t>
        </is>
      </c>
      <c r="B13" s="7" t="n">
        <v>12900</v>
      </c>
      <c r="C13" s="4" t="n">
        <v>2</v>
      </c>
      <c r="D13" s="7" t="n">
        <v>6450</v>
      </c>
      <c r="E13" s="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  <col width="19" customWidth="1" min="3" max="3"/>
    <col width="16" customWidth="1" min="4" max="4"/>
  </cols>
  <sheetData>
    <row r="1">
      <c r="A1" s="3" t="inlineStr">
        <is>
          <t>Vendor Name</t>
        </is>
      </c>
      <c r="B1" s="3" t="inlineStr">
        <is>
          <t>Total Spend</t>
        </is>
      </c>
      <c r="C1" s="3" t="inlineStr">
        <is>
          <t>Requisition Count</t>
        </is>
      </c>
      <c r="D1" s="3" t="inlineStr">
        <is>
          <t>Average Amount</t>
        </is>
      </c>
    </row>
    <row r="2">
      <c r="A2" s="4" t="inlineStr">
        <is>
          <t>BADGER METER INC</t>
        </is>
      </c>
      <c r="B2" s="7" t="n">
        <v>8042211.86</v>
      </c>
      <c r="C2" s="4" t="n">
        <v>2</v>
      </c>
      <c r="D2" s="7" t="n">
        <v>4021105.93</v>
      </c>
    </row>
    <row r="3">
      <c r="A3" s="4" t="inlineStr">
        <is>
          <t>USALCO</t>
        </is>
      </c>
      <c r="B3" s="7" t="n">
        <v>5164447.73</v>
      </c>
      <c r="C3" s="4" t="n">
        <v>8</v>
      </c>
      <c r="D3" s="7" t="n">
        <v>645555.97</v>
      </c>
    </row>
    <row r="4">
      <c r="A4" s="4" t="inlineStr">
        <is>
          <t>AT&amp;T CORP</t>
        </is>
      </c>
      <c r="B4" s="7" t="n">
        <v>4314975</v>
      </c>
      <c r="C4" s="4" t="n">
        <v>3</v>
      </c>
      <c r="D4" s="7" t="n">
        <v>1438325</v>
      </c>
    </row>
    <row r="5">
      <c r="A5" s="4" t="inlineStr">
        <is>
          <t>INDUSTRIAL FENCE INC.</t>
        </is>
      </c>
      <c r="B5" s="7" t="n">
        <v>4024354.07</v>
      </c>
      <c r="C5" s="4" t="n">
        <v>51</v>
      </c>
      <c r="D5" s="7" t="n">
        <v>78908.89999999999</v>
      </c>
    </row>
    <row r="6">
      <c r="A6" s="4" t="inlineStr">
        <is>
          <t>SCHINDLER ELEVATOR CORP</t>
        </is>
      </c>
      <c r="B6" s="7" t="n">
        <v>3645045.71</v>
      </c>
      <c r="C6" s="4" t="n">
        <v>4</v>
      </c>
      <c r="D6" s="7" t="n">
        <v>911261.4300000001</v>
      </c>
    </row>
    <row r="7">
      <c r="A7" s="4" t="inlineStr">
        <is>
          <t>CASCADE ENGINEERING, INC</t>
        </is>
      </c>
      <c r="B7" s="7" t="n">
        <v>2894059.6</v>
      </c>
      <c r="C7" s="4" t="n">
        <v>2</v>
      </c>
      <c r="D7" s="7" t="n">
        <v>1447029.8</v>
      </c>
    </row>
    <row r="8">
      <c r="A8" s="4" t="inlineStr">
        <is>
          <t>SUNBELT STAFFING LLC</t>
        </is>
      </c>
      <c r="B8" s="7" t="n">
        <v>2858602.24</v>
      </c>
      <c r="C8" s="4" t="n">
        <v>11</v>
      </c>
      <c r="D8" s="7" t="n">
        <v>259872.93</v>
      </c>
    </row>
    <row r="9">
      <c r="A9" s="4" t="inlineStr">
        <is>
          <t>PAN-OCEANIC ENGINEERING CO INC</t>
        </is>
      </c>
      <c r="B9" s="7" t="n">
        <v>2161969.34</v>
      </c>
      <c r="C9" s="4" t="n">
        <v>2</v>
      </c>
      <c r="D9" s="7" t="n">
        <v>1080984.67</v>
      </c>
    </row>
    <row r="10">
      <c r="A10" s="4" t="inlineStr">
        <is>
          <t>MCDONAGH DEMOLITION, INC.</t>
        </is>
      </c>
      <c r="B10" s="7" t="n">
        <v>2091278.41</v>
      </c>
      <c r="C10" s="4" t="n">
        <v>13</v>
      </c>
      <c r="D10" s="7" t="n">
        <v>160867.57</v>
      </c>
    </row>
    <row r="11">
      <c r="A11" s="4" t="inlineStr">
        <is>
          <t>COMPUTER AID INC</t>
        </is>
      </c>
      <c r="B11" s="7" t="n">
        <v>1984108.18</v>
      </c>
      <c r="C11" s="4" t="n">
        <v>2</v>
      </c>
      <c r="D11" s="7" t="n">
        <v>992054.09</v>
      </c>
    </row>
    <row r="12">
      <c r="A12" s="4" t="inlineStr">
        <is>
          <t>ROOT BROS MFG &amp; SUPPLY CO</t>
        </is>
      </c>
      <c r="B12" s="7" t="n">
        <v>1760147.48</v>
      </c>
      <c r="C12" s="4" t="n">
        <v>5</v>
      </c>
      <c r="D12" s="7" t="n">
        <v>352029.5</v>
      </c>
    </row>
    <row r="13">
      <c r="A13" s="4" t="inlineStr">
        <is>
          <t>PALM ELECTRIC COMPANY</t>
        </is>
      </c>
      <c r="B13" s="7" t="n">
        <v>1582440.98</v>
      </c>
      <c r="C13" s="4" t="n">
        <v>13</v>
      </c>
      <c r="D13" s="7" t="n">
        <v>121726.23</v>
      </c>
    </row>
    <row r="14">
      <c r="A14" s="4" t="inlineStr">
        <is>
          <t>LIZZETTE MEDINA &amp; COMPANY</t>
        </is>
      </c>
      <c r="B14" s="7" t="n">
        <v>1541744.24</v>
      </c>
      <c r="C14" s="4" t="n">
        <v>19</v>
      </c>
      <c r="D14" s="7" t="n">
        <v>81144.42999999999</v>
      </c>
    </row>
    <row r="15">
      <c r="A15" s="4" t="inlineStr">
        <is>
          <t>PLASTIC CARD SOLUTIONS, INC.</t>
        </is>
      </c>
      <c r="B15" s="7" t="n">
        <v>1153900.64</v>
      </c>
      <c r="C15" s="4" t="n">
        <v>4</v>
      </c>
      <c r="D15" s="7" t="n">
        <v>288475.16</v>
      </c>
    </row>
    <row r="16">
      <c r="A16" s="4" t="inlineStr">
        <is>
          <t>DAYSPRING PROFESSIONAL JANITOR</t>
        </is>
      </c>
      <c r="B16" s="7" t="n">
        <v>1050062.48</v>
      </c>
      <c r="C16" s="4" t="n">
        <v>6</v>
      </c>
      <c r="D16" s="7" t="n">
        <v>175010.41</v>
      </c>
    </row>
    <row r="17">
      <c r="A17" s="4" t="inlineStr">
        <is>
          <t>A SAFE HAVEN FOUNDATION</t>
        </is>
      </c>
      <c r="B17" s="7" t="n">
        <v>1013485.13</v>
      </c>
      <c r="C17" s="4" t="n">
        <v>17</v>
      </c>
      <c r="D17" s="7" t="n">
        <v>59616.77</v>
      </c>
    </row>
    <row r="18">
      <c r="A18" s="4" t="inlineStr">
        <is>
          <t>BUILDERS CHICAGO CORPORATION</t>
        </is>
      </c>
      <c r="B18" s="7" t="n">
        <v>975018.49</v>
      </c>
      <c r="C18" s="4" t="n">
        <v>26</v>
      </c>
      <c r="D18" s="7" t="n">
        <v>37500.71</v>
      </c>
    </row>
    <row r="19">
      <c r="A19" s="4" t="inlineStr">
        <is>
          <t>Yellowstone Landscape, Inc</t>
        </is>
      </c>
      <c r="B19" s="7" t="n">
        <v>876998.2</v>
      </c>
      <c r="C19" s="4" t="n">
        <v>7</v>
      </c>
      <c r="D19" s="7" t="n">
        <v>125285.46</v>
      </c>
    </row>
    <row r="20">
      <c r="A20" s="4" t="inlineStr">
        <is>
          <t>A &amp; D PROPERTY SERVICES, INC.</t>
        </is>
      </c>
      <c r="B20" s="7" t="n">
        <v>836250</v>
      </c>
      <c r="C20" s="4" t="n">
        <v>14</v>
      </c>
      <c r="D20" s="7" t="n">
        <v>59732.14</v>
      </c>
    </row>
    <row r="21">
      <c r="A21" s="4" t="inlineStr">
        <is>
          <t>Boschung America, LLC</t>
        </is>
      </c>
      <c r="B21" s="7" t="n">
        <v>757152.49</v>
      </c>
      <c r="C21" s="4" t="n">
        <v>5</v>
      </c>
      <c r="D21" s="7" t="n">
        <v>151430.5</v>
      </c>
    </row>
    <row r="22">
      <c r="A22" s="4" t="inlineStr">
        <is>
          <t>DIVERSE FACILITY SOLUTION INC.</t>
        </is>
      </c>
      <c r="B22" s="7" t="n">
        <v>692293.9</v>
      </c>
      <c r="C22" s="4" t="n">
        <v>2</v>
      </c>
      <c r="D22" s="7" t="n">
        <v>346146.95</v>
      </c>
    </row>
    <row r="23">
      <c r="A23" s="4" t="inlineStr">
        <is>
          <t>COURTESY ELECTRIC INC</t>
        </is>
      </c>
      <c r="B23" s="7" t="n">
        <v>656559.29</v>
      </c>
      <c r="C23" s="4" t="n">
        <v>1</v>
      </c>
      <c r="D23" s="7" t="n">
        <v>656559.29</v>
      </c>
    </row>
    <row r="24">
      <c r="A24" s="4" t="inlineStr">
        <is>
          <t>ALDRIDGE ELECTRIC INC</t>
        </is>
      </c>
      <c r="B24" s="7" t="n">
        <v>620207.92</v>
      </c>
      <c r="C24" s="4" t="n">
        <v>1</v>
      </c>
      <c r="D24" s="7" t="n">
        <v>620207.92</v>
      </c>
    </row>
    <row r="25">
      <c r="A25" s="4" t="inlineStr">
        <is>
          <t>CHRISTY WEBBER LANDSCAPES</t>
        </is>
      </c>
      <c r="B25" s="7" t="n">
        <v>606765.12</v>
      </c>
      <c r="C25" s="4" t="n">
        <v>13</v>
      </c>
      <c r="D25" s="7" t="n">
        <v>46674.24</v>
      </c>
    </row>
    <row r="26">
      <c r="A26" s="4" t="inlineStr">
        <is>
          <t>Lion Totalcare, Inc. dba Lion Group, Inc.</t>
        </is>
      </c>
      <c r="B26" s="7" t="n">
        <v>594870.52</v>
      </c>
      <c r="C26" s="4" t="n">
        <v>2</v>
      </c>
      <c r="D26" s="7" t="n">
        <v>297435.26</v>
      </c>
    </row>
    <row r="27">
      <c r="A27" s="4" t="inlineStr">
        <is>
          <t>MONROE TRUCK EQUIPMENT</t>
        </is>
      </c>
      <c r="B27" s="7" t="n">
        <v>585866.02</v>
      </c>
      <c r="C27" s="4" t="n">
        <v>4</v>
      </c>
      <c r="D27" s="7" t="n">
        <v>146466.5</v>
      </c>
    </row>
    <row r="28">
      <c r="A28" s="4" t="inlineStr">
        <is>
          <t>RELIABLE CONTRACTING AND EQUIPMENT COMPANY</t>
        </is>
      </c>
      <c r="B28" s="7" t="n">
        <v>559479.76</v>
      </c>
      <c r="C28" s="4" t="n">
        <v>3</v>
      </c>
      <c r="D28" s="7" t="n">
        <v>186493.25</v>
      </c>
    </row>
    <row r="29">
      <c r="A29" s="4" t="inlineStr">
        <is>
          <t>PARKWAY ELEVATORS INC.</t>
        </is>
      </c>
      <c r="B29" s="7" t="n">
        <v>551142.41</v>
      </c>
      <c r="C29" s="4" t="n">
        <v>43</v>
      </c>
      <c r="D29" s="7" t="n">
        <v>12817.27</v>
      </c>
    </row>
    <row r="30">
      <c r="A30" s="4" t="inlineStr">
        <is>
          <t>MANDEL METALS INC</t>
        </is>
      </c>
      <c r="B30" s="7" t="n">
        <v>501600</v>
      </c>
      <c r="C30" s="4" t="n">
        <v>2</v>
      </c>
      <c r="D30" s="7" t="n">
        <v>250800</v>
      </c>
    </row>
    <row r="31">
      <c r="A31" s="4" t="inlineStr">
        <is>
          <t>CHARLES EQUIPMENT ENERGY SYSTEMS LLC</t>
        </is>
      </c>
      <c r="B31" s="7" t="n">
        <v>485145.57</v>
      </c>
      <c r="C31" s="4" t="n">
        <v>32</v>
      </c>
      <c r="D31" s="7" t="n">
        <v>15160.8</v>
      </c>
    </row>
    <row r="32">
      <c r="A32" s="4" t="inlineStr">
        <is>
          <t>Lyons View Manufacturer &amp; Supply</t>
        </is>
      </c>
      <c r="B32" s="7" t="n">
        <v>484022</v>
      </c>
      <c r="C32" s="4" t="n">
        <v>1</v>
      </c>
      <c r="D32" s="7" t="n">
        <v>484022</v>
      </c>
    </row>
    <row r="33">
      <c r="A33" s="4" t="inlineStr">
        <is>
          <t>ARLINGTON GLASS &amp; MIRROR</t>
        </is>
      </c>
      <c r="B33" s="7" t="n">
        <v>474875.2</v>
      </c>
      <c r="C33" s="4" t="n">
        <v>75</v>
      </c>
      <c r="D33" s="7" t="n">
        <v>6331.67</v>
      </c>
    </row>
    <row r="34">
      <c r="A34" s="4" t="inlineStr">
        <is>
          <t>MURNANE PAPER COMPANY</t>
        </is>
      </c>
      <c r="B34" s="7" t="n">
        <v>472416.97</v>
      </c>
      <c r="C34" s="4" t="n">
        <v>19</v>
      </c>
      <c r="D34" s="7" t="n">
        <v>24864.05</v>
      </c>
    </row>
    <row r="35">
      <c r="A35" s="4" t="inlineStr">
        <is>
          <t>RI-DEL MFG. INC.</t>
        </is>
      </c>
      <c r="B35" s="7" t="n">
        <v>441802.12</v>
      </c>
      <c r="C35" s="4" t="n">
        <v>6</v>
      </c>
      <c r="D35" s="7" t="n">
        <v>73633.69</v>
      </c>
    </row>
    <row r="36">
      <c r="A36" s="4" t="inlineStr">
        <is>
          <t>ABC Humane Wildlife Control &amp; Prevention, Inc.</t>
        </is>
      </c>
      <c r="B36" s="7" t="n">
        <v>435494.48</v>
      </c>
      <c r="C36" s="4" t="n">
        <v>7</v>
      </c>
      <c r="D36" s="7" t="n">
        <v>62213.5</v>
      </c>
    </row>
    <row r="37">
      <c r="A37" s="4" t="inlineStr">
        <is>
          <t>TAYLOR COMMUNICATIONS INC</t>
        </is>
      </c>
      <c r="B37" s="7" t="n">
        <v>431929.13</v>
      </c>
      <c r="C37" s="4" t="n">
        <v>10</v>
      </c>
      <c r="D37" s="7" t="n">
        <v>43192.91</v>
      </c>
    </row>
    <row r="38">
      <c r="A38" s="4" t="inlineStr">
        <is>
          <t>CHICAGO UNITED INDUSTRIES, LTD</t>
        </is>
      </c>
      <c r="B38" s="7" t="n">
        <v>412967.57</v>
      </c>
      <c r="C38" s="4" t="n">
        <v>7</v>
      </c>
      <c r="D38" s="7" t="n">
        <v>58995.37</v>
      </c>
    </row>
    <row r="39">
      <c r="A39" s="4" t="inlineStr">
        <is>
          <t>Chartwell RX, LLC</t>
        </is>
      </c>
      <c r="B39" s="7" t="n">
        <v>399986.9</v>
      </c>
      <c r="C39" s="4" t="n">
        <v>1</v>
      </c>
      <c r="D39" s="7" t="n">
        <v>399986.9</v>
      </c>
    </row>
    <row r="40">
      <c r="A40" s="4" t="inlineStr">
        <is>
          <t>ROSS BARNEY ARCHITECTS, PC</t>
        </is>
      </c>
      <c r="B40" s="7" t="n">
        <v>382313.8</v>
      </c>
      <c r="C40" s="4" t="n">
        <v>1</v>
      </c>
      <c r="D40" s="7" t="n">
        <v>382313.8</v>
      </c>
    </row>
    <row r="41">
      <c r="A41" s="4" t="inlineStr">
        <is>
          <t>ALLAN INTEGRATED CONTROL SYSTEMS,  INC.</t>
        </is>
      </c>
      <c r="B41" s="7" t="n">
        <v>349154.88</v>
      </c>
      <c r="C41" s="4" t="n">
        <v>1</v>
      </c>
      <c r="D41" s="7" t="n">
        <v>349154.88</v>
      </c>
    </row>
    <row r="42">
      <c r="A42" s="4" t="inlineStr">
        <is>
          <t>GRAYBAR ELECTRIC CO INC</t>
        </is>
      </c>
      <c r="B42" s="7" t="n">
        <v>345827.29</v>
      </c>
      <c r="C42" s="4" t="n">
        <v>9</v>
      </c>
      <c r="D42" s="7" t="n">
        <v>38425.25</v>
      </c>
    </row>
    <row r="43">
      <c r="A43" s="4" t="inlineStr">
        <is>
          <t>CATALYST CONSULTING GROUP INC</t>
        </is>
      </c>
      <c r="B43" s="7" t="n">
        <v>325439.85</v>
      </c>
      <c r="C43" s="4" t="n">
        <v>2</v>
      </c>
      <c r="D43" s="7" t="n">
        <v>162719.93</v>
      </c>
    </row>
    <row r="44">
      <c r="A44" s="4" t="inlineStr">
        <is>
          <t>DS Services of America, Inc.</t>
        </is>
      </c>
      <c r="B44" s="7" t="n">
        <v>307105.19</v>
      </c>
      <c r="C44" s="4" t="n">
        <v>14</v>
      </c>
      <c r="D44" s="7" t="n">
        <v>21936.08</v>
      </c>
    </row>
    <row r="45">
      <c r="A45" s="4" t="inlineStr">
        <is>
          <t>MIDWEST VETERINARY SUPPLY, INC.</t>
        </is>
      </c>
      <c r="B45" s="7" t="n">
        <v>278559.23</v>
      </c>
      <c r="C45" s="4" t="n">
        <v>10</v>
      </c>
      <c r="D45" s="7" t="n">
        <v>27855.92</v>
      </c>
    </row>
    <row r="46">
      <c r="A46" s="4" t="inlineStr">
        <is>
          <t>RAE PRODUCTS &amp; CHEMICALS CORP.</t>
        </is>
      </c>
      <c r="B46" s="7" t="n">
        <v>274563.07</v>
      </c>
      <c r="C46" s="4" t="n">
        <v>4</v>
      </c>
      <c r="D46" s="7" t="n">
        <v>68640.77</v>
      </c>
    </row>
    <row r="47">
      <c r="A47" s="4" t="inlineStr">
        <is>
          <t>BELLA BAGNO INC</t>
        </is>
      </c>
      <c r="B47" s="7" t="n">
        <v>263779.27</v>
      </c>
      <c r="C47" s="4" t="n">
        <v>2</v>
      </c>
      <c r="D47" s="7" t="n">
        <v>131889.64</v>
      </c>
    </row>
    <row r="48">
      <c r="A48" s="4" t="inlineStr">
        <is>
          <t>STANDARD EQUIPMENT</t>
        </is>
      </c>
      <c r="B48" s="7" t="n">
        <v>262856</v>
      </c>
      <c r="C48" s="4" t="n">
        <v>5</v>
      </c>
      <c r="D48" s="7" t="n">
        <v>52571.2</v>
      </c>
    </row>
    <row r="49">
      <c r="A49" s="4" t="inlineStr">
        <is>
          <t>MOORE LANDSCAPES LLC</t>
        </is>
      </c>
      <c r="B49" s="7" t="n">
        <v>253117.4</v>
      </c>
      <c r="C49" s="4" t="n">
        <v>4</v>
      </c>
      <c r="D49" s="7" t="n">
        <v>63279.35</v>
      </c>
    </row>
    <row r="50">
      <c r="A50" s="4" t="inlineStr">
        <is>
          <t>BANDIT INDUSTRIES, INC</t>
        </is>
      </c>
      <c r="B50" s="7" t="n">
        <v>251640.9</v>
      </c>
      <c r="C50" s="4" t="n">
        <v>11</v>
      </c>
      <c r="D50" s="7" t="n">
        <v>22876.45</v>
      </c>
    </row>
    <row r="51">
      <c r="A51" s="4" t="inlineStr">
        <is>
          <t>CASEY EQUIPMENT CO INC</t>
        </is>
      </c>
      <c r="B51" s="7" t="n">
        <v>217212.1</v>
      </c>
      <c r="C51" s="4" t="n">
        <v>1</v>
      </c>
      <c r="D51" s="7" t="n">
        <v>217212.1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19" customWidth="1" min="3" max="3"/>
    <col width="16" customWidth="1" min="4" max="4"/>
  </cols>
  <sheetData>
    <row r="1">
      <c r="A1" s="3" t="inlineStr">
        <is>
          <t>Vendor Name</t>
        </is>
      </c>
      <c r="B1" s="3" t="inlineStr">
        <is>
          <t>Total Spend</t>
        </is>
      </c>
      <c r="C1" s="3" t="inlineStr">
        <is>
          <t>Requisition Count</t>
        </is>
      </c>
      <c r="D1" s="3" t="inlineStr">
        <is>
          <t>Average Amount</t>
        </is>
      </c>
    </row>
    <row r="2">
      <c r="A2" s="4" t="inlineStr">
        <is>
          <t>ARLINGTON GLASS &amp; MIRROR</t>
        </is>
      </c>
      <c r="B2" s="7" t="n">
        <v>474875.2</v>
      </c>
      <c r="C2" s="4" t="n">
        <v>75</v>
      </c>
      <c r="D2" s="7" t="n">
        <v>6331.67</v>
      </c>
    </row>
    <row r="3">
      <c r="A3" s="4" t="inlineStr">
        <is>
          <t>BLUETRITON BRANDS INC</t>
        </is>
      </c>
      <c r="B3" s="7" t="n">
        <v>75081.86</v>
      </c>
      <c r="C3" s="4" t="n">
        <v>60</v>
      </c>
      <c r="D3" s="7" t="n">
        <v>1251.36</v>
      </c>
    </row>
    <row r="4">
      <c r="A4" s="4" t="inlineStr">
        <is>
          <t>INDUSTRIAL FENCE INC.</t>
        </is>
      </c>
      <c r="B4" s="7" t="n">
        <v>4024354.07</v>
      </c>
      <c r="C4" s="4" t="n">
        <v>51</v>
      </c>
      <c r="D4" s="7" t="n">
        <v>78908.89999999999</v>
      </c>
    </row>
    <row r="5">
      <c r="A5" s="4" t="inlineStr">
        <is>
          <t>PARKWAY ELEVATORS INC.</t>
        </is>
      </c>
      <c r="B5" s="7" t="n">
        <v>551142.41</v>
      </c>
      <c r="C5" s="4" t="n">
        <v>43</v>
      </c>
      <c r="D5" s="7" t="n">
        <v>12817.27</v>
      </c>
    </row>
    <row r="6">
      <c r="A6" s="4" t="inlineStr">
        <is>
          <t>P. R. STREICH &amp; SONS</t>
        </is>
      </c>
      <c r="B6" s="7" t="n">
        <v>144159.94</v>
      </c>
      <c r="C6" s="4" t="n">
        <v>33</v>
      </c>
      <c r="D6" s="7" t="n">
        <v>4368.48</v>
      </c>
    </row>
    <row r="7">
      <c r="A7" s="4" t="inlineStr">
        <is>
          <t>CHARLES EQUIPMENT ENERGY SYSTEMS LLC</t>
        </is>
      </c>
      <c r="B7" s="7" t="n">
        <v>485145.57</v>
      </c>
      <c r="C7" s="4" t="n">
        <v>32</v>
      </c>
      <c r="D7" s="7" t="n">
        <v>15160.8</v>
      </c>
    </row>
    <row r="8">
      <c r="A8" s="4" t="inlineStr">
        <is>
          <t>AGAE CONTRACTORS, INC.</t>
        </is>
      </c>
      <c r="B8" s="7" t="n">
        <v>100535.51</v>
      </c>
      <c r="C8" s="4" t="n">
        <v>28</v>
      </c>
      <c r="D8" s="7" t="n">
        <v>3590.55</v>
      </c>
    </row>
    <row r="9">
      <c r="A9" s="4" t="inlineStr">
        <is>
          <t>BUILDERS CHICAGO CORPORATION</t>
        </is>
      </c>
      <c r="B9" s="7" t="n">
        <v>975018.49</v>
      </c>
      <c r="C9" s="4" t="n">
        <v>26</v>
      </c>
      <c r="D9" s="7" t="n">
        <v>37500.71</v>
      </c>
    </row>
    <row r="10">
      <c r="A10" s="4" t="inlineStr">
        <is>
          <t>HINCKLEY SPRINGS</t>
        </is>
      </c>
      <c r="B10" s="7" t="n">
        <v>7481.74</v>
      </c>
      <c r="C10" s="4" t="n">
        <v>22</v>
      </c>
      <c r="D10" s="7" t="n">
        <v>340.08</v>
      </c>
    </row>
    <row r="11">
      <c r="A11" s="4" t="inlineStr">
        <is>
          <t>LIZZETTE MEDINA &amp; COMPANY</t>
        </is>
      </c>
      <c r="B11" s="7" t="n">
        <v>1541744.24</v>
      </c>
      <c r="C11" s="4" t="n">
        <v>19</v>
      </c>
      <c r="D11" s="7" t="n">
        <v>81144.42999999999</v>
      </c>
    </row>
    <row r="12">
      <c r="A12" s="4" t="inlineStr">
        <is>
          <t>MURNANE PAPER COMPANY</t>
        </is>
      </c>
      <c r="B12" s="7" t="n">
        <v>472416.97</v>
      </c>
      <c r="C12" s="4" t="n">
        <v>19</v>
      </c>
      <c r="D12" s="7" t="n">
        <v>24864.05</v>
      </c>
    </row>
    <row r="13">
      <c r="A13" s="4" t="inlineStr">
        <is>
          <t>ACORN GARAGE INC</t>
        </is>
      </c>
      <c r="B13" s="7" t="n">
        <v>9321</v>
      </c>
      <c r="C13" s="4" t="n">
        <v>18</v>
      </c>
      <c r="D13" s="7" t="n">
        <v>517.83</v>
      </c>
    </row>
    <row r="14">
      <c r="A14" s="4" t="inlineStr">
        <is>
          <t>KING TRANSMISSION CO INC</t>
        </is>
      </c>
      <c r="B14" s="7" t="n">
        <v>119800</v>
      </c>
      <c r="C14" s="4" t="n">
        <v>18</v>
      </c>
      <c r="D14" s="7" t="n">
        <v>6655.56</v>
      </c>
    </row>
    <row r="15">
      <c r="A15" s="4" t="inlineStr">
        <is>
          <t>A SAFE HAVEN FOUNDATION</t>
        </is>
      </c>
      <c r="B15" s="7" t="n">
        <v>1013485.13</v>
      </c>
      <c r="C15" s="4" t="n">
        <v>17</v>
      </c>
      <c r="D15" s="7" t="n">
        <v>59616.77</v>
      </c>
    </row>
    <row r="16">
      <c r="A16" s="4" t="inlineStr">
        <is>
          <t>A &amp; D PROPERTY SERVICES, INC.</t>
        </is>
      </c>
      <c r="B16" s="7" t="n">
        <v>836250</v>
      </c>
      <c r="C16" s="4" t="n">
        <v>14</v>
      </c>
      <c r="D16" s="7" t="n">
        <v>59732.14</v>
      </c>
    </row>
    <row r="17">
      <c r="A17" s="4" t="inlineStr">
        <is>
          <t>JASCULCA/TERMAN &amp; ASSOCIATES</t>
        </is>
      </c>
      <c r="B17" s="7" t="n">
        <v>206747.87</v>
      </c>
      <c r="C17" s="4" t="n">
        <v>14</v>
      </c>
      <c r="D17" s="7" t="n">
        <v>14767.7</v>
      </c>
    </row>
    <row r="18">
      <c r="A18" s="4" t="inlineStr">
        <is>
          <t>DS Services of America, Inc.</t>
        </is>
      </c>
      <c r="B18" s="7" t="n">
        <v>307105.19</v>
      </c>
      <c r="C18" s="4" t="n">
        <v>14</v>
      </c>
      <c r="D18" s="7" t="n">
        <v>21936.08</v>
      </c>
    </row>
    <row r="19">
      <c r="A19" s="4" t="inlineStr">
        <is>
          <t>SOUTHWEST INDUSTRIES DBA ANDERSON ELEVATOR COMPANY</t>
        </is>
      </c>
      <c r="B19" s="7" t="n">
        <v>156406.82</v>
      </c>
      <c r="C19" s="4" t="n">
        <v>14</v>
      </c>
      <c r="D19" s="7" t="n">
        <v>11171.92</v>
      </c>
    </row>
    <row r="20">
      <c r="A20" s="4" t="inlineStr">
        <is>
          <t>LEGEND &amp; WHITE ANIMAL HEALTH</t>
        </is>
      </c>
      <c r="B20" s="7" t="n">
        <v>185200.28</v>
      </c>
      <c r="C20" s="4" t="n">
        <v>14</v>
      </c>
      <c r="D20" s="7" t="n">
        <v>13228.59</v>
      </c>
    </row>
    <row r="21">
      <c r="A21" s="4" t="inlineStr">
        <is>
          <t>PALM ELECTRIC COMPANY</t>
        </is>
      </c>
      <c r="B21" s="7" t="n">
        <v>1582440.98</v>
      </c>
      <c r="C21" s="4" t="n">
        <v>13</v>
      </c>
      <c r="D21" s="7" t="n">
        <v>121726.23</v>
      </c>
    </row>
    <row r="22">
      <c r="A22" s="4" t="inlineStr">
        <is>
          <t>MCDONAGH DEMOLITION, INC.</t>
        </is>
      </c>
      <c r="B22" s="7" t="n">
        <v>2091278.41</v>
      </c>
      <c r="C22" s="4" t="n">
        <v>13</v>
      </c>
      <c r="D22" s="7" t="n">
        <v>160867.57</v>
      </c>
    </row>
    <row r="23">
      <c r="A23" s="4" t="inlineStr">
        <is>
          <t>CAR WASH PARTNERS INC</t>
        </is>
      </c>
      <c r="B23" s="7" t="n">
        <v>176799</v>
      </c>
      <c r="C23" s="4" t="n">
        <v>13</v>
      </c>
      <c r="D23" s="7" t="n">
        <v>13599.92</v>
      </c>
    </row>
    <row r="24">
      <c r="A24" s="4" t="inlineStr">
        <is>
          <t>CHRISTY WEBBER LANDSCAPES</t>
        </is>
      </c>
      <c r="B24" s="7" t="n">
        <v>606765.12</v>
      </c>
      <c r="C24" s="4" t="n">
        <v>13</v>
      </c>
      <c r="D24" s="7" t="n">
        <v>46674.24</v>
      </c>
    </row>
    <row r="25">
      <c r="A25" s="4" t="inlineStr">
        <is>
          <t>RUNNION EQUIPMENT CO</t>
        </is>
      </c>
      <c r="B25" s="7" t="n">
        <v>69004.05</v>
      </c>
      <c r="C25" s="4" t="n">
        <v>12</v>
      </c>
      <c r="D25" s="7" t="n">
        <v>5750.34</v>
      </c>
    </row>
    <row r="26">
      <c r="A26" s="4" t="inlineStr">
        <is>
          <t>OMICRON TECHNOLOGY SOLUTIONS LLC</t>
        </is>
      </c>
      <c r="B26" s="7" t="n">
        <v>138377.77</v>
      </c>
      <c r="C26" s="4" t="n">
        <v>11</v>
      </c>
      <c r="D26" s="7" t="n">
        <v>12579.8</v>
      </c>
    </row>
    <row r="27">
      <c r="A27" s="4" t="inlineStr">
        <is>
          <t>ZIPCAR  INC</t>
        </is>
      </c>
      <c r="B27" s="7" t="n">
        <v>35696.45</v>
      </c>
      <c r="C27" s="4" t="n">
        <v>11</v>
      </c>
      <c r="D27" s="7" t="n">
        <v>3245.13</v>
      </c>
    </row>
    <row r="28">
      <c r="A28" s="4" t="inlineStr">
        <is>
          <t>JACOB PRESS' SONS INC</t>
        </is>
      </c>
      <c r="B28" s="7" t="n">
        <v>17316.8</v>
      </c>
      <c r="C28" s="4" t="n">
        <v>11</v>
      </c>
      <c r="D28" s="7" t="n">
        <v>1574.25</v>
      </c>
    </row>
    <row r="29">
      <c r="A29" s="4" t="inlineStr">
        <is>
          <t>BANDIT INDUSTRIES, INC</t>
        </is>
      </c>
      <c r="B29" s="7" t="n">
        <v>251640.9</v>
      </c>
      <c r="C29" s="4" t="n">
        <v>11</v>
      </c>
      <c r="D29" s="7" t="n">
        <v>22876.45</v>
      </c>
    </row>
    <row r="30">
      <c r="A30" s="4" t="inlineStr">
        <is>
          <t>5410 Car Wash LLC</t>
        </is>
      </c>
      <c r="B30" s="7" t="n">
        <v>23630</v>
      </c>
      <c r="C30" s="4" t="n">
        <v>11</v>
      </c>
      <c r="D30" s="7" t="n">
        <v>2148.18</v>
      </c>
    </row>
    <row r="31">
      <c r="A31" s="4" t="inlineStr">
        <is>
          <t>SUNBELT STAFFING LLC</t>
        </is>
      </c>
      <c r="B31" s="7" t="n">
        <v>2858602.24</v>
      </c>
      <c r="C31" s="4" t="n">
        <v>11</v>
      </c>
      <c r="D31" s="7" t="n">
        <v>259872.93</v>
      </c>
    </row>
    <row r="32">
      <c r="A32" s="4" t="inlineStr">
        <is>
          <t>MIDWEST VETERINARY SUPPLY, INC.</t>
        </is>
      </c>
      <c r="B32" s="7" t="n">
        <v>278559.23</v>
      </c>
      <c r="C32" s="4" t="n">
        <v>10</v>
      </c>
      <c r="D32" s="7" t="n">
        <v>27855.92</v>
      </c>
    </row>
    <row r="33">
      <c r="A33" s="4" t="inlineStr">
        <is>
          <t>QUALITY CAR WASH, INC.</t>
        </is>
      </c>
      <c r="B33" s="7" t="n">
        <v>106045.68</v>
      </c>
      <c r="C33" s="4" t="n">
        <v>10</v>
      </c>
      <c r="D33" s="7" t="n">
        <v>10604.57</v>
      </c>
    </row>
    <row r="34">
      <c r="A34" s="4" t="inlineStr">
        <is>
          <t>TAYLOR COMMUNICATIONS INC</t>
        </is>
      </c>
      <c r="B34" s="7" t="n">
        <v>431929.13</v>
      </c>
      <c r="C34" s="4" t="n">
        <v>10</v>
      </c>
      <c r="D34" s="7" t="n">
        <v>43192.91</v>
      </c>
    </row>
    <row r="35">
      <c r="A35" s="4" t="inlineStr">
        <is>
          <t>WISS, JANNEY, ELSTNER, &amp; ASSOCIATES, INC.</t>
        </is>
      </c>
      <c r="B35" s="7" t="n">
        <v>102678.32</v>
      </c>
      <c r="C35" s="4" t="n">
        <v>9</v>
      </c>
      <c r="D35" s="7" t="n">
        <v>11408.7</v>
      </c>
    </row>
    <row r="36">
      <c r="A36" s="4" t="inlineStr">
        <is>
          <t xml:space="preserve">REPUBLIC SERVICES INC </t>
        </is>
      </c>
      <c r="B36" s="7" t="n">
        <v>44678.02</v>
      </c>
      <c r="C36" s="4" t="n">
        <v>9</v>
      </c>
      <c r="D36" s="7" t="n">
        <v>4964.22</v>
      </c>
    </row>
    <row r="37">
      <c r="A37" s="4" t="inlineStr">
        <is>
          <t>GRAYBAR ELECTRIC CO INC</t>
        </is>
      </c>
      <c r="B37" s="7" t="n">
        <v>345827.29</v>
      </c>
      <c r="C37" s="4" t="n">
        <v>9</v>
      </c>
      <c r="D37" s="7" t="n">
        <v>38425.25</v>
      </c>
    </row>
    <row r="38">
      <c r="A38" s="4" t="inlineStr">
        <is>
          <t>CANON SOLUTIONS AMERICA, INC</t>
        </is>
      </c>
      <c r="B38" s="7" t="n">
        <v>172508.05</v>
      </c>
      <c r="C38" s="4" t="n">
        <v>8</v>
      </c>
      <c r="D38" s="7" t="n">
        <v>21563.51</v>
      </c>
    </row>
    <row r="39">
      <c r="A39" s="4" t="inlineStr">
        <is>
          <t>CIS Support, Inc.</t>
        </is>
      </c>
      <c r="B39" s="7" t="n">
        <v>57475</v>
      </c>
      <c r="C39" s="4" t="n">
        <v>8</v>
      </c>
      <c r="D39" s="7" t="n">
        <v>7184.38</v>
      </c>
    </row>
    <row r="40">
      <c r="A40" s="4" t="inlineStr">
        <is>
          <t>DODD CAMERA HOLDINGS, INC</t>
        </is>
      </c>
      <c r="B40" s="7" t="n">
        <v>44542.36</v>
      </c>
      <c r="C40" s="4" t="n">
        <v>8</v>
      </c>
      <c r="D40" s="7" t="n">
        <v>5567.8</v>
      </c>
    </row>
    <row r="41">
      <c r="A41" s="4" t="inlineStr">
        <is>
          <t>USALCO</t>
        </is>
      </c>
      <c r="B41" s="7" t="n">
        <v>5164447.73</v>
      </c>
      <c r="C41" s="4" t="n">
        <v>8</v>
      </c>
      <c r="D41" s="7" t="n">
        <v>645555.97</v>
      </c>
    </row>
    <row r="42">
      <c r="A42" s="4" t="inlineStr">
        <is>
          <t>MOBILE FACILITIES OF ILL, INC.</t>
        </is>
      </c>
      <c r="B42" s="7" t="n">
        <v>11550</v>
      </c>
      <c r="C42" s="4" t="n">
        <v>8</v>
      </c>
      <c r="D42" s="7" t="n">
        <v>1443.75</v>
      </c>
    </row>
    <row r="43">
      <c r="A43" s="4" t="inlineStr">
        <is>
          <t>CHICAGO UNITED INDUSTRIES, LTD</t>
        </is>
      </c>
      <c r="B43" s="7" t="n">
        <v>412967.57</v>
      </c>
      <c r="C43" s="4" t="n">
        <v>7</v>
      </c>
      <c r="D43" s="7" t="n">
        <v>58995.37</v>
      </c>
    </row>
    <row r="44">
      <c r="A44" s="4" t="inlineStr">
        <is>
          <t>ABC Humane Wildlife Control &amp; Prevention, Inc.</t>
        </is>
      </c>
      <c r="B44" s="7" t="n">
        <v>435494.48</v>
      </c>
      <c r="C44" s="4" t="n">
        <v>7</v>
      </c>
      <c r="D44" s="7" t="n">
        <v>62213.5</v>
      </c>
    </row>
    <row r="45">
      <c r="A45" s="4" t="inlineStr">
        <is>
          <t>Yellowstone Landscape, Inc</t>
        </is>
      </c>
      <c r="B45" s="7" t="n">
        <v>876998.2</v>
      </c>
      <c r="C45" s="4" t="n">
        <v>7</v>
      </c>
      <c r="D45" s="7" t="n">
        <v>125285.46</v>
      </c>
    </row>
    <row r="46">
      <c r="A46" s="4" t="inlineStr">
        <is>
          <t>PRESSURE WASHING SYSTEMS</t>
        </is>
      </c>
      <c r="B46" s="7" t="n">
        <v>34362</v>
      </c>
      <c r="C46" s="4" t="n">
        <v>7</v>
      </c>
      <c r="D46" s="7" t="n">
        <v>4908.86</v>
      </c>
    </row>
    <row r="47">
      <c r="A47" s="4" t="inlineStr">
        <is>
          <t>Sophisticated Events and Design Co.</t>
        </is>
      </c>
      <c r="B47" s="7" t="n">
        <v>63412</v>
      </c>
      <c r="C47" s="4" t="n">
        <v>7</v>
      </c>
      <c r="D47" s="7" t="n">
        <v>9058.860000000001</v>
      </c>
    </row>
    <row r="48">
      <c r="A48" s="4" t="inlineStr">
        <is>
          <t>DAYSPRING PROFESSIONAL JANITOR</t>
        </is>
      </c>
      <c r="B48" s="7" t="n">
        <v>1050062.48</v>
      </c>
      <c r="C48" s="4" t="n">
        <v>6</v>
      </c>
      <c r="D48" s="7" t="n">
        <v>175010.41</v>
      </c>
    </row>
    <row r="49">
      <c r="A49" s="4" t="inlineStr">
        <is>
          <t>RI-DEL MFG. INC.</t>
        </is>
      </c>
      <c r="B49" s="7" t="n">
        <v>441802.12</v>
      </c>
      <c r="C49" s="4" t="n">
        <v>6</v>
      </c>
      <c r="D49" s="7" t="n">
        <v>73633.69</v>
      </c>
    </row>
    <row r="50">
      <c r="A50" s="4" t="inlineStr">
        <is>
          <t>The RIV LLC</t>
        </is>
      </c>
      <c r="B50" s="7" t="n">
        <v>1409</v>
      </c>
      <c r="C50" s="4" t="n">
        <v>5</v>
      </c>
      <c r="D50" s="7" t="n">
        <v>281.8</v>
      </c>
    </row>
    <row r="51">
      <c r="A51" s="4" t="inlineStr">
        <is>
          <t>ROOT BROS MFG &amp; SUPPLY CO</t>
        </is>
      </c>
      <c r="B51" s="7" t="n">
        <v>1760147.48</v>
      </c>
      <c r="C51" s="4" t="n">
        <v>5</v>
      </c>
      <c r="D51" s="7" t="n">
        <v>352029.5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29" customWidth="1" min="4" max="4"/>
    <col width="48" customWidth="1" min="5" max="5"/>
    <col width="80" customWidth="1" min="6" max="6"/>
    <col width="80" customWidth="1" min="7" max="7"/>
    <col width="21" customWidth="1" min="8" max="8"/>
  </cols>
  <sheetData>
    <row r="1">
      <c r="A1" s="3" t="inlineStr">
        <is>
          <t>Req Number</t>
        </is>
      </c>
      <c r="B1" s="3" t="inlineStr">
        <is>
          <t>Amount</t>
        </is>
      </c>
      <c r="C1" s="3" t="inlineStr">
        <is>
          <t>Vendor</t>
        </is>
      </c>
      <c r="D1" s="3" t="inlineStr">
        <is>
          <t>Category</t>
        </is>
      </c>
      <c r="E1" s="3" t="inlineStr">
        <is>
          <t>Department</t>
        </is>
      </c>
      <c r="F1" s="3" t="inlineStr">
        <is>
          <t>Description</t>
        </is>
      </c>
      <c r="G1" s="3" t="inlineStr">
        <is>
          <t>Justification</t>
        </is>
      </c>
      <c r="H1" s="3" t="inlineStr">
        <is>
          <t>Date Received</t>
        </is>
      </c>
    </row>
    <row r="2">
      <c r="A2" s="4" t="n">
        <v>689315</v>
      </c>
      <c r="B2" s="7" t="n">
        <v>7999728.86</v>
      </c>
      <c r="C2" s="4" t="inlineStr">
        <is>
          <t>BADGER METER INC</t>
        </is>
      </c>
      <c r="D2" s="4" t="inlineStr">
        <is>
          <t>Parts &amp; Supplies</t>
        </is>
      </c>
      <c r="E2" s="4" t="inlineStr">
        <is>
          <t>88-DEPARTMENT OF WATER MANAGEMENT</t>
        </is>
      </c>
      <c r="F2" s="4" t="inlineStr">
        <is>
          <t>Badger Meters</t>
        </is>
      </c>
      <c r="G2" s="4" t="inlineStr">
        <is>
          <t>1. Pending New Contract - Original Contract Expired. New Contract in Process</t>
        </is>
      </c>
      <c r="H2" s="5" t="n">
        <v>45917.53238425926</v>
      </c>
    </row>
    <row r="3">
      <c r="A3" s="4" t="n">
        <v>656777</v>
      </c>
      <c r="B3" s="7" t="n">
        <v>4314975</v>
      </c>
      <c r="C3" s="4" t="inlineStr">
        <is>
          <t>AT&amp;T CORP</t>
        </is>
      </c>
      <c r="D3" s="4" t="inlineStr">
        <is>
          <t>Utilities</t>
        </is>
      </c>
      <c r="E3" s="4" t="inlineStr">
        <is>
          <t>06-DEPARTMENT OF TECHNOLOGY AND INNOVATION</t>
        </is>
      </c>
      <c r="F3" s="4" t="inlineStr">
        <is>
          <t>2024 ATT Unpaid Invoices</t>
        </is>
      </c>
      <c r="G3" s="4" t="inlineStr">
        <is>
          <t>1. Pending New Contract - Original Contract Expired. New Contract in Process</t>
        </is>
      </c>
      <c r="H3" s="5" t="n">
        <v>45735.63296296296</v>
      </c>
    </row>
    <row r="4">
      <c r="A4" s="4" t="n">
        <v>656741</v>
      </c>
      <c r="B4" s="7" t="n">
        <v>1936585.18</v>
      </c>
      <c r="C4" s="4" t="inlineStr">
        <is>
          <t>COMPUTER AID INC</t>
        </is>
      </c>
      <c r="D4" s="4" t="inlineStr">
        <is>
          <t>IT &amp; Technology</t>
        </is>
      </c>
      <c r="E4" s="4" t="inlineStr">
        <is>
          <t>06-DEPARTMENT OF TECHNOLOGY AND INNOVATION</t>
        </is>
      </c>
      <c r="F4" s="4" t="inlineStr">
        <is>
          <t>Vendor Computer Aid Inc (CAI) November and December 2024 invoices</t>
        </is>
      </c>
      <c r="G4" s="4" t="inlineStr">
        <is>
          <t>1. Pending New Contract - Original Contract Expired. New Contract in Process</t>
        </is>
      </c>
      <c r="H4" s="5" t="n">
        <v>45735.70637731482</v>
      </c>
    </row>
    <row r="5">
      <c r="A5" s="4" t="n">
        <v>673434</v>
      </c>
      <c r="B5" s="7" t="n">
        <v>1919423</v>
      </c>
      <c r="C5" s="4" t="inlineStr">
        <is>
          <t>CASCADE ENGINEERING, INC</t>
        </is>
      </c>
      <c r="D5" s="4" t="inlineStr">
        <is>
          <t>Environmental Services</t>
        </is>
      </c>
      <c r="E5" s="4" t="inlineStr">
        <is>
          <t>81-DEPARTMENT OF STREETS AND SANITATION</t>
        </is>
      </c>
      <c r="F5" s="4" t="inlineStr">
        <is>
          <t>MOBILE REFUSE BLACK CARTS AND RECYCLING BLUE CARTS</t>
        </is>
      </c>
      <c r="G5" s="4" t="inlineStr">
        <is>
          <t>1. Pending New Contract - Original Contract Expired. New Contract in Process</t>
        </is>
      </c>
      <c r="H5" s="5" t="n">
        <v>45985.63550925926</v>
      </c>
    </row>
    <row r="6">
      <c r="A6" s="4" t="n">
        <v>672987</v>
      </c>
      <c r="B6" s="7" t="n">
        <v>1471850.62</v>
      </c>
      <c r="C6" s="4" t="inlineStr">
        <is>
          <t>INDUSTRIAL FENCE INC.</t>
        </is>
      </c>
      <c r="D6" s="4" t="inlineStr">
        <is>
          <t>Construction</t>
        </is>
      </c>
      <c r="E6" s="4" t="inlineStr">
        <is>
          <t>59-CHICAGO FIRE DEPARTMENT</t>
        </is>
      </c>
      <c r="F6" s="4" t="inlineStr">
        <is>
          <t>FFIB Industrial Fence $1,471,850.62</t>
        </is>
      </c>
      <c r="G6" s="4" t="inlineStr">
        <is>
          <t>1. Pending New Contract - Original Contract Expired. New Contract in Process</t>
        </is>
      </c>
      <c r="H6" s="5" t="n">
        <v>45824.5403125</v>
      </c>
    </row>
    <row r="7">
      <c r="A7" s="4" t="n">
        <v>679781</v>
      </c>
      <c r="B7" s="7" t="n">
        <v>1314715.76</v>
      </c>
      <c r="C7" s="4" t="inlineStr">
        <is>
          <t>PAN-OCEANIC ENGINEERING CO INC</t>
        </is>
      </c>
      <c r="D7" s="4" t="inlineStr">
        <is>
          <t>Construction</t>
        </is>
      </c>
      <c r="E7" s="4" t="inlineStr">
        <is>
          <t>88-DEPARTMENT OF WATER MANAGEMENT</t>
        </is>
      </c>
      <c r="F7" s="4" t="inlineStr">
        <is>
          <t>Sewer Construction</t>
        </is>
      </c>
      <c r="G7" s="4" t="inlineStr">
        <is>
          <t>1. Pending New Contract - Original Contract Expired. New Contract in Process</t>
        </is>
      </c>
      <c r="H7" s="5" t="n">
        <v>45861.63070601852</v>
      </c>
    </row>
    <row r="8">
      <c r="A8" s="4" t="n">
        <v>650860</v>
      </c>
      <c r="B8" s="7" t="n">
        <v>1045142.24</v>
      </c>
      <c r="C8" s="4" t="inlineStr">
        <is>
          <t>SCHINDLER ELEVATOR CORP</t>
        </is>
      </c>
      <c r="D8" s="4" t="inlineStr">
        <is>
          <t>Aviation &amp; Airport Services</t>
        </is>
      </c>
      <c r="E8" s="4" t="inlineStr">
        <is>
          <t>85-CHICAGO DEPARTMENT OF AVIATION</t>
        </is>
      </c>
      <c r="F8" s="4" t="inlineStr">
        <is>
          <t>Attached are four invoices. Transferred from APRF No. 493175.  Facilities is Requesting a Direct Voucher- Exhibit B for O'Hare airport outstanding inMOD to audited amount. kf 2.12.25</t>
        </is>
      </c>
      <c r="G8" s="4" t="inlineStr">
        <is>
          <t>1. Pending New Contract - Original Contract Expired. New Contract in Process</t>
        </is>
      </c>
      <c r="H8" s="5" t="n">
        <v>45706.61381944444</v>
      </c>
    </row>
    <row r="9">
      <c r="A9" s="4" t="n">
        <v>656563</v>
      </c>
      <c r="B9" s="7" t="n">
        <v>974636.6</v>
      </c>
      <c r="C9" s="4" t="inlineStr">
        <is>
          <t>CASCADE ENGINEERING, INC</t>
        </is>
      </c>
      <c r="D9" s="4" t="inlineStr">
        <is>
          <t>Environmental Services</t>
        </is>
      </c>
      <c r="E9" s="4" t="inlineStr">
        <is>
          <t>81-DEPARTMENT OF STREETS AND SANITATION</t>
        </is>
      </c>
      <c r="F9" s="4" t="inlineStr">
        <is>
          <t>MOBILE REFUSE BLACK CARTS AND RECYCLING BLUE CARTS</t>
        </is>
      </c>
      <c r="G9" s="4" t="inlineStr">
        <is>
          <t>1. Pending New Contract - Original Contract Expired. New Contract in Process</t>
        </is>
      </c>
      <c r="H9" s="5" t="n">
        <v>45811.55774305556</v>
      </c>
    </row>
    <row r="10">
      <c r="A10" s="4" t="n">
        <v>700016</v>
      </c>
      <c r="B10" s="7" t="n">
        <v>921059.98</v>
      </c>
      <c r="C10" s="4" t="inlineStr">
        <is>
          <t>SCHINDLER ELEVATOR CORP</t>
        </is>
      </c>
      <c r="D10" s="4" t="inlineStr">
        <is>
          <t>Aviation &amp; Airport Services</t>
        </is>
      </c>
      <c r="E10" s="4" t="inlineStr">
        <is>
          <t>85-CHICAGO DEPARTMENT OF AVIATION</t>
        </is>
      </c>
      <c r="F10" s="4" t="inlineStr">
        <is>
          <t>#3 Invoices $921,059.98    Requesting a Direct Voucher - Exhibit B for O'Hare due to expired contract. Elevators, Escalators, Dumbwaiters, Moving Walkways Maintenance and Services at O'Hare for July, August and September 2025 Monthlies.</t>
        </is>
      </c>
      <c r="G10" s="4" t="inlineStr">
        <is>
          <t>1. Pending New Contract - Original Contract Expired. New Contract in Process</t>
        </is>
      </c>
      <c r="H10" s="5" t="n">
        <v>45980.43013888889</v>
      </c>
    </row>
    <row r="11">
      <c r="A11" s="4" t="n">
        <v>672100</v>
      </c>
      <c r="B11" s="7" t="n">
        <v>886431.27</v>
      </c>
      <c r="C11" s="4" t="inlineStr">
        <is>
          <t>SCHINDLER ELEVATOR CORP</t>
        </is>
      </c>
      <c r="D11" s="4" t="inlineStr">
        <is>
          <t>Facilities &amp; Maintenance</t>
        </is>
      </c>
      <c r="E11" s="4" t="inlineStr">
        <is>
          <t>85-CHICAGO DEPARTMENT OF AVIATION</t>
        </is>
      </c>
      <c r="F11" s="4" t="inlineStr">
        <is>
          <t>Inv#8106804122 January maintenance 2025 Inv#8106828080 February maintenance Inv# 8106851768 March maintenance</t>
        </is>
      </c>
      <c r="G11" s="4" t="inlineStr">
        <is>
          <t>1. Pending New Contract - Original Contract Expired. New Contract in Process</t>
        </is>
      </c>
      <c r="H11" s="5" t="n">
        <v>45819.43872685185</v>
      </c>
    </row>
    <row r="12">
      <c r="A12" s="4" t="n">
        <v>646566</v>
      </c>
      <c r="B12" s="7" t="n">
        <v>868192</v>
      </c>
      <c r="C12" s="4" t="inlineStr">
        <is>
          <t>ROOT BROS MFG &amp; SUPPLY CO</t>
        </is>
      </c>
      <c r="D12" s="4" t="inlineStr">
        <is>
          <t>Parts &amp; Supplies</t>
        </is>
      </c>
      <c r="E12" s="4" t="inlineStr">
        <is>
          <t>81-DEPARTMENT OF STREETS AND SANITATION</t>
        </is>
      </c>
      <c r="F12" s="4" t="inlineStr">
        <is>
          <t>Purchase of mobile carts and parts</t>
        </is>
      </c>
      <c r="G12" s="4" t="inlineStr">
        <is>
          <t>1. Pending New Contract - Original Contract Expired. New Contract in Process</t>
        </is>
      </c>
      <c r="H12" s="5" t="n">
        <v>45680.42597222222</v>
      </c>
    </row>
    <row r="13">
      <c r="A13" s="4" t="n">
        <v>634069</v>
      </c>
      <c r="B13" s="7" t="n">
        <v>868192</v>
      </c>
      <c r="C13" s="4" t="inlineStr">
        <is>
          <t>ROOT BROS MFG &amp; SUPPLY CO</t>
        </is>
      </c>
      <c r="D13" s="4" t="inlineStr">
        <is>
          <t>Parts &amp; Supplies</t>
        </is>
      </c>
      <c r="E13" s="4" t="inlineStr">
        <is>
          <t>81-DEPARTMENT OF STREETS AND SANITATION</t>
        </is>
      </c>
      <c r="F13" s="4" t="inlineStr">
        <is>
          <t>Purchase of mobile carts and parts</t>
        </is>
      </c>
      <c r="G13" s="4" t="inlineStr">
        <is>
          <t>1. Pending New Contract - Original Contract Expired. New Contract in Process</t>
        </is>
      </c>
      <c r="H13" s="5" t="n">
        <v>45671.39225694445</v>
      </c>
    </row>
    <row r="14">
      <c r="A14" s="4" t="n">
        <v>690233</v>
      </c>
      <c r="B14" s="7" t="n">
        <v>847253.58</v>
      </c>
      <c r="C14" s="4" t="inlineStr">
        <is>
          <t>PAN-OCEANIC ENGINEERING CO INC</t>
        </is>
      </c>
      <c r="D14" s="4" t="inlineStr">
        <is>
          <t>Construction</t>
        </is>
      </c>
      <c r="E14" s="4" t="inlineStr">
        <is>
          <t>88-DEPARTMENT OF WATER MANAGEMENT</t>
        </is>
      </c>
      <c r="F14" s="4" t="inlineStr">
        <is>
          <t>Sewer Construction</t>
        </is>
      </c>
      <c r="G14" s="4" t="inlineStr">
        <is>
          <t>1. Pending New Contract - Original Contract Expired. New Contract in Process</t>
        </is>
      </c>
      <c r="H14" s="5" t="n">
        <v>45923.46510416667</v>
      </c>
    </row>
    <row r="15">
      <c r="A15" s="4" t="n">
        <v>697019</v>
      </c>
      <c r="B15" s="7" t="n">
        <v>808692.0699999999</v>
      </c>
      <c r="C15" s="4" t="inlineStr">
        <is>
          <t>SUNBELT STAFFING LLC</t>
        </is>
      </c>
      <c r="D15" s="4" t="inlineStr">
        <is>
          <t>Professional Services</t>
        </is>
      </c>
      <c r="E15" s="4" t="inlineStr">
        <is>
          <t>41-CHICAGO DEPARTMENT OF PUBLIC HEALTH</t>
        </is>
      </c>
      <c r="F15" s="4" t="inlineStr">
        <is>
          <t>Contractor invoices</t>
        </is>
      </c>
      <c r="G15" s="4" t="inlineStr">
        <is>
          <t>4. Invoice Reconciliation - Invoice Received after Contract Expiration</t>
        </is>
      </c>
      <c r="H15" s="5" t="n">
        <v>45966.66637731482</v>
      </c>
    </row>
    <row r="16">
      <c r="A16" s="4" t="n">
        <v>683820</v>
      </c>
      <c r="B16" s="7" t="n">
        <v>794094.75</v>
      </c>
      <c r="C16" s="4" t="inlineStr">
        <is>
          <t>USALCO</t>
        </is>
      </c>
      <c r="D16" s="4" t="inlineStr">
        <is>
          <t>Environmental Services</t>
        </is>
      </c>
      <c r="E16" s="4" t="inlineStr">
        <is>
          <t>88-DEPARTMENT OF WATER MANAGEMENT</t>
        </is>
      </c>
      <c r="F16" s="4" t="inlineStr">
        <is>
          <t>Liquid Aluminum Sulfate (Iron Free)</t>
        </is>
      </c>
      <c r="G16" s="4" t="inlineStr">
        <is>
          <t>1. Pending New Contract - Original Contract Expired. New Contract in Process</t>
        </is>
      </c>
      <c r="H16" s="5" t="n">
        <v>45884.50685185185</v>
      </c>
    </row>
    <row r="17">
      <c r="A17" s="4" t="n">
        <v>683876</v>
      </c>
      <c r="B17" s="7" t="n">
        <v>794094.75</v>
      </c>
      <c r="C17" s="4" t="inlineStr">
        <is>
          <t>USALCO</t>
        </is>
      </c>
      <c r="D17" s="4" t="inlineStr">
        <is>
          <t>Environmental Services</t>
        </is>
      </c>
      <c r="E17" s="4" t="inlineStr">
        <is>
          <t>88-DEPARTMENT OF WATER MANAGEMENT</t>
        </is>
      </c>
      <c r="F17" s="4" t="inlineStr">
        <is>
          <t>Liquid Aluminum Sulfate (Iron Free)</t>
        </is>
      </c>
      <c r="G17" s="4" t="inlineStr">
        <is>
          <t>1. Pending New Contract - Original Contract Expired. New Contract in Process</t>
        </is>
      </c>
      <c r="H17" s="5" t="n">
        <v>45884.59170138889</v>
      </c>
    </row>
    <row r="18">
      <c r="A18" s="4" t="n">
        <v>679954</v>
      </c>
      <c r="B18" s="7" t="n">
        <v>794094.75</v>
      </c>
      <c r="C18" s="4" t="inlineStr">
        <is>
          <t>USALCO</t>
        </is>
      </c>
      <c r="D18" s="4" t="inlineStr">
        <is>
          <t>Parts &amp; Supplies</t>
        </is>
      </c>
      <c r="E18" s="4" t="inlineStr">
        <is>
          <t>88-DEPARTMENT OF WATER MANAGEMENT</t>
        </is>
      </c>
      <c r="F18" s="4" t="inlineStr">
        <is>
          <t>Liquid Aluminum Sulfate (Iron Free)</t>
        </is>
      </c>
      <c r="G18" s="4" t="inlineStr">
        <is>
          <t>1. Pending New Contract - Original Contract Expired. New Contract in Process</t>
        </is>
      </c>
      <c r="H18" s="5" t="n">
        <v>45862.56490740741</v>
      </c>
    </row>
    <row r="19">
      <c r="A19" s="4" t="n">
        <v>685442</v>
      </c>
      <c r="B19" s="7" t="n">
        <v>792412.22</v>
      </c>
      <c r="C19" s="4" t="inlineStr">
        <is>
          <t>SCHINDLER ELEVATOR CORP</t>
        </is>
      </c>
      <c r="D19" s="4" t="inlineStr">
        <is>
          <t>Aviation &amp; Airport Services</t>
        </is>
      </c>
      <c r="E19" s="4" t="inlineStr">
        <is>
          <t>85-CHICAGO DEPARTMENT OF AVIATION</t>
        </is>
      </c>
      <c r="F19" s="4" t="inlineStr">
        <is>
          <t>Transfered from APRF No. 500526.  Requesting a Direct Voucher - Exhibit B for O'Hare due to expired contract. Elevators,MOD to audit amount kf 8.22.25</t>
        </is>
      </c>
      <c r="G19" s="4" t="inlineStr">
        <is>
          <t>1. Pending New Contract - Original Contract Expired. New Contract in Process</t>
        </is>
      </c>
      <c r="H19" s="5" t="n">
        <v>45891.65398148148</v>
      </c>
    </row>
    <row r="20">
      <c r="A20" s="4" t="n">
        <v>699594</v>
      </c>
      <c r="B20" s="7" t="n">
        <v>781613.66</v>
      </c>
      <c r="C20" s="4" t="inlineStr">
        <is>
          <t>INDUSTRIAL FENCE INC.</t>
        </is>
      </c>
      <c r="D20" s="4" t="inlineStr">
        <is>
          <t>Utilities</t>
        </is>
      </c>
      <c r="E20" s="4" t="inlineStr">
        <is>
          <t>88-DEPARTMENT OF WATER MANAGEMENT</t>
        </is>
      </c>
      <c r="F20" s="4" t="inlineStr">
        <is>
          <t>FURNISH AND INSTALL HIGH INVISIBLE WALL FENCE TO SECURE JARDINE WATER PURIFICATION PLANT</t>
        </is>
      </c>
      <c r="G20" s="4" t="inlineStr">
        <is>
          <t>1. Pending New Contract - Original Contract Expired. New Contract in Process</t>
        </is>
      </c>
      <c r="H20" s="5" t="n">
        <v>45978.60582175926</v>
      </c>
    </row>
    <row r="21">
      <c r="A21" s="4" t="n">
        <v>647923</v>
      </c>
      <c r="B21" s="7" t="n">
        <v>775034.62</v>
      </c>
      <c r="C21" s="4" t="inlineStr">
        <is>
          <t>MCDONAGH DEMOLITION, INC.</t>
        </is>
      </c>
      <c r="D21" s="4" t="inlineStr">
        <is>
          <t>Aviation &amp; Airport Services</t>
        </is>
      </c>
      <c r="E21" s="4" t="inlineStr">
        <is>
          <t>85-CHICAGO DEPARTMENT OF AVIATION</t>
        </is>
      </c>
      <c r="F21" s="4" t="inlineStr">
        <is>
          <t>Invoice#115256-SEPT&amp;OCT2024MAINT-INV01Transferred from APRF No. 494107.  AIRPORT MAINTENANCE SERVICES FOR SEPTEMBER AND OCT 2024 ORD.  PLEASE SEE ATTATCHEDMOD to audited amt kf 1.28.25</t>
        </is>
      </c>
      <c r="G21" s="4" t="inlineStr">
        <is>
          <t>2. Pending Amendment/Modification - Line Item Addition / Vendor Limit Increase / Scope Change</t>
        </is>
      </c>
      <c r="H21" s="5" t="n">
        <v>45686.5653125</v>
      </c>
    </row>
    <row r="22">
      <c r="A22" s="4" t="n">
        <v>680424</v>
      </c>
      <c r="B22" s="7" t="n">
        <v>766210.0600000001</v>
      </c>
      <c r="C22" s="4" t="inlineStr">
        <is>
          <t>SUNBELT STAFFING LLC</t>
        </is>
      </c>
      <c r="D22" s="4" t="inlineStr">
        <is>
          <t>Professional Services</t>
        </is>
      </c>
      <c r="E22" s="4" t="inlineStr">
        <is>
          <t>41-CHICAGO DEPARTMENT OF PUBLIC HEALTH</t>
        </is>
      </c>
      <c r="F22" s="4" t="inlineStr">
        <is>
          <t>Contractor invoices</t>
        </is>
      </c>
      <c r="G22" s="4" t="inlineStr">
        <is>
          <t>4. Invoice Reconciliation - Invoice Received after Contract Expiration</t>
        </is>
      </c>
      <c r="H22" s="5" t="n">
        <v>45874.47454861111</v>
      </c>
    </row>
    <row r="23">
      <c r="A23" s="4" t="n">
        <v>654228</v>
      </c>
      <c r="B23" s="7" t="n">
        <v>750974.8100000001</v>
      </c>
      <c r="C23" s="4" t="inlineStr">
        <is>
          <t>USALCO</t>
        </is>
      </c>
      <c r="D23" s="4" t="inlineStr">
        <is>
          <t>Parts &amp; Supplies</t>
        </is>
      </c>
      <c r="E23" s="4" t="inlineStr">
        <is>
          <t>88-DEPARTMENT OF WATER MANAGEMENT</t>
        </is>
      </c>
      <c r="F23" s="4" t="inlineStr">
        <is>
          <t>Liquid Aluminum Sulfate</t>
        </is>
      </c>
      <c r="G23" s="4" t="inlineStr">
        <is>
          <t>6. Bid Protest - Contract Award under Review</t>
        </is>
      </c>
      <c r="H23" s="5" t="n">
        <v>45723.43646990741</v>
      </c>
    </row>
    <row r="24">
      <c r="A24" s="4" t="n">
        <v>674665</v>
      </c>
      <c r="B24" s="7" t="n">
        <v>722700.64</v>
      </c>
      <c r="C24" s="4" t="inlineStr">
        <is>
          <t>PLASTIC CARD SOLUTIONS, INC.</t>
        </is>
      </c>
      <c r="D24" s="4" t="inlineStr">
        <is>
          <t>Parts &amp; Supplies</t>
        </is>
      </c>
      <c r="E24" s="4" t="inlineStr">
        <is>
          <t>85-CHICAGO DEPARTMENT OF AVIATION</t>
        </is>
      </c>
      <c r="F24" s="4" t="inlineStr">
        <is>
          <t>Exhibit B voucher for to Plastic Card Solutions for a 2yr supply of ID badging products &amp; materials.</t>
        </is>
      </c>
      <c r="G24" s="4" t="inlineStr">
        <is>
          <t>4. Invoice Reconciliation - Invoice Received after Contract Expiration</t>
        </is>
      </c>
      <c r="H24" s="5" t="n">
        <v>45833.63510416666</v>
      </c>
    </row>
    <row r="25">
      <c r="A25" s="4" t="n">
        <v>682883</v>
      </c>
      <c r="B25" s="7" t="n">
        <v>692703.66</v>
      </c>
      <c r="C25" s="4" t="inlineStr">
        <is>
          <t>SUNBELT STAFFING LLC</t>
        </is>
      </c>
      <c r="D25" s="4" t="inlineStr">
        <is>
          <t>Professional Services</t>
        </is>
      </c>
      <c r="E25" s="4" t="inlineStr">
        <is>
          <t>41-CHICAGO DEPARTMENT OF PUBLIC HEALTH</t>
        </is>
      </c>
      <c r="F25" s="4" t="inlineStr">
        <is>
          <t>Contractors</t>
        </is>
      </c>
      <c r="G25" s="4" t="inlineStr">
        <is>
          <t>2. Pending Amendment/Modification - Line Item Addition / Vendor Limit Increase / Scope Change</t>
        </is>
      </c>
      <c r="H25" s="5" t="n">
        <v>45880.54652777778</v>
      </c>
    </row>
    <row r="26">
      <c r="A26" s="4" t="n">
        <v>662940</v>
      </c>
      <c r="B26" s="7" t="n">
        <v>692293.9</v>
      </c>
      <c r="C26" s="4" t="inlineStr">
        <is>
          <t>DIVERSE FACILITY SOLUTION INC.</t>
        </is>
      </c>
      <c r="D26" s="4" t="inlineStr">
        <is>
          <t>Facilities &amp; Maintenance</t>
        </is>
      </c>
      <c r="E26" s="4" t="inlineStr">
        <is>
          <t>38-DEPARTMENT OF FLEET AND FACILITY MANAGEMENT</t>
        </is>
      </c>
      <c r="F26" s="4" t="inlineStr">
        <is>
          <t>Diverse Facility Solution  50064384 A  JS/ Akyesha H/ 10 INV/ $692,293.90/ Dec - Feb</t>
        </is>
      </c>
      <c r="G26" s="4" t="inlineStr">
        <is>
          <t>1. Pending New Contract - Original Contract Expired. New Contract in Process</t>
        </is>
      </c>
      <c r="H26" s="5" t="n">
        <v>45769.46460648148</v>
      </c>
    </row>
    <row r="27">
      <c r="A27" s="4" t="n">
        <v>691716</v>
      </c>
      <c r="B27" s="7" t="n">
        <v>670226.75</v>
      </c>
      <c r="C27" s="4" t="inlineStr">
        <is>
          <t>USALCO</t>
        </is>
      </c>
      <c r="D27" s="4" t="inlineStr">
        <is>
          <t>Environmental Services</t>
        </is>
      </c>
      <c r="E27" s="4" t="inlineStr">
        <is>
          <t>88-DEPARTMENT OF WATER MANAGEMENT</t>
        </is>
      </c>
      <c r="F27" s="4" t="inlineStr">
        <is>
          <t>Liquid Aluminum Sulfate (Iron Free)</t>
        </is>
      </c>
      <c r="G27" s="4" t="inlineStr">
        <is>
          <t>1. Pending New Contract - Original Contract Expired. New Contract in Process</t>
        </is>
      </c>
      <c r="H27" s="5" t="n">
        <v>45931.58175925926</v>
      </c>
    </row>
    <row r="28">
      <c r="A28" s="4" t="n">
        <v>707519</v>
      </c>
      <c r="B28" s="7" t="n">
        <v>663663.84</v>
      </c>
      <c r="C28" s="4" t="inlineStr">
        <is>
          <t>USALCO</t>
        </is>
      </c>
      <c r="D28" s="4" t="inlineStr">
        <is>
          <t>Environmental Services</t>
        </is>
      </c>
      <c r="E28" s="4" t="inlineStr">
        <is>
          <t>88-DEPARTMENT OF WATER MANAGEMENT</t>
        </is>
      </c>
      <c r="F28" s="4" t="inlineStr">
        <is>
          <t>Liquid Aluminum Sulfate (Iron Free)</t>
        </is>
      </c>
      <c r="G28" s="4" t="inlineStr">
        <is>
          <t>1. Pending New Contract - Original Contract Expired. New Contract in Process</t>
        </is>
      </c>
      <c r="H28" s="5" t="n">
        <v>46029.50296296296</v>
      </c>
    </row>
    <row r="29">
      <c r="A29" s="4" t="n">
        <v>645726</v>
      </c>
      <c r="B29" s="7" t="n">
        <v>656559.29</v>
      </c>
      <c r="C29" s="4" t="inlineStr">
        <is>
          <t>COURTESY ELECTRIC INC</t>
        </is>
      </c>
      <c r="D29" s="4" t="inlineStr">
        <is>
          <t>Professional Services</t>
        </is>
      </c>
      <c r="E29" s="4" t="inlineStr">
        <is>
          <t>85-CHICAGO DEPARTMENT OF AVIATION</t>
        </is>
      </c>
      <c r="F29" s="4" t="inlineStr">
        <is>
          <t>Exhibit B submittal for all 2024 invoices for services rendered (14 invoices total).</t>
        </is>
      </c>
      <c r="G29" s="4" t="inlineStr">
        <is>
          <t>1. Pending New Contract - Original Contract Expired. New Contract in Process</t>
        </is>
      </c>
      <c r="H29" s="5" t="n">
        <v>45673.64418981481</v>
      </c>
    </row>
    <row r="30">
      <c r="A30" s="4" t="n">
        <v>643284</v>
      </c>
      <c r="B30" s="7" t="n">
        <v>654028.2</v>
      </c>
      <c r="C30" s="4" t="inlineStr">
        <is>
          <t>INDUSTRIAL FENCE INC.</t>
        </is>
      </c>
      <c r="D30" s="4" t="inlineStr">
        <is>
          <t>Professional Services</t>
        </is>
      </c>
      <c r="E30" s="4" t="inlineStr">
        <is>
          <t>85-CHICAGO DEPARTMENT OF AVIATION</t>
        </is>
      </c>
      <c r="F30" s="4" t="inlineStr">
        <is>
          <t>Transferred from APRF No. 489444.  Exhibit B for 3rd Quarter billing, July, August, &amp; September 2024 and for 5 invoices: JULY 2024, AUGUST 2024, SEPTEMBER 2024, 24705.01, &amp; 24707.01.</t>
        </is>
      </c>
      <c r="G30" s="4" t="inlineStr">
        <is>
          <t>1. Pending New Contract - Original Contract Expired. New Contract in Process</t>
        </is>
      </c>
      <c r="H30" s="5" t="n">
        <v>45659.47991898148</v>
      </c>
    </row>
    <row r="31">
      <c r="A31" s="4" t="n">
        <v>651802</v>
      </c>
      <c r="B31" s="7" t="n">
        <v>620207.92</v>
      </c>
      <c r="C31" s="4" t="inlineStr">
        <is>
          <t>ALDRIDGE ELECTRIC INC</t>
        </is>
      </c>
      <c r="D31" s="4" t="inlineStr">
        <is>
          <t>Facilities &amp; Maintenance</t>
        </is>
      </c>
      <c r="E31" s="4" t="inlineStr">
        <is>
          <t>84-CHICAGO DEPARTMENT OF TRANSPORTATION</t>
        </is>
      </c>
      <c r="F31" s="4" t="inlineStr">
        <is>
          <t>INSTALLATION, REPAIR, AND MAINTENANCE OF VARIOUS GUARDRAILS, CRASH ATTENUATORS, BOLLARDS, SAND BARRELS AND OTHER RELATED SAFETY CONTROL DEVICES</t>
        </is>
      </c>
      <c r="G31" s="4" t="inlineStr">
        <is>
          <t>4. Invoice Reconciliation - Invoice Received after Contract Expiration</t>
        </is>
      </c>
      <c r="H31" s="5" t="n">
        <v>45709.64939814815</v>
      </c>
    </row>
    <row r="32">
      <c r="A32" s="4" t="n">
        <v>650373</v>
      </c>
      <c r="B32" s="7" t="n">
        <v>558866.28</v>
      </c>
      <c r="C32" s="4" t="inlineStr">
        <is>
          <t>INDUSTRIAL FENCE INC.</t>
        </is>
      </c>
      <c r="D32" s="4" t="inlineStr">
        <is>
          <t>Professional Services</t>
        </is>
      </c>
      <c r="E32" s="4" t="inlineStr">
        <is>
          <t>85-CHICAGO DEPARTMENT OF AVIATION</t>
        </is>
      </c>
      <c r="F32" s="4" t="inlineStr">
        <is>
          <t>3 Invoice's October 2024November 2024December 2024</t>
        </is>
      </c>
      <c r="G32" s="4" t="inlineStr">
        <is>
          <t>1. Pending New Contract - Original Contract Expired. New Contract in Process</t>
        </is>
      </c>
      <c r="H32" s="5" t="n">
        <v>45701.58043981482</v>
      </c>
    </row>
    <row r="33">
      <c r="A33" s="4" t="n">
        <v>686302</v>
      </c>
      <c r="B33" s="7" t="n">
        <v>517499.34</v>
      </c>
      <c r="C33" s="4" t="inlineStr">
        <is>
          <t>MCDONAGH DEMOLITION, INC.</t>
        </is>
      </c>
      <c r="D33" s="4" t="inlineStr">
        <is>
          <t>Aviation &amp; Airport Services</t>
        </is>
      </c>
      <c r="E33" s="4" t="inlineStr">
        <is>
          <t>85-CHICAGO DEPARTMENT OF AVIATION</t>
        </is>
      </c>
      <c r="F33" s="4" t="inlineStr">
        <is>
          <t>#6 Invoices  $517,499.34   Terrazzo flooring maintenance, repairs, restoration and polish in the Terminals.  Invoices: 64418 Release x13-Inv01, 64418 Release x10-Inv01, 64418 Release x17-Inv01, 64418 Release x15-Inv01, 64418 Release xx9-Inv</t>
        </is>
      </c>
      <c r="G33" s="4" t="inlineStr">
        <is>
          <t>2. Pending Amendment/Modification - Line Item Addition / Vendor Limit Increase / Scope Change</t>
        </is>
      </c>
      <c r="H33" s="5" t="n">
        <v>45896.67116898148</v>
      </c>
    </row>
    <row r="34">
      <c r="A34" s="4" t="n">
        <v>658692</v>
      </c>
      <c r="B34" s="7" t="n">
        <v>508445.43</v>
      </c>
      <c r="C34" s="4" t="inlineStr">
        <is>
          <t>DAYSPRING PROFESSIONAL JANITOR</t>
        </is>
      </c>
      <c r="D34" s="4" t="inlineStr">
        <is>
          <t>Facilities &amp; Maintenance</t>
        </is>
      </c>
      <c r="E34" s="4" t="inlineStr">
        <is>
          <t>38-DEPARTMENT OF FLEET AND FACILITY MANAGEMENT</t>
        </is>
      </c>
      <c r="F34" s="4" t="inlineStr">
        <is>
          <t>There is no active contract for Comprehensive Custodial Services Zone 3 (Southside). The contract expired 2/13/2025 and 2FM submitted RX 629284 (TE) and 629289 (VLI) request to DPS on 11/6/2024. We require custodial services on a daily basi</t>
        </is>
      </c>
      <c r="G34" s="4" t="inlineStr">
        <is>
          <t>1. Pending New Contract - Original Contract Expired. New Contract in Process</t>
        </is>
      </c>
      <c r="H34" s="5" t="n">
        <v>45749.63090277778</v>
      </c>
    </row>
    <row r="35">
      <c r="A35" s="4" t="n">
        <v>658655</v>
      </c>
      <c r="B35" s="7" t="n">
        <v>507418.41</v>
      </c>
      <c r="C35" s="4" t="inlineStr">
        <is>
          <t>DAYSPRING PROFESSIONAL JANITOR</t>
        </is>
      </c>
      <c r="D35" s="4" t="inlineStr">
        <is>
          <t>Facilities &amp; Maintenance</t>
        </is>
      </c>
      <c r="E35" s="4" t="inlineStr">
        <is>
          <t>38-DEPARTMENT OF FLEET AND FACILITY MANAGEMENT</t>
        </is>
      </c>
      <c r="F35" s="4" t="inlineStr">
        <is>
          <t>There is no active contract for Comprehensive Custodial Services Zone 3 (Southside). The contract expired 2/13/2025 and 2FM submitted RX 629284 (TE) and 629289 (VLI) request to DPS on 11/6/2024. We require custodial services on a daily basi</t>
        </is>
      </c>
      <c r="G35" s="4" t="inlineStr">
        <is>
          <t>1. Pending New Contract - Original Contract Expired. New Contract in Process</t>
        </is>
      </c>
      <c r="H35" s="5" t="n">
        <v>45744.55239583334</v>
      </c>
    </row>
    <row r="36">
      <c r="A36" s="4" t="n">
        <v>686589</v>
      </c>
      <c r="B36" s="7" t="n">
        <v>502513.44</v>
      </c>
      <c r="C36" s="4" t="inlineStr">
        <is>
          <t>PALM ELECTRIC COMPANY</t>
        </is>
      </c>
      <c r="D36" s="4" t="inlineStr">
        <is>
          <t>Professional Services</t>
        </is>
      </c>
      <c r="E36" s="4" t="inlineStr">
        <is>
          <t>85-CHICAGO DEPARTMENT OF AVIATION</t>
        </is>
      </c>
      <c r="F36" s="4" t="inlineStr">
        <is>
          <t>Transfered from APRF No. 503317.  DV - Exhibit B needed to fund services &amp; materials provided by Palm Electric Inc. (expMOD to audit amount kf 8.29.25</t>
        </is>
      </c>
      <c r="G36" s="4" t="inlineStr">
        <is>
          <t>4. Invoice Reconciliation - Invoice Received after Contract Expiration</t>
        </is>
      </c>
      <c r="H36" s="5" t="n">
        <v>45898.56784722222</v>
      </c>
    </row>
    <row r="37">
      <c r="A37" s="4" t="n">
        <v>680063</v>
      </c>
      <c r="B37" s="7" t="n">
        <v>502513.44</v>
      </c>
      <c r="C37" s="4" t="inlineStr">
        <is>
          <t>PALM ELECTRIC COMPANY</t>
        </is>
      </c>
      <c r="D37" s="4" t="inlineStr">
        <is>
          <t>Professional Services</t>
        </is>
      </c>
      <c r="E37" s="4" t="inlineStr">
        <is>
          <t>85-CHICAGO DEPARTMENT OF AVIATION</t>
        </is>
      </c>
      <c r="F37" s="4" t="inlineStr">
        <is>
          <t>Invoice #005 Transferred from APRF No. 501185.  Direct Voucher- Exhibit B needed to fund services &amp; materials provided by Palm ElectriMOD to audited amount kf 7.24.25</t>
        </is>
      </c>
      <c r="G37" s="4" t="inlineStr">
        <is>
          <t>1. Pending New Contract - Original Contract Expired. New Contract in Process</t>
        </is>
      </c>
      <c r="H37" s="5" t="n">
        <v>45862.67765046296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13" customWidth="1" min="2" max="2"/>
    <col width="19" customWidth="1" min="3" max="3"/>
  </cols>
  <sheetData>
    <row r="1">
      <c r="A1" s="3" t="inlineStr">
        <is>
          <t>Justification</t>
        </is>
      </c>
      <c r="B1" s="3" t="inlineStr">
        <is>
          <t>Total Spend</t>
        </is>
      </c>
      <c r="C1" s="3" t="inlineStr">
        <is>
          <t>Requisition Count</t>
        </is>
      </c>
    </row>
    <row r="2">
      <c r="A2" s="4" t="inlineStr">
        <is>
          <t>1. Pending New Contract - Original Contract Expired. New Contract in Process</t>
        </is>
      </c>
      <c r="B2" s="7" t="n">
        <v>55323235.47</v>
      </c>
      <c r="C2" s="4" t="n">
        <v>860</v>
      </c>
    </row>
    <row r="3">
      <c r="A3" s="4" t="inlineStr">
        <is>
          <t>4. Invoice Reconciliation - Invoice Received after Contract Expiration</t>
        </is>
      </c>
      <c r="B3" s="7" t="n">
        <v>5279623.6</v>
      </c>
      <c r="C3" s="4" t="n">
        <v>33</v>
      </c>
    </row>
    <row r="4">
      <c r="A4" s="4" t="inlineStr">
        <is>
          <t>2. Pending Amendment/Modification - Line Item Addition / Vendor Limit Increase / Scope Change</t>
        </is>
      </c>
      <c r="B4" s="7" t="n">
        <v>5140364.22</v>
      </c>
      <c r="C4" s="4" t="n">
        <v>89</v>
      </c>
    </row>
    <row r="5">
      <c r="A5" s="4" t="inlineStr">
        <is>
          <t>3. One Time Purchase</t>
        </is>
      </c>
      <c r="B5" s="7" t="n">
        <v>1691095.04</v>
      </c>
      <c r="C5" s="4" t="n">
        <v>79</v>
      </c>
    </row>
    <row r="6">
      <c r="A6" s="4" t="inlineStr">
        <is>
          <t>6. Bid Protest - Contract Award under Review</t>
        </is>
      </c>
      <c r="B6" s="7" t="n">
        <v>1029026.24</v>
      </c>
      <c r="C6" s="4" t="n">
        <v>14</v>
      </c>
    </row>
    <row r="7">
      <c r="A7" s="4" t="inlineStr">
        <is>
          <t>5. User Dept. Decision - Elects to Purchase Smaller Goods or Services not Covered by Existing Contract</t>
        </is>
      </c>
      <c r="B7" s="7" t="n">
        <v>407399.67</v>
      </c>
      <c r="C7" s="4" t="n">
        <v>25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29" customWidth="1" min="2" max="2"/>
    <col width="13" customWidth="1" min="3" max="3"/>
    <col width="19" customWidth="1" min="4" max="4"/>
  </cols>
  <sheetData>
    <row r="1">
      <c r="A1" s="3" t="inlineStr">
        <is>
          <t>Department</t>
        </is>
      </c>
      <c r="B1" s="3" t="inlineStr">
        <is>
          <t>Category</t>
        </is>
      </c>
      <c r="C1" s="3" t="inlineStr">
        <is>
          <t>Total Spend</t>
        </is>
      </c>
      <c r="D1" s="3" t="inlineStr">
        <is>
          <t>Requisition Count</t>
        </is>
      </c>
      <c r="E1" t="inlineStr">
        <is>
          <t>Combined</t>
        </is>
      </c>
    </row>
    <row r="2">
      <c r="A2" s="4" t="inlineStr">
        <is>
          <t>88-DEPARTMENT OF WATER MANAGEMENT</t>
        </is>
      </c>
      <c r="B2" s="4" t="inlineStr">
        <is>
          <t>Parts &amp; Supplies</t>
        </is>
      </c>
      <c r="C2" s="7" t="n">
        <v>10431427.02</v>
      </c>
      <c r="D2" s="4" t="n">
        <v>8</v>
      </c>
      <c r="E2" t="inlineStr">
        <is>
          <t>88-DEPARTMENT OF WATER MANAGEMENT | Parts &amp; Supplies</t>
        </is>
      </c>
    </row>
    <row r="3">
      <c r="A3" s="4" t="inlineStr">
        <is>
          <t>85-CHICAGO DEPARTMENT OF AVIATION</t>
        </is>
      </c>
      <c r="B3" s="4" t="inlineStr">
        <is>
          <t>Aviation &amp; Airport Services</t>
        </is>
      </c>
      <c r="C3" s="7" t="n">
        <v>5307890.87</v>
      </c>
      <c r="D3" s="4" t="n">
        <v>25</v>
      </c>
      <c r="E3" t="inlineStr">
        <is>
          <t>85-CHICAGO DEPARTMENT OF AVIATION | Aviation &amp; Airport Servic</t>
        </is>
      </c>
    </row>
    <row r="4">
      <c r="A4" s="4" t="inlineStr">
        <is>
          <t>06-DEPARTMENT OF TECHNOLOGY AND INNOVATION</t>
        </is>
      </c>
      <c r="B4" s="4" t="inlineStr">
        <is>
          <t>Utilities</t>
        </is>
      </c>
      <c r="C4" s="7" t="n">
        <v>4314975</v>
      </c>
      <c r="D4" s="4" t="n">
        <v>1</v>
      </c>
      <c r="E4" t="inlineStr">
        <is>
          <t>06-DEPARTMENT OF TECHNOLOGY AND INN | Utilities</t>
        </is>
      </c>
    </row>
    <row r="5">
      <c r="A5" s="4" t="inlineStr">
        <is>
          <t>38-DEPARTMENT OF FLEET AND FACILITY MANAGEMENT</t>
        </is>
      </c>
      <c r="B5" s="4" t="inlineStr">
        <is>
          <t>Facilities &amp; Maintenance</t>
        </is>
      </c>
      <c r="C5" s="7" t="n">
        <v>3675353.09</v>
      </c>
      <c r="D5" s="4" t="n">
        <v>164</v>
      </c>
      <c r="E5" t="inlineStr">
        <is>
          <t>38-DEPARTMENT OF FLEET AND FACILITY | Facilities &amp; Maintenance</t>
        </is>
      </c>
    </row>
    <row r="6">
      <c r="A6" s="4" t="inlineStr">
        <is>
          <t>84-CHICAGO DEPARTMENT OF TRANSPORTATION</t>
        </is>
      </c>
      <c r="B6" s="4" t="inlineStr">
        <is>
          <t>Facilities &amp; Maintenance</t>
        </is>
      </c>
      <c r="C6" s="7" t="n">
        <v>3387000.81</v>
      </c>
      <c r="D6" s="4" t="n">
        <v>50</v>
      </c>
      <c r="E6" t="inlineStr">
        <is>
          <t>84-CHICAGO DEPARTMENT OF TRANSPORTA | Facilities &amp; Maintenance</t>
        </is>
      </c>
    </row>
    <row r="7">
      <c r="A7" s="4" t="inlineStr">
        <is>
          <t>41-CHICAGO DEPARTMENT OF PUBLIC HEALTH</t>
        </is>
      </c>
      <c r="B7" s="4" t="inlineStr">
        <is>
          <t>Professional Services</t>
        </is>
      </c>
      <c r="C7" s="7" t="n">
        <v>3330256.63</v>
      </c>
      <c r="D7" s="4" t="n">
        <v>37</v>
      </c>
      <c r="E7" t="inlineStr">
        <is>
          <t>41-CHICAGO DEPARTMENT OF PUBLIC HEA | Professional Services</t>
        </is>
      </c>
    </row>
    <row r="8">
      <c r="A8" s="4" t="inlineStr">
        <is>
          <t>81-DEPARTMENT OF STREETS AND SANITATION</t>
        </is>
      </c>
      <c r="B8" s="4" t="inlineStr">
        <is>
          <t>Environmental Services</t>
        </is>
      </c>
      <c r="C8" s="7" t="n">
        <v>3323770.67</v>
      </c>
      <c r="D8" s="4" t="n">
        <v>11</v>
      </c>
      <c r="E8" t="inlineStr">
        <is>
          <t>81-DEPARTMENT OF STREETS AND SANITA | Environmental Services</t>
        </is>
      </c>
    </row>
    <row r="9">
      <c r="A9" s="4" t="inlineStr">
        <is>
          <t>85-CHICAGO DEPARTMENT OF AVIATION</t>
        </is>
      </c>
      <c r="B9" s="4" t="inlineStr">
        <is>
          <t>Professional Services</t>
        </is>
      </c>
      <c r="C9" s="7" t="n">
        <v>2997606.33</v>
      </c>
      <c r="D9" s="4" t="n">
        <v>12</v>
      </c>
      <c r="E9" t="inlineStr">
        <is>
          <t>85-CHICAGO DEPARTMENT OF AVIATION | Professional Services</t>
        </is>
      </c>
    </row>
    <row r="10">
      <c r="A10" s="4" t="inlineStr">
        <is>
          <t>88-DEPARTMENT OF WATER MANAGEMENT</t>
        </is>
      </c>
      <c r="B10" s="4" t="inlineStr">
        <is>
          <t>Environmental Services</t>
        </is>
      </c>
      <c r="C10" s="7" t="n">
        <v>2922080.09</v>
      </c>
      <c r="D10" s="4" t="n">
        <v>4</v>
      </c>
      <c r="E10" t="inlineStr">
        <is>
          <t>88-DEPARTMENT OF WATER MANAGEMENT | Environmental Services</t>
        </is>
      </c>
    </row>
    <row r="11">
      <c r="A11" s="4" t="inlineStr">
        <is>
          <t>88-DEPARTMENT OF WATER MANAGEMENT</t>
        </is>
      </c>
      <c r="B11" s="4" t="inlineStr">
        <is>
          <t>Construction</t>
        </is>
      </c>
      <c r="C11" s="7" t="n">
        <v>2161969.34</v>
      </c>
      <c r="D11" s="4" t="n">
        <v>2</v>
      </c>
      <c r="E11" t="inlineStr">
        <is>
          <t>88-DEPARTMENT OF WATER MANAGEMENT | Construction</t>
        </is>
      </c>
    </row>
    <row r="12">
      <c r="A12" s="4" t="inlineStr">
        <is>
          <t>81-DEPARTMENT OF STREETS AND SANITATION</t>
        </is>
      </c>
      <c r="B12" s="4" t="inlineStr">
        <is>
          <t>Parts &amp; Supplies</t>
        </is>
      </c>
      <c r="C12" s="7" t="n">
        <v>2081332.44</v>
      </c>
      <c r="D12" s="4" t="n">
        <v>7</v>
      </c>
      <c r="E12" t="inlineStr">
        <is>
          <t>81-DEPARTMENT OF STREETS AND SANITA | Parts &amp; Supplies</t>
        </is>
      </c>
    </row>
    <row r="13">
      <c r="A13" s="4" t="inlineStr">
        <is>
          <t>06-DEPARTMENT OF TECHNOLOGY AND INNOVATION</t>
        </is>
      </c>
      <c r="B13" s="4" t="inlineStr">
        <is>
          <t>IT &amp; Technology</t>
        </is>
      </c>
      <c r="C13" s="7" t="n">
        <v>2000526.06</v>
      </c>
      <c r="D13" s="4" t="n">
        <v>2</v>
      </c>
      <c r="E13" t="inlineStr">
        <is>
          <t>06-DEPARTMENT OF TECHNOLOGY AND INN | IT &amp; Technology</t>
        </is>
      </c>
    </row>
    <row r="14">
      <c r="A14" s="4" t="inlineStr">
        <is>
          <t>38-DEPARTMENT OF FLEET AND FACILITY MANAGEMENT</t>
        </is>
      </c>
      <c r="B14" s="4" t="inlineStr">
        <is>
          <t>Professional Services</t>
        </is>
      </c>
      <c r="C14" s="7" t="n">
        <v>1980491.25</v>
      </c>
      <c r="D14" s="4" t="n">
        <v>81</v>
      </c>
      <c r="E14" t="inlineStr">
        <is>
          <t>38-DEPARTMENT OF FLEET AND FACILITY | Professional Services</t>
        </is>
      </c>
    </row>
    <row r="15">
      <c r="A15" s="4" t="inlineStr">
        <is>
          <t>85-CHICAGO DEPARTMENT OF AVIATION</t>
        </is>
      </c>
      <c r="B15" s="4" t="inlineStr">
        <is>
          <t>Facilities &amp; Maintenance</t>
        </is>
      </c>
      <c r="C15" s="7" t="n">
        <v>1864986.32</v>
      </c>
      <c r="D15" s="4" t="n">
        <v>14</v>
      </c>
      <c r="E15" t="inlineStr">
        <is>
          <t>85-CHICAGO DEPARTMENT OF AVIATION | Facilities &amp; Maintenance</t>
        </is>
      </c>
    </row>
    <row r="16">
      <c r="A16" s="4" t="inlineStr">
        <is>
          <t>38-DEPARTMENT OF FLEET AND FACILITY MANAGEMENT</t>
        </is>
      </c>
      <c r="B16" s="4" t="inlineStr">
        <is>
          <t>Fleet &amp; Transportation</t>
        </is>
      </c>
      <c r="C16" s="7" t="n">
        <v>1789069.93</v>
      </c>
      <c r="D16" s="4" t="n">
        <v>120</v>
      </c>
      <c r="E16" t="inlineStr">
        <is>
          <t>38-DEPARTMENT OF FLEET AND FACILITY | Fleet &amp; Transportation</t>
        </is>
      </c>
    </row>
    <row r="17">
      <c r="A17" s="4" t="inlineStr">
        <is>
          <t>84-CHICAGO DEPARTMENT OF TRANSPORTATION</t>
        </is>
      </c>
      <c r="B17" s="4" t="inlineStr">
        <is>
          <t>Parts &amp; Supplies</t>
        </is>
      </c>
      <c r="C17" s="7" t="n">
        <v>1742114.93</v>
      </c>
      <c r="D17" s="4" t="n">
        <v>18</v>
      </c>
      <c r="E17" t="inlineStr">
        <is>
          <t>84-CHICAGO DEPARTMENT OF TRANS - Parts &amp; Supplies</t>
        </is>
      </c>
    </row>
    <row r="18">
      <c r="A18" s="4" t="inlineStr">
        <is>
          <t>59-CHICAGO FIRE DEPARTMENT</t>
        </is>
      </c>
      <c r="B18" s="4" t="inlineStr">
        <is>
          <t>Construction</t>
        </is>
      </c>
      <c r="C18" s="7" t="n">
        <v>1471850.62</v>
      </c>
      <c r="D18" s="4" t="n">
        <v>1</v>
      </c>
      <c r="E18" t="inlineStr">
        <is>
          <t>59-CHICAGO FIRE DEPARTMENT - Construction</t>
        </is>
      </c>
    </row>
    <row r="19">
      <c r="A19" s="4" t="inlineStr">
        <is>
          <t>88-DEPARTMENT OF WATER MANAGEMENT</t>
        </is>
      </c>
      <c r="B19" s="4" t="inlineStr">
        <is>
          <t>Utilities</t>
        </is>
      </c>
      <c r="C19" s="7" t="n">
        <v>1416391.1</v>
      </c>
      <c r="D19" s="4" t="n">
        <v>5</v>
      </c>
      <c r="E19" t="inlineStr">
        <is>
          <t>88-DEPARTMENT OF WATER MANAGEM - Utilities</t>
        </is>
      </c>
    </row>
    <row r="20">
      <c r="A20" s="4" t="inlineStr">
        <is>
          <t>38-DEPARTMENT OF FLEET AND FACILITY MANAGEMENT</t>
        </is>
      </c>
      <c r="B20" s="4" t="inlineStr">
        <is>
          <t>Parts &amp; Supplies</t>
        </is>
      </c>
      <c r="C20" s="7" t="n">
        <v>1295475.43</v>
      </c>
      <c r="D20" s="4" t="n">
        <v>88</v>
      </c>
      <c r="E20" t="inlineStr">
        <is>
          <t>38-DEPARTMENT OF FLEET AND FAC - Parts &amp; Supplies</t>
        </is>
      </c>
    </row>
    <row r="21">
      <c r="A21" s="4" t="inlineStr">
        <is>
          <t>85-CHICAGO DEPARTMENT OF AVIATION</t>
        </is>
      </c>
      <c r="B21" s="4" t="inlineStr">
        <is>
          <t>Parts &amp; Supplies</t>
        </is>
      </c>
      <c r="C21" s="7" t="n">
        <v>908867.35</v>
      </c>
      <c r="D21" s="4" t="n">
        <v>8</v>
      </c>
      <c r="E21" t="inlineStr">
        <is>
          <t>85-CHICAGO DEPARTMENT OF AVIAT - Parts &amp; Supplies</t>
        </is>
      </c>
    </row>
    <row r="22">
      <c r="A22" s="4" t="inlineStr">
        <is>
          <t>38-DEPARTMENT OF FLEET AND FACILITY MANAGEMENT</t>
        </is>
      </c>
      <c r="B22" s="4" t="inlineStr">
        <is>
          <t>Construction</t>
        </is>
      </c>
      <c r="C22" s="7" t="n">
        <v>776786.04</v>
      </c>
      <c r="D22" s="4" t="n">
        <v>48</v>
      </c>
    </row>
    <row r="23">
      <c r="A23" s="4" t="inlineStr">
        <is>
          <t>41-CHICAGO DEPARTMENT OF PUBLIC HEALTH</t>
        </is>
      </c>
      <c r="B23" s="4" t="inlineStr">
        <is>
          <t>Medical &amp; Health</t>
        </is>
      </c>
      <c r="C23" s="7" t="n">
        <v>656150.87</v>
      </c>
      <c r="D23" s="4" t="n">
        <v>8</v>
      </c>
    </row>
    <row r="24">
      <c r="A24" s="4" t="inlineStr">
        <is>
          <t>67-DEPARTMENT OF BUILDINGS</t>
        </is>
      </c>
      <c r="B24" s="4" t="inlineStr">
        <is>
          <t>Facilities &amp; Maintenance</t>
        </is>
      </c>
      <c r="C24" s="7" t="n">
        <v>629550</v>
      </c>
      <c r="D24" s="4" t="n">
        <v>11</v>
      </c>
    </row>
    <row r="25">
      <c r="A25" s="4" t="inlineStr">
        <is>
          <t>38-DEPARTMENT OF FLEET AND FACILITY MANAGEMENT</t>
        </is>
      </c>
      <c r="B25" s="4" t="inlineStr">
        <is>
          <t>Environmental Services</t>
        </is>
      </c>
      <c r="C25" s="7" t="n">
        <v>623212.11</v>
      </c>
      <c r="D25" s="4" t="n">
        <v>7</v>
      </c>
    </row>
    <row r="26">
      <c r="A26" s="4" t="inlineStr">
        <is>
          <t>59-CHICAGO FIRE DEPARTMENT</t>
        </is>
      </c>
      <c r="B26" s="4" t="inlineStr">
        <is>
          <t>Facilities &amp; Maintenance</t>
        </is>
      </c>
      <c r="C26" s="7" t="n">
        <v>594870.52</v>
      </c>
      <c r="D26" s="4" t="n">
        <v>2</v>
      </c>
    </row>
    <row r="27">
      <c r="A27" s="4" t="inlineStr">
        <is>
          <t>88-DEPARTMENT OF WATER MANAGEMENT</t>
        </is>
      </c>
      <c r="B27" s="4" t="inlineStr">
        <is>
          <t>Facilities &amp; Maintenance</t>
        </is>
      </c>
      <c r="C27" s="7" t="n">
        <v>479793.35</v>
      </c>
      <c r="D27" s="4" t="n">
        <v>9</v>
      </c>
    </row>
    <row r="28">
      <c r="A28" s="4" t="inlineStr">
        <is>
          <t>06-DEPARTMENT OF TECHNOLOGY AND INNOVATION</t>
        </is>
      </c>
      <c r="B28" s="4" t="inlineStr">
        <is>
          <t>Professional Services</t>
        </is>
      </c>
      <c r="C28" s="7" t="n">
        <v>390689.85</v>
      </c>
      <c r="D28" s="4" t="n">
        <v>3</v>
      </c>
    </row>
    <row r="29">
      <c r="A29" s="4" t="inlineStr">
        <is>
          <t>25-OFFICE OF CITY CLERK</t>
        </is>
      </c>
      <c r="B29" s="4" t="inlineStr">
        <is>
          <t>Parts &amp; Supplies</t>
        </is>
      </c>
      <c r="C29" s="7" t="n">
        <v>382609.11</v>
      </c>
      <c r="D29" s="4" t="n">
        <v>12</v>
      </c>
    </row>
    <row r="30">
      <c r="A30" s="4" t="inlineStr">
        <is>
          <t>81-DEPARTMENT OF STREETS AND SANITATION</t>
        </is>
      </c>
      <c r="B30" s="4" t="inlineStr">
        <is>
          <t>Facilities &amp; Maintenance</t>
        </is>
      </c>
      <c r="C30" s="7" t="n">
        <v>351489.3</v>
      </c>
      <c r="D30" s="4" t="n">
        <v>12</v>
      </c>
    </row>
    <row r="31">
      <c r="A31" s="4" t="inlineStr">
        <is>
          <t>88-DEPARTMENT OF WATER MANAGEMENT</t>
        </is>
      </c>
      <c r="B31" s="4" t="inlineStr">
        <is>
          <t>IT &amp; Technology</t>
        </is>
      </c>
      <c r="C31" s="7" t="n">
        <v>349154.88</v>
      </c>
      <c r="D31" s="4" t="n">
        <v>1</v>
      </c>
    </row>
    <row r="32">
      <c r="A32" s="4" t="inlineStr">
        <is>
          <t>73-CHICAGO ANIMAL CARE AND CONTROL</t>
        </is>
      </c>
      <c r="B32" s="4" t="inlineStr">
        <is>
          <t>Medical &amp; Health</t>
        </is>
      </c>
      <c r="C32" s="7" t="n">
        <v>308682.69</v>
      </c>
      <c r="D32" s="4" t="n">
        <v>13</v>
      </c>
    </row>
    <row r="33">
      <c r="A33" s="4" t="inlineStr">
        <is>
          <t>67-DEPARTMENT OF BUILDINGS</t>
        </is>
      </c>
      <c r="B33" s="4" t="inlineStr">
        <is>
          <t>Professional Services</t>
        </is>
      </c>
      <c r="C33" s="7" t="n">
        <v>303042.92</v>
      </c>
      <c r="D33" s="4" t="n">
        <v>10</v>
      </c>
    </row>
    <row r="34">
      <c r="A34" s="4" t="inlineStr">
        <is>
          <t>41-CHICAGO DEPARTMENT OF PUBLIC HEALTH</t>
        </is>
      </c>
      <c r="B34" s="4" t="inlineStr">
        <is>
          <t>Construction</t>
        </is>
      </c>
      <c r="C34" s="7" t="n">
        <v>257400.04</v>
      </c>
      <c r="D34" s="4" t="n">
        <v>2</v>
      </c>
    </row>
    <row r="35">
      <c r="A35" s="4" t="inlineStr">
        <is>
          <t>41-CHICAGO DEPARTMENT OF PUBLIC HEALTH</t>
        </is>
      </c>
      <c r="B35" s="4" t="inlineStr">
        <is>
          <t>IT &amp; Technology</t>
        </is>
      </c>
      <c r="C35" s="7" t="n">
        <v>239973.5</v>
      </c>
      <c r="D35" s="4" t="n">
        <v>11</v>
      </c>
    </row>
    <row r="36">
      <c r="A36" s="4" t="inlineStr">
        <is>
          <t>59-CHICAGO FIRE DEPARTMENT</t>
        </is>
      </c>
      <c r="B36" s="4" t="inlineStr">
        <is>
          <t>Utilities</t>
        </is>
      </c>
      <c r="C36" s="7" t="n">
        <v>236390.9</v>
      </c>
      <c r="D36" s="4" t="n">
        <v>9</v>
      </c>
    </row>
    <row r="37">
      <c r="A37" s="4" t="inlineStr">
        <is>
          <t>33-DEPARTMENT OF HUMAN RESOURCES</t>
        </is>
      </c>
      <c r="B37" s="4" t="inlineStr">
        <is>
          <t>Professional Services</t>
        </is>
      </c>
      <c r="C37" s="7" t="n">
        <v>217957.42</v>
      </c>
      <c r="D37" s="4" t="n">
        <v>2</v>
      </c>
    </row>
    <row r="38">
      <c r="A38" s="4" t="inlineStr">
        <is>
          <t>85-CHICAGO DEPARTMENT OF AVIATION</t>
        </is>
      </c>
      <c r="B38" s="4" t="inlineStr">
        <is>
          <t>IT &amp; Technology</t>
        </is>
      </c>
      <c r="C38" s="7" t="n">
        <v>217800</v>
      </c>
      <c r="D38" s="4" t="n">
        <v>2</v>
      </c>
    </row>
    <row r="39">
      <c r="A39" s="4" t="inlineStr">
        <is>
          <t>67-DEPARTMENT OF BUILDINGS</t>
        </is>
      </c>
      <c r="B39" s="4" t="inlineStr">
        <is>
          <t>Parts &amp; Supplies</t>
        </is>
      </c>
      <c r="C39" s="7" t="n">
        <v>206700</v>
      </c>
      <c r="D39" s="4" t="n">
        <v>3</v>
      </c>
    </row>
    <row r="40">
      <c r="A40" s="4" t="inlineStr">
        <is>
          <t>58-OFFICE OF EMERGENCY MANAGEMENT AND COMMUNICATIONS</t>
        </is>
      </c>
      <c r="B40" s="4" t="inlineStr">
        <is>
          <t>Fleet &amp; Transportation</t>
        </is>
      </c>
      <c r="C40" s="7" t="n">
        <v>202500</v>
      </c>
      <c r="D40" s="4" t="n">
        <v>1</v>
      </c>
    </row>
    <row r="41">
      <c r="A41" s="4" t="inlineStr">
        <is>
          <t>38-DEPARTMENT OF FLEET AND FACILITY MANAGEMENT</t>
        </is>
      </c>
      <c r="B41" s="4" t="inlineStr">
        <is>
          <t>Utilities</t>
        </is>
      </c>
      <c r="C41" s="7" t="n">
        <v>196912.22</v>
      </c>
      <c r="D41" s="4" t="n">
        <v>5</v>
      </c>
    </row>
    <row r="42">
      <c r="A42" s="4" t="inlineStr">
        <is>
          <t>85-CHICAGO DEPARTMENT OF AVIATION</t>
        </is>
      </c>
      <c r="B42" s="4" t="inlineStr">
        <is>
          <t>Fleet &amp; Transportation</t>
        </is>
      </c>
      <c r="C42" s="7" t="n">
        <v>194699.16</v>
      </c>
      <c r="D42" s="4" t="n">
        <v>2</v>
      </c>
    </row>
    <row r="43">
      <c r="A43" s="4" t="inlineStr">
        <is>
          <t>85-CHICAGO DEPARTMENT OF AVIATION</t>
        </is>
      </c>
      <c r="B43" s="4" t="inlineStr">
        <is>
          <t>Public Safety</t>
        </is>
      </c>
      <c r="C43" s="7" t="n">
        <v>180082.63</v>
      </c>
      <c r="D43" s="4" t="n">
        <v>2</v>
      </c>
    </row>
    <row r="44">
      <c r="A44" s="4" t="inlineStr">
        <is>
          <t>38-DEPARTMENT OF FLEET AND FACILITY MANAGEMENT</t>
        </is>
      </c>
      <c r="B44" s="4" t="inlineStr">
        <is>
          <t>Aviation &amp; Airport Services</t>
        </is>
      </c>
      <c r="C44" s="7" t="n">
        <v>178461.32</v>
      </c>
      <c r="D44" s="4" t="n">
        <v>27</v>
      </c>
    </row>
    <row r="45">
      <c r="A45" s="4" t="inlineStr">
        <is>
          <t>50-DEPARTMENT OF FAMILY AND SUPPORT SERVICES</t>
        </is>
      </c>
      <c r="B45" s="4" t="inlineStr">
        <is>
          <t>Facilities &amp; Maintenance</t>
        </is>
      </c>
      <c r="C45" s="7" t="n">
        <v>147899</v>
      </c>
      <c r="D45" s="4" t="n">
        <v>6</v>
      </c>
    </row>
    <row r="46">
      <c r="A46" s="4" t="inlineStr">
        <is>
          <t>25-OFFICE OF CITY CLERK</t>
        </is>
      </c>
      <c r="B46" s="4" t="inlineStr">
        <is>
          <t>Fleet &amp; Transportation</t>
        </is>
      </c>
      <c r="C46" s="7" t="n">
        <v>137309.44</v>
      </c>
      <c r="D46" s="4" t="n">
        <v>3</v>
      </c>
    </row>
    <row r="47">
      <c r="A47" s="4" t="inlineStr">
        <is>
          <t>41-CHICAGO DEPARTMENT OF PUBLIC HEALTH</t>
        </is>
      </c>
      <c r="B47" s="4" t="inlineStr">
        <is>
          <t>Public Safety</t>
        </is>
      </c>
      <c r="C47" s="7" t="n">
        <v>129489.31</v>
      </c>
      <c r="D47" s="4" t="n">
        <v>4</v>
      </c>
    </row>
    <row r="48">
      <c r="A48" s="4" t="inlineStr">
        <is>
          <t>85-CHICAGO DEPARTMENT OF AVIATION</t>
        </is>
      </c>
      <c r="B48" s="4" t="inlineStr">
        <is>
          <t>Construction</t>
        </is>
      </c>
      <c r="C48" s="7" t="n">
        <v>129366.67</v>
      </c>
      <c r="D48" s="4" t="n">
        <v>1</v>
      </c>
    </row>
    <row r="49">
      <c r="A49" s="4" t="inlineStr">
        <is>
          <t>73-CHICAGO ANIMAL CARE AND CONTROL</t>
        </is>
      </c>
      <c r="B49" s="4" t="inlineStr">
        <is>
          <t>Professional Services</t>
        </is>
      </c>
      <c r="C49" s="7" t="n">
        <v>125917.77</v>
      </c>
      <c r="D49" s="4" t="n">
        <v>5</v>
      </c>
    </row>
    <row r="50">
      <c r="A50" s="4" t="inlineStr">
        <is>
          <t>57-CHICAGO POLICE DEPARTMENT</t>
        </is>
      </c>
      <c r="B50" s="4" t="inlineStr">
        <is>
          <t>Facilities &amp; Maintenance</t>
        </is>
      </c>
      <c r="C50" s="7" t="n">
        <v>114969.52</v>
      </c>
      <c r="D50" s="4" t="n">
        <v>5</v>
      </c>
    </row>
    <row r="51">
      <c r="A51" s="4" t="inlineStr">
        <is>
          <t>23-DEPARTMENT OF CULTURAL AFFAIRS AND SPECIAL EVENTS</t>
        </is>
      </c>
      <c r="B51" s="4" t="inlineStr">
        <is>
          <t>IT &amp; Technology</t>
        </is>
      </c>
      <c r="C51" s="7" t="n">
        <v>102243.48</v>
      </c>
      <c r="D51" s="4" t="n">
        <v>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9" customWidth="1" min="3" max="3"/>
    <col width="16" customWidth="1" min="4" max="4"/>
  </cols>
  <sheetData>
    <row r="1">
      <c r="A1" s="3" t="inlineStr">
        <is>
          <t>Age Bucket</t>
        </is>
      </c>
      <c r="B1" s="3" t="inlineStr">
        <is>
          <t>Total Spend</t>
        </is>
      </c>
      <c r="C1" s="3" t="inlineStr">
        <is>
          <t>Requisition Count</t>
        </is>
      </c>
      <c r="D1" s="3" t="inlineStr">
        <is>
          <t>Average Amount</t>
        </is>
      </c>
    </row>
    <row r="2">
      <c r="A2" s="4" t="inlineStr">
        <is>
          <t>0-30 days</t>
        </is>
      </c>
      <c r="B2" s="7" t="n">
        <v>3087020.63</v>
      </c>
      <c r="C2" s="4" t="n">
        <v>103</v>
      </c>
      <c r="D2" s="7" t="n">
        <v>29971.07</v>
      </c>
    </row>
    <row r="3">
      <c r="A3" s="4" t="inlineStr">
        <is>
          <t>31-90 days</t>
        </is>
      </c>
      <c r="B3" s="7" t="n">
        <v>9387566.039999999</v>
      </c>
      <c r="C3" s="4" t="n">
        <v>187</v>
      </c>
      <c r="D3" s="7" t="n">
        <v>50200.89</v>
      </c>
    </row>
    <row r="4">
      <c r="A4" s="4" t="inlineStr">
        <is>
          <t>91-180 days</t>
        </is>
      </c>
      <c r="B4" s="7" t="n">
        <v>23269254.77</v>
      </c>
      <c r="C4" s="4" t="n">
        <v>250</v>
      </c>
      <c r="D4" s="7" t="n">
        <v>93077.02</v>
      </c>
    </row>
    <row r="5">
      <c r="A5" s="4" t="inlineStr">
        <is>
          <t>181-270 days</t>
        </is>
      </c>
      <c r="B5" s="7" t="n">
        <v>7771198.54</v>
      </c>
      <c r="C5" s="4" t="n">
        <v>208</v>
      </c>
      <c r="D5" s="7" t="n">
        <v>37361.53</v>
      </c>
    </row>
    <row r="6">
      <c r="A6" s="4" t="inlineStr">
        <is>
          <t>270+ days (CRITICAL)</t>
        </is>
      </c>
      <c r="B6" s="7" t="n">
        <v>25413315.12</v>
      </c>
      <c r="C6" s="4" t="n">
        <v>364</v>
      </c>
      <c r="D6" s="7" t="n">
        <v>69816.8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0" customWidth="1" min="2" max="2"/>
    <col width="35" customWidth="1" min="3" max="3"/>
    <col width="42" customWidth="1" min="4" max="4"/>
  </cols>
  <sheetData>
    <row r="1">
      <c r="A1" s="3" t="inlineStr">
        <is>
          <t>Priority</t>
        </is>
      </c>
      <c r="B1" s="3" t="inlineStr">
        <is>
          <t>Action Item</t>
        </is>
      </c>
      <c r="C1" s="3" t="inlineStr">
        <is>
          <t>Responsible Party</t>
        </is>
      </c>
      <c r="D1" s="3" t="inlineStr">
        <is>
          <t>Expected Impact</t>
        </is>
      </c>
    </row>
    <row r="2">
      <c r="A2" s="4" t="inlineStr">
        <is>
          <t>IMMEDIATE (0-30 Days)</t>
        </is>
      </c>
      <c r="B2" s="4" t="inlineStr">
        <is>
          <t>Award emergency contracts to top 5 vendors (Industrial Fence, Schindler, USALCO, Badger Meter, AT&amp;T)</t>
        </is>
      </c>
      <c r="C2" s="4" t="inlineStr">
        <is>
          <t>Chief Procurement Officer</t>
        </is>
      </c>
      <c r="D2" s="4" t="inlineStr">
        <is>
          <t>$48.7M protected under contract</t>
        </is>
      </c>
    </row>
    <row r="3">
      <c r="A3" s="4" t="inlineStr">
        <is>
          <t>IMMEDIATE (0-30 Days)</t>
        </is>
      </c>
      <c r="B3" s="4" t="inlineStr">
        <is>
          <t>CFO review of all 36 transactions over $500K</t>
        </is>
      </c>
      <c r="C3" s="4" t="inlineStr">
        <is>
          <t>Chief Financial Officer</t>
        </is>
      </c>
      <c r="D3" s="4" t="inlineStr">
        <is>
          <t>Risk mitigation on $40.9M</t>
        </is>
      </c>
    </row>
    <row r="4">
      <c r="A4" s="4" t="inlineStr">
        <is>
          <t>IMMEDIATE (0-30 Days)</t>
        </is>
      </c>
      <c r="B4" s="4" t="inlineStr">
        <is>
          <t>Assign dedicated staff to requisitions pending &gt;180 days</t>
        </is>
      </c>
      <c r="C4" s="4" t="inlineStr">
        <is>
          <t>Procurement Department</t>
        </is>
      </c>
      <c r="D4" s="4" t="inlineStr">
        <is>
          <t>Clear aged requisition backlog</t>
        </is>
      </c>
    </row>
    <row r="5">
      <c r="A5" s="4" t="inlineStr">
        <is>
          <t>IMMEDIATE (0-30 Days)</t>
        </is>
      </c>
      <c r="B5" s="4" t="inlineStr">
        <is>
          <t>Implement system hard stop for purchases &gt;$500K without contracts</t>
        </is>
      </c>
      <c r="C5" s="4" t="inlineStr">
        <is>
          <t>IT/Procurement Systems</t>
        </is>
      </c>
      <c r="D5" s="4" t="inlineStr">
        <is>
          <t>Prevent future high-value non-compliance</t>
        </is>
      </c>
    </row>
    <row r="6">
      <c r="A6" s="4" t="inlineStr">
        <is>
          <t>SHORT TERM (30-90 Days)</t>
        </is>
      </c>
      <c r="B6" s="4" t="inlineStr">
        <is>
          <t>Intensive support for Water Management, Aviation, and Fleet/Facility departments</t>
        </is>
      </c>
      <c r="C6" s="4" t="inlineStr">
        <is>
          <t>Procurement + Department Liaisons</t>
        </is>
      </c>
      <c r="D6" s="4" t="inlineStr">
        <is>
          <t>$40.3M departmental risk reduction</t>
        </is>
      </c>
    </row>
    <row r="7">
      <c r="A7" s="4" t="inlineStr">
        <is>
          <t>SHORT TERM (30-90 Days)</t>
        </is>
      </c>
      <c r="B7" s="4" t="inlineStr">
        <is>
          <t>Establish blanket purchase orders for Parts &amp; Supplies category</t>
        </is>
      </c>
      <c r="C7" s="4" t="inlineStr">
        <is>
          <t>Category Management Team</t>
        </is>
      </c>
      <c r="D7" s="4" t="inlineStr">
        <is>
          <t>$17.4M category contract coverage</t>
        </is>
      </c>
    </row>
    <row r="8">
      <c r="A8" s="4" t="inlineStr">
        <is>
          <t>SHORT TERM (30-90 Days)</t>
        </is>
      </c>
      <c r="B8" s="4" t="inlineStr">
        <is>
          <t>Vendor consolidation - reduce repeat small-transaction vendors by 50%</t>
        </is>
      </c>
      <c r="C8" s="4" t="inlineStr">
        <is>
          <t>Procurement Department</t>
        </is>
      </c>
      <c r="D8" s="4" t="inlineStr">
        <is>
          <t>Reduce 566 small transactions by 50%</t>
        </is>
      </c>
    </row>
    <row r="9">
      <c r="A9" s="4" t="inlineStr">
        <is>
          <t>SHORT TERM (30-90 Days)</t>
        </is>
      </c>
      <c r="B9" s="4" t="inlineStr">
        <is>
          <t>Implement 90-day contract expiration alerts system-wide</t>
        </is>
      </c>
      <c r="C9" s="4" t="inlineStr">
        <is>
          <t>Contract Management</t>
        </is>
      </c>
      <c r="D9" s="4" t="inlineStr">
        <is>
          <t>Prevent $55.3M expired contract issue</t>
        </is>
      </c>
    </row>
    <row r="10">
      <c r="A10" s="4" t="inlineStr">
        <is>
          <t>MEDIUM TERM (90-180 Days)</t>
        </is>
      </c>
      <c r="B10" s="4" t="inlineStr">
        <is>
          <t>Update procurement policies to prevent expired contract spending</t>
        </is>
      </c>
      <c r="C10" s="4" t="inlineStr">
        <is>
          <t>Law Department + CPO</t>
        </is>
      </c>
      <c r="D10" s="4" t="inlineStr">
        <is>
          <t>Systemic policy compliance</t>
        </is>
      </c>
    </row>
    <row r="11">
      <c r="A11" s="4" t="inlineStr">
        <is>
          <t>MEDIUM TERM (90-180 Days)</t>
        </is>
      </c>
      <c r="B11" s="4" t="inlineStr">
        <is>
          <t>Implement automated contract tracking and alert system</t>
        </is>
      </c>
      <c r="C11" s="4" t="inlineStr">
        <is>
          <t>IT Department</t>
        </is>
      </c>
      <c r="D11" s="4" t="inlineStr">
        <is>
          <t>Proactive contract management</t>
        </is>
      </c>
    </row>
    <row r="12">
      <c r="A12" s="4" t="inlineStr">
        <is>
          <t>MEDIUM TERM (90-180 Days)</t>
        </is>
      </c>
      <c r="B12" s="4" t="inlineStr">
        <is>
          <t>Add procurement staff to eliminate backlog</t>
        </is>
      </c>
      <c r="C12" s="4" t="inlineStr">
        <is>
          <t>Human Resources + CPO</t>
        </is>
      </c>
      <c r="D12" s="4" t="inlineStr">
        <is>
          <t>Eliminate 1,022 requisition backlog</t>
        </is>
      </c>
    </row>
    <row r="13">
      <c r="A13" s="4" t="inlineStr">
        <is>
          <t>MEDIUM TERM (90-180 Days)</t>
        </is>
      </c>
      <c r="B13" s="4" t="inlineStr">
        <is>
          <t>Monthly compliance reporting to City Council</t>
        </is>
      </c>
      <c r="C13" s="4" t="inlineStr">
        <is>
          <t>CPO + Finance</t>
        </is>
      </c>
      <c r="D13" s="4" t="inlineStr">
        <is>
          <t>Transparency and accountability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4" customWidth="1" min="3" max="3"/>
    <col width="20" customWidth="1" min="4" max="4"/>
    <col width="15" customWidth="1" min="5" max="5"/>
    <col width="16" customWidth="1" min="6" max="6"/>
  </cols>
  <sheetData>
    <row r="1">
      <c r="A1" s="3" t="inlineStr">
        <is>
          <t>Analysis Area</t>
        </is>
      </c>
      <c r="B1" s="3" t="inlineStr">
        <is>
          <t>Total Count</t>
        </is>
      </c>
      <c r="C1" s="3" t="inlineStr">
        <is>
          <t>Count for 80% of Spend</t>
        </is>
      </c>
      <c r="D1" s="3" t="inlineStr">
        <is>
          <t>% for 80% of Spend</t>
        </is>
      </c>
      <c r="E1" s="3" t="inlineStr">
        <is>
          <t>Total Spend</t>
        </is>
      </c>
      <c r="F1" s="3" t="inlineStr">
        <is>
          <t>80% of Spend</t>
        </is>
      </c>
    </row>
    <row r="2">
      <c r="A2" s="4" t="inlineStr">
        <is>
          <t>Vendors</t>
        </is>
      </c>
      <c r="B2" s="4" t="n">
        <v>207</v>
      </c>
      <c r="C2" s="4" t="n">
        <v>31</v>
      </c>
      <c r="D2" s="8" t="n">
        <v>14.97584541062802</v>
      </c>
      <c r="E2" s="7" t="n">
        <v>68928355.1011</v>
      </c>
      <c r="F2" s="7" t="n">
        <v>55142684.08088</v>
      </c>
    </row>
    <row r="3">
      <c r="A3" s="4" t="inlineStr">
        <is>
          <t>Departments</t>
        </is>
      </c>
      <c r="B3" s="4" t="n">
        <v>27</v>
      </c>
      <c r="C3" s="4" t="n">
        <v>5</v>
      </c>
      <c r="D3" s="8" t="n">
        <v>18.51851851851852</v>
      </c>
      <c r="E3" s="7" t="n">
        <v>68928355.1011</v>
      </c>
      <c r="F3" s="7" t="n">
        <v>55142684.08088</v>
      </c>
    </row>
    <row r="4">
      <c r="A4" s="4" t="inlineStr">
        <is>
          <t>Categories</t>
        </is>
      </c>
      <c r="B4" s="4" t="n">
        <v>12</v>
      </c>
      <c r="C4" s="4" t="n">
        <v>5</v>
      </c>
      <c r="D4" s="8" t="n">
        <v>41.66666666666667</v>
      </c>
      <c r="E4" s="7" t="n">
        <v>68928355.1011</v>
      </c>
      <c r="F4" s="7" t="n">
        <v>55142684.08088</v>
      </c>
    </row>
    <row r="5">
      <c r="A5" s="4" t="inlineStr">
        <is>
          <t>Transactions</t>
        </is>
      </c>
      <c r="B5" s="4" t="n">
        <v>1112</v>
      </c>
      <c r="C5" s="4" t="n">
        <v>105</v>
      </c>
      <c r="D5" s="8" t="n">
        <v>9.442446043165468</v>
      </c>
      <c r="E5" s="7" t="n">
        <v>68928355.1011</v>
      </c>
      <c r="F5" s="7" t="n">
        <v>55142684.08088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0" customWidth="1" min="2" max="2"/>
    <col width="19" customWidth="1" min="3" max="3"/>
    <col width="19" customWidth="1" min="4" max="4"/>
  </cols>
  <sheetData>
    <row r="1">
      <c r="A1" s="3" t="inlineStr">
        <is>
          <t>Vendor Number</t>
        </is>
      </c>
      <c r="B1" s="3" t="inlineStr">
        <is>
          <t>Vendor Name</t>
        </is>
      </c>
      <c r="C1" s="3" t="inlineStr">
        <is>
          <t>Spend</t>
        </is>
      </c>
      <c r="D1" s="3" t="inlineStr">
        <is>
          <t>Cumulative %</t>
        </is>
      </c>
    </row>
    <row r="2">
      <c r="A2" s="4" t="n">
        <v>1</v>
      </c>
      <c r="B2" s="4" t="inlineStr">
        <is>
          <t>BADGER METER INC</t>
        </is>
      </c>
      <c r="C2" s="7" t="n">
        <v>8042211.86</v>
      </c>
      <c r="D2" s="8" t="n">
        <v>11.6674942383351</v>
      </c>
    </row>
    <row r="3">
      <c r="A3" s="4" t="n">
        <v>2</v>
      </c>
      <c r="B3" s="4" t="inlineStr">
        <is>
          <t>USALCO</t>
        </is>
      </c>
      <c r="C3" s="7" t="n">
        <v>5164447.73</v>
      </c>
      <c r="D3" s="8" t="n">
        <v>19.1599807809562</v>
      </c>
    </row>
    <row r="4">
      <c r="A4" s="4" t="n">
        <v>3</v>
      </c>
      <c r="B4" s="4" t="inlineStr">
        <is>
          <t>AT&amp;T CORP</t>
        </is>
      </c>
      <c r="C4" s="7" t="n">
        <v>4314975</v>
      </c>
      <c r="D4" s="8" t="n">
        <v>25.42006778531174</v>
      </c>
    </row>
    <row r="5">
      <c r="A5" s="4" t="n">
        <v>4</v>
      </c>
      <c r="B5" s="4" t="inlineStr">
        <is>
          <t>INDUSTRIAL FENCE INC.</t>
        </is>
      </c>
      <c r="C5" s="7" t="n">
        <v>4024354.07</v>
      </c>
      <c r="D5" s="8" t="n">
        <v>31.25852724672978</v>
      </c>
    </row>
    <row r="6">
      <c r="A6" s="4" t="n">
        <v>5</v>
      </c>
      <c r="B6" s="4" t="inlineStr">
        <is>
          <t>SCHINDLER ELEVATOR CORP</t>
        </is>
      </c>
      <c r="C6" s="7" t="n">
        <v>3645045.71</v>
      </c>
      <c r="D6" s="8" t="n">
        <v>36.5466930598464</v>
      </c>
    </row>
    <row r="7">
      <c r="A7" s="4" t="n">
        <v>6</v>
      </c>
      <c r="B7" s="4" t="inlineStr">
        <is>
          <t>CASCADE ENGINEERING, INC</t>
        </is>
      </c>
      <c r="C7" s="7" t="n">
        <v>2894059.6</v>
      </c>
      <c r="D7" s="8" t="n">
        <v>40.74534192612962</v>
      </c>
    </row>
    <row r="8">
      <c r="A8" s="4" t="n">
        <v>7</v>
      </c>
      <c r="B8" s="4" t="inlineStr">
        <is>
          <t>SUNBELT STAFFING LLC</t>
        </is>
      </c>
      <c r="C8" s="7" t="n">
        <v>2858602.2401</v>
      </c>
      <c r="D8" s="8" t="n">
        <v>44.89254990158062</v>
      </c>
    </row>
    <row r="9">
      <c r="A9" s="4" t="n">
        <v>8</v>
      </c>
      <c r="B9" s="4" t="inlineStr">
        <is>
          <t>PAN-OCEANIC ENGINEERING CO INC</t>
        </is>
      </c>
      <c r="C9" s="7" t="n">
        <v>2161969.34</v>
      </c>
      <c r="D9" s="8" t="n">
        <v>48.02909557546033</v>
      </c>
    </row>
    <row r="10">
      <c r="A10" s="4" t="n">
        <v>9</v>
      </c>
      <c r="B10" s="4" t="inlineStr">
        <is>
          <t>MCDONAGH DEMOLITION, INC.</t>
        </is>
      </c>
      <c r="C10" s="7" t="n">
        <v>2091278.41</v>
      </c>
      <c r="D10" s="8" t="n">
        <v>51.06308413783446</v>
      </c>
    </row>
    <row r="11">
      <c r="A11" s="4" t="n">
        <v>10</v>
      </c>
      <c r="B11" s="4" t="inlineStr">
        <is>
          <t>COMPUTER AID INC</t>
        </is>
      </c>
      <c r="C11" s="7" t="n">
        <v>1984108.18</v>
      </c>
      <c r="D11" s="8" t="n">
        <v>53.94159208581875</v>
      </c>
    </row>
    <row r="12">
      <c r="A12" s="4" t="n">
        <v>11</v>
      </c>
      <c r="B12" s="4" t="inlineStr">
        <is>
          <t>ROOT BROS MFG &amp; SUPPLY CO</t>
        </is>
      </c>
      <c r="C12" s="7" t="n">
        <v>1760147.48</v>
      </c>
      <c r="D12" s="8" t="n">
        <v>56.49518193635025</v>
      </c>
    </row>
    <row r="13">
      <c r="A13" s="4" t="n">
        <v>12</v>
      </c>
      <c r="B13" s="4" t="inlineStr">
        <is>
          <t>PALM ELECTRIC COMPANY</t>
        </is>
      </c>
      <c r="C13" s="7" t="n">
        <v>1582440.98</v>
      </c>
      <c r="D13" s="8" t="n">
        <v>58.79095843889258</v>
      </c>
    </row>
    <row r="14">
      <c r="A14" s="4" t="n">
        <v>13</v>
      </c>
      <c r="B14" s="4" t="inlineStr">
        <is>
          <t>LIZZETTE MEDINA &amp; COMPANY</t>
        </is>
      </c>
      <c r="C14" s="7" t="n">
        <v>1541744.24</v>
      </c>
      <c r="D14" s="8" t="n">
        <v>61.02769285354481</v>
      </c>
    </row>
    <row r="15">
      <c r="A15" s="4" t="n">
        <v>14</v>
      </c>
      <c r="B15" s="4" t="inlineStr">
        <is>
          <t>PLASTIC CARD SOLUTIONS, INC.</t>
        </is>
      </c>
      <c r="C15" s="7" t="n">
        <v>1153900.64</v>
      </c>
      <c r="D15" s="8" t="n">
        <v>62.70175084942696</v>
      </c>
    </row>
    <row r="16">
      <c r="A16" s="4" t="n">
        <v>15</v>
      </c>
      <c r="B16" s="4" t="inlineStr">
        <is>
          <t>DAYSPRING PROFESSIONAL JANITOR</t>
        </is>
      </c>
      <c r="C16" s="7" t="n">
        <v>1050062.48</v>
      </c>
      <c r="D16" s="8" t="n">
        <v>64.22516233728247</v>
      </c>
    </row>
    <row r="17">
      <c r="A17" s="4" t="n">
        <v>16</v>
      </c>
      <c r="B17" s="4" t="inlineStr">
        <is>
          <t>A SAFE HAVEN FOUNDATION</t>
        </is>
      </c>
      <c r="C17" s="7" t="n">
        <v>1013485.13</v>
      </c>
      <c r="D17" s="8" t="n">
        <v>65.69550807310263</v>
      </c>
    </row>
    <row r="18">
      <c r="A18" s="4" t="n">
        <v>17</v>
      </c>
      <c r="B18" s="4" t="inlineStr">
        <is>
          <t>BUILDERS CHICAGO CORPORATION</t>
        </is>
      </c>
      <c r="C18" s="7" t="n">
        <v>975018.49</v>
      </c>
      <c r="D18" s="8" t="n">
        <v>67.11004710942507</v>
      </c>
    </row>
    <row r="19">
      <c r="A19" s="4" t="n">
        <v>18</v>
      </c>
      <c r="B19" s="4" t="inlineStr">
        <is>
          <t>Yellowstone Landscape, Inc</t>
        </is>
      </c>
      <c r="C19" s="7" t="n">
        <v>876998.2000000001</v>
      </c>
      <c r="D19" s="8" t="n">
        <v>68.38238009737128</v>
      </c>
    </row>
    <row r="20">
      <c r="A20" s="4" t="n">
        <v>19</v>
      </c>
      <c r="B20" s="4" t="inlineStr">
        <is>
          <t>A &amp; D PROPERTY SERVICES, INC.</t>
        </is>
      </c>
      <c r="C20" s="7" t="n">
        <v>836250</v>
      </c>
      <c r="D20" s="8" t="n">
        <v>69.59559634019826</v>
      </c>
    </row>
    <row r="21">
      <c r="A21" s="4" t="n">
        <v>20</v>
      </c>
      <c r="B21" s="4" t="inlineStr">
        <is>
          <t>Boschung America, LLC</t>
        </is>
      </c>
      <c r="C21" s="7" t="n">
        <v>757152.49</v>
      </c>
      <c r="D21" s="8" t="n">
        <v>70.69405935863161</v>
      </c>
    </row>
    <row r="22">
      <c r="A22" s="4" t="n">
        <v>21</v>
      </c>
      <c r="B22" s="4" t="inlineStr">
        <is>
          <t>DIVERSE FACILITY SOLUTION INC.</t>
        </is>
      </c>
      <c r="C22" s="7" t="n">
        <v>692293.9</v>
      </c>
      <c r="D22" s="8" t="n">
        <v>71.69842671802176</v>
      </c>
    </row>
    <row r="23">
      <c r="A23" s="4" t="n">
        <v>22</v>
      </c>
      <c r="B23" s="4" t="inlineStr">
        <is>
          <t>COURTESY ELECTRIC INC</t>
        </is>
      </c>
      <c r="C23" s="7" t="n">
        <v>656559.29</v>
      </c>
      <c r="D23" s="8" t="n">
        <v>72.650950957193</v>
      </c>
    </row>
    <row r="24">
      <c r="A24" s="4" t="n">
        <v>23</v>
      </c>
      <c r="B24" s="4" t="inlineStr">
        <is>
          <t>ALDRIDGE ELECTRIC INC</t>
        </is>
      </c>
      <c r="C24" s="7" t="n">
        <v>620207.92</v>
      </c>
      <c r="D24" s="8" t="n">
        <v>73.55073729198995</v>
      </c>
    </row>
    <row r="25">
      <c r="A25" s="4" t="n">
        <v>24</v>
      </c>
      <c r="B25" s="4" t="inlineStr">
        <is>
          <t>CHRISTY WEBBER LANDSCAPES</t>
        </is>
      </c>
      <c r="C25" s="7" t="n">
        <v>606765.12</v>
      </c>
      <c r="D25" s="8" t="n">
        <v>74.4310210578074</v>
      </c>
    </row>
    <row r="26">
      <c r="A26" s="4" t="n">
        <v>25</v>
      </c>
      <c r="B26" s="4" t="inlineStr">
        <is>
          <t>Lion Totalcare, Inc. dba Lion Group, Inc.</t>
        </is>
      </c>
      <c r="C26" s="7" t="n">
        <v>594870.52</v>
      </c>
      <c r="D26" s="8" t="n">
        <v>75.29404835495889</v>
      </c>
    </row>
    <row r="27">
      <c r="A27" s="4" t="n">
        <v>26</v>
      </c>
      <c r="B27" s="4" t="inlineStr">
        <is>
          <t>MONROE TRUCK EQUIPMENT</t>
        </is>
      </c>
      <c r="C27" s="7" t="n">
        <v>585866.02</v>
      </c>
      <c r="D27" s="8" t="n">
        <v>76.14401208779525</v>
      </c>
    </row>
    <row r="28">
      <c r="A28" s="4" t="n">
        <v>27</v>
      </c>
      <c r="B28" s="4" t="inlineStr">
        <is>
          <t>RELIABLE CONTRACTING AND EQUIPMENT COMPANY</t>
        </is>
      </c>
      <c r="C28" s="7" t="n">
        <v>559479.76</v>
      </c>
      <c r="D28" s="8" t="n">
        <v>76.95569511603433</v>
      </c>
    </row>
    <row r="29">
      <c r="A29" s="4" t="n">
        <v>28</v>
      </c>
      <c r="B29" s="4" t="inlineStr">
        <is>
          <t>PARKWAY ELEVATORS INC.</t>
        </is>
      </c>
      <c r="C29" s="7" t="n">
        <v>551142.41</v>
      </c>
      <c r="D29" s="8" t="n">
        <v>77.75528246900627</v>
      </c>
    </row>
    <row r="30">
      <c r="A30" s="4" t="n">
        <v>29</v>
      </c>
      <c r="B30" s="4" t="inlineStr">
        <is>
          <t>MANDEL METALS INC</t>
        </is>
      </c>
      <c r="C30" s="7" t="n">
        <v>501600</v>
      </c>
      <c r="D30" s="8" t="n">
        <v>78.48299459743919</v>
      </c>
    </row>
    <row r="31">
      <c r="A31" s="4" t="n">
        <v>30</v>
      </c>
      <c r="B31" s="4" t="inlineStr">
        <is>
          <t>CHARLES EQUIPMENT ENERGY SYSTEMS LLC</t>
        </is>
      </c>
      <c r="C31" s="7" t="n">
        <v>485145.57</v>
      </c>
      <c r="D31" s="8" t="n">
        <v>79.18683493903505</v>
      </c>
    </row>
    <row r="32">
      <c r="A32" s="4" t="n">
        <v>31</v>
      </c>
      <c r="B32" s="4" t="inlineStr">
        <is>
          <t>Lyons View Manufacturer &amp; Supply</t>
        </is>
      </c>
      <c r="C32" s="7" t="n">
        <v>484022</v>
      </c>
      <c r="D32" s="8" t="n">
        <v>79.88904522577418</v>
      </c>
    </row>
    <row r="33">
      <c r="A33" s="4" t="n">
        <v>32</v>
      </c>
      <c r="B33" s="4" t="inlineStr">
        <is>
          <t>ARLINGTON GLASS &amp; MIRROR</t>
        </is>
      </c>
      <c r="C33" s="7" t="n">
        <v>474875.201</v>
      </c>
      <c r="D33" s="8" t="n">
        <v>80.57798550340519</v>
      </c>
    </row>
    <row r="34">
      <c r="A34" s="4" t="n">
        <v>33</v>
      </c>
      <c r="B34" s="4" t="inlineStr">
        <is>
          <t>MURNANE PAPER COMPANY</t>
        </is>
      </c>
      <c r="C34" s="7" t="n">
        <v>472416.97</v>
      </c>
      <c r="D34" s="8" t="n">
        <v>81.26335942435119</v>
      </c>
    </row>
    <row r="35">
      <c r="A35" s="4" t="n">
        <v>34</v>
      </c>
      <c r="B35" s="4" t="inlineStr">
        <is>
          <t>RI-DEL MFG. INC.</t>
        </is>
      </c>
      <c r="C35" s="7" t="n">
        <v>441802.12</v>
      </c>
      <c r="D35" s="8" t="n">
        <v>81.90431787947752</v>
      </c>
    </row>
    <row r="36">
      <c r="A36" s="4" t="n">
        <v>35</v>
      </c>
      <c r="B36" s="4" t="inlineStr">
        <is>
          <t>ABC Humane Wildlife Control &amp; Prevention, Inc.</t>
        </is>
      </c>
      <c r="C36" s="7" t="n">
        <v>435494.48</v>
      </c>
      <c r="D36" s="8" t="n">
        <v>82.53612532557317</v>
      </c>
    </row>
    <row r="37">
      <c r="A37" s="4" t="n">
        <v>36</v>
      </c>
      <c r="B37" s="4" t="inlineStr">
        <is>
          <t>TAYLOR COMMUNICATIONS INC</t>
        </is>
      </c>
      <c r="C37" s="7" t="n">
        <v>431929.13</v>
      </c>
      <c r="D37" s="8" t="n">
        <v>83.16276022693773</v>
      </c>
    </row>
    <row r="38">
      <c r="A38" s="4" t="n">
        <v>37</v>
      </c>
      <c r="B38" s="4" t="inlineStr">
        <is>
          <t>CHICAGO UNITED INDUSTRIES, LTD</t>
        </is>
      </c>
      <c r="C38" s="7" t="n">
        <v>412967.57</v>
      </c>
      <c r="D38" s="8" t="n">
        <v>83.76188604300326</v>
      </c>
    </row>
    <row r="39">
      <c r="A39" s="4" t="n">
        <v>38</v>
      </c>
      <c r="B39" s="4" t="inlineStr">
        <is>
          <t>Chartwell RX, LLC</t>
        </is>
      </c>
      <c r="C39" s="7" t="n">
        <v>399986.9</v>
      </c>
      <c r="D39" s="8" t="n">
        <v>84.34217973986186</v>
      </c>
    </row>
    <row r="40">
      <c r="A40" s="4" t="n">
        <v>39</v>
      </c>
      <c r="B40" s="4" t="inlineStr">
        <is>
          <t>ROSS BARNEY ARCHITECTS, PC</t>
        </is>
      </c>
      <c r="C40" s="7" t="n">
        <v>382313.8</v>
      </c>
      <c r="D40" s="8" t="n">
        <v>84.89683362568175</v>
      </c>
    </row>
    <row r="41">
      <c r="A41" s="4" t="n">
        <v>40</v>
      </c>
      <c r="B41" s="4" t="inlineStr">
        <is>
          <t>ALLAN INTEGRATED CONTROL SYSTEMS,  INC.</t>
        </is>
      </c>
      <c r="C41" s="7" t="n">
        <v>349154.88</v>
      </c>
      <c r="D41" s="8" t="n">
        <v>85.40338115534192</v>
      </c>
    </row>
    <row r="42">
      <c r="A42" s="4" t="n">
        <v>41</v>
      </c>
      <c r="B42" s="4" t="inlineStr">
        <is>
          <t>GRAYBAR ELECTRIC CO INC</t>
        </is>
      </c>
      <c r="C42" s="7" t="n">
        <v>345827.29</v>
      </c>
      <c r="D42" s="8" t="n">
        <v>85.90510107814112</v>
      </c>
    </row>
    <row r="43">
      <c r="A43" s="4" t="n">
        <v>42</v>
      </c>
      <c r="B43" s="4" t="inlineStr">
        <is>
          <t>CATALYST CONSULTING GROUP INC</t>
        </is>
      </c>
      <c r="C43" s="7" t="n">
        <v>325439.85</v>
      </c>
      <c r="D43" s="8" t="n">
        <v>86.37724327495209</v>
      </c>
    </row>
    <row r="44">
      <c r="A44" s="4" t="n">
        <v>43</v>
      </c>
      <c r="B44" s="4" t="inlineStr">
        <is>
          <t>DS Services of America, Inc.</t>
        </is>
      </c>
      <c r="C44" s="7" t="n">
        <v>307105.19</v>
      </c>
      <c r="D44" s="8" t="n">
        <v>86.82278588154637</v>
      </c>
    </row>
    <row r="45">
      <c r="A45" s="4" t="n">
        <v>44</v>
      </c>
      <c r="B45" s="4" t="inlineStr">
        <is>
          <t>MIDWEST VETERINARY SUPPLY, INC.</t>
        </is>
      </c>
      <c r="C45" s="7" t="n">
        <v>278559.23</v>
      </c>
      <c r="D45" s="8" t="n">
        <v>87.22691453018658</v>
      </c>
    </row>
    <row r="46">
      <c r="A46" s="4" t="n">
        <v>45</v>
      </c>
      <c r="B46" s="4" t="inlineStr">
        <is>
          <t>RAE PRODUCTS &amp; CHEMICALS CORP.</t>
        </is>
      </c>
      <c r="C46" s="7" t="n">
        <v>274563.07</v>
      </c>
      <c r="D46" s="8" t="n">
        <v>87.62524562280772</v>
      </c>
    </row>
    <row r="47">
      <c r="A47" s="4" t="n">
        <v>46</v>
      </c>
      <c r="B47" s="4" t="inlineStr">
        <is>
          <t>BELLA BAGNO INC</t>
        </is>
      </c>
      <c r="C47" s="7" t="n">
        <v>263779.27</v>
      </c>
      <c r="D47" s="8" t="n">
        <v>88.00793177513663</v>
      </c>
    </row>
    <row r="48">
      <c r="A48" s="4" t="n">
        <v>47</v>
      </c>
      <c r="B48" s="4" t="inlineStr">
        <is>
          <t>STANDARD EQUIPMENT</t>
        </is>
      </c>
      <c r="C48" s="7" t="n">
        <v>262856</v>
      </c>
      <c r="D48" s="8" t="n">
        <v>88.38927846419435</v>
      </c>
    </row>
    <row r="49">
      <c r="A49" s="4" t="n">
        <v>48</v>
      </c>
      <c r="B49" s="4" t="inlineStr">
        <is>
          <t>MOORE LANDSCAPES LLC</t>
        </is>
      </c>
      <c r="C49" s="7" t="n">
        <v>253117.4</v>
      </c>
      <c r="D49" s="8" t="n">
        <v>88.75649657005042</v>
      </c>
    </row>
    <row r="50">
      <c r="A50" s="4" t="n">
        <v>49</v>
      </c>
      <c r="B50" s="4" t="inlineStr">
        <is>
          <t>BANDIT INDUSTRIES, INC</t>
        </is>
      </c>
      <c r="C50" s="7" t="n">
        <v>251640.9</v>
      </c>
      <c r="D50" s="8" t="n">
        <v>89.12157259664485</v>
      </c>
    </row>
    <row r="51">
      <c r="A51" s="4" t="n">
        <v>50</v>
      </c>
      <c r="B51" s="4" t="inlineStr">
        <is>
          <t>CASEY EQUIPMENT CO INC</t>
        </is>
      </c>
      <c r="C51" s="7" t="n">
        <v>217212.1</v>
      </c>
      <c r="D51" s="8" t="n">
        <v>89.43669994834418</v>
      </c>
    </row>
    <row r="52">
      <c r="A52" s="4" t="n">
        <v>51</v>
      </c>
      <c r="B52" s="4" t="inlineStr">
        <is>
          <t>JASCULCA/TERMAN &amp; ASSOCIATES</t>
        </is>
      </c>
      <c r="C52" s="7" t="n">
        <v>206747.87</v>
      </c>
      <c r="D52" s="8" t="n">
        <v>89.73664598607677</v>
      </c>
    </row>
    <row r="53">
      <c r="A53" s="4" t="n">
        <v>52</v>
      </c>
      <c r="B53" s="4" t="inlineStr">
        <is>
          <t>AVOQ LLC</t>
        </is>
      </c>
      <c r="C53" s="7" t="n">
        <v>206593.89</v>
      </c>
      <c r="D53" s="8" t="n">
        <v>90.03636863243469</v>
      </c>
    </row>
    <row r="54">
      <c r="A54" s="4" t="n">
        <v>53</v>
      </c>
      <c r="B54" s="4" t="inlineStr">
        <is>
          <t>Kaizen Health, Inc.</t>
        </is>
      </c>
      <c r="C54" s="7" t="n">
        <v>202500</v>
      </c>
      <c r="D54" s="8" t="n">
        <v>90.3301519378726</v>
      </c>
    </row>
    <row r="55">
      <c r="A55" s="4" t="n">
        <v>54</v>
      </c>
      <c r="B55" s="4" t="inlineStr">
        <is>
          <t>RUSH TRUCK CENTERS OF ILLINOIS INC</t>
        </is>
      </c>
      <c r="C55" s="7" t="n">
        <v>200395.16</v>
      </c>
      <c r="D55" s="8" t="n">
        <v>90.62088157984081</v>
      </c>
    </row>
    <row r="56">
      <c r="A56" s="4" t="n">
        <v>55</v>
      </c>
      <c r="B56" s="4" t="inlineStr">
        <is>
          <t>D.B. STERLIN CONSULTANTS, INC.</t>
        </is>
      </c>
      <c r="C56" s="7" t="n">
        <v>197483.56</v>
      </c>
      <c r="D56" s="8" t="n">
        <v>90.90738712565043</v>
      </c>
    </row>
    <row r="57">
      <c r="A57" s="4" t="n">
        <v>56</v>
      </c>
      <c r="B57" s="4" t="inlineStr">
        <is>
          <t>LEGEND &amp; WHITE ANIMAL HEALTH</t>
        </is>
      </c>
      <c r="C57" s="7" t="n">
        <v>185200.28</v>
      </c>
      <c r="D57" s="8" t="n">
        <v>91.17607231294144</v>
      </c>
    </row>
    <row r="58">
      <c r="A58" s="4" t="n">
        <v>57</v>
      </c>
      <c r="B58" s="4" t="inlineStr">
        <is>
          <t>CAR WASH PARTNERS INC</t>
        </is>
      </c>
      <c r="C58" s="7" t="n">
        <v>176799</v>
      </c>
      <c r="D58" s="8" t="n">
        <v>91.4325690764877</v>
      </c>
    </row>
    <row r="59">
      <c r="A59" s="4" t="n">
        <v>58</v>
      </c>
      <c r="B59" s="4" t="inlineStr">
        <is>
          <t>CANON SOLUTIONS AMERICA, INC</t>
        </is>
      </c>
      <c r="C59" s="7" t="n">
        <v>172508.05</v>
      </c>
      <c r="D59" s="8" t="n">
        <v>91.68284060806128</v>
      </c>
    </row>
    <row r="60">
      <c r="A60" s="4" t="n">
        <v>59</v>
      </c>
      <c r="B60" s="4" t="inlineStr">
        <is>
          <t>SOUTHWEST INDUSTRIES DBA ANDERSON ELEVATOR COMPANY</t>
        </is>
      </c>
      <c r="C60" s="7" t="n">
        <v>156406.82</v>
      </c>
      <c r="D60" s="8" t="n">
        <v>91.90975276891379</v>
      </c>
    </row>
    <row r="61">
      <c r="A61" s="4" t="n">
        <v>60</v>
      </c>
      <c r="B61" s="4" t="inlineStr">
        <is>
          <t>Equipment Trade Service Co., Inc</t>
        </is>
      </c>
      <c r="C61" s="7" t="n">
        <v>154246.92</v>
      </c>
      <c r="D61" s="8" t="n">
        <v>92.13353138625314</v>
      </c>
    </row>
    <row r="62">
      <c r="A62" s="4" t="n">
        <v>61</v>
      </c>
      <c r="B62" s="4" t="inlineStr">
        <is>
          <t>PENCCO</t>
        </is>
      </c>
      <c r="C62" s="7" t="n">
        <v>146847.52</v>
      </c>
      <c r="D62" s="8" t="n">
        <v>92.34657508907272</v>
      </c>
    </row>
    <row r="63">
      <c r="A63" s="4" t="n">
        <v>62</v>
      </c>
      <c r="B63" s="4" t="inlineStr">
        <is>
          <t>P. R. STREICH &amp; SONS</t>
        </is>
      </c>
      <c r="C63" s="7" t="n">
        <v>144159.94</v>
      </c>
      <c r="D63" s="8" t="n">
        <v>92.55571969986251</v>
      </c>
    </row>
    <row r="64">
      <c r="A64" s="4" t="n">
        <v>63</v>
      </c>
      <c r="B64" s="4" t="inlineStr">
        <is>
          <t>National Foundation for the Centers for Disease Control and Prevention, Inc</t>
        </is>
      </c>
      <c r="C64" s="7" t="n">
        <v>143517.37</v>
      </c>
      <c r="D64" s="8" t="n">
        <v>92.76393208181982</v>
      </c>
    </row>
    <row r="65">
      <c r="A65" s="4" t="n">
        <v>64</v>
      </c>
      <c r="B65" s="4" t="inlineStr">
        <is>
          <t>BIGMOUTH CREATIVE LLC</t>
        </is>
      </c>
      <c r="C65" s="7" t="n">
        <v>139750</v>
      </c>
      <c r="D65" s="8" t="n">
        <v>92.96667883211586</v>
      </c>
    </row>
    <row r="66">
      <c r="A66" s="4" t="n">
        <v>65</v>
      </c>
      <c r="B66" s="4" t="inlineStr">
        <is>
          <t>OMICRON TECHNOLOGY SOLUTIONS LLC</t>
        </is>
      </c>
      <c r="C66" s="7" t="n">
        <v>138377.77</v>
      </c>
      <c r="D66" s="8" t="n">
        <v>93.16743477616392</v>
      </c>
    </row>
    <row r="67">
      <c r="A67" s="4" t="n">
        <v>66</v>
      </c>
      <c r="B67" s="4" t="inlineStr">
        <is>
          <t>RIDDIFORD ROOFING CO.</t>
        </is>
      </c>
      <c r="C67" s="7" t="n">
        <v>129366.67</v>
      </c>
      <c r="D67" s="8" t="n">
        <v>93.35511758073723</v>
      </c>
    </row>
    <row r="68">
      <c r="A68" s="4" t="n">
        <v>67</v>
      </c>
      <c r="B68" s="4" t="inlineStr">
        <is>
          <t>R4 SERVICES, LLC.</t>
        </is>
      </c>
      <c r="C68" s="7" t="n">
        <v>129339.73</v>
      </c>
      <c r="D68" s="8" t="n">
        <v>93.54276130125005</v>
      </c>
    </row>
    <row r="69">
      <c r="A69" s="4" t="n">
        <v>68</v>
      </c>
      <c r="B69" s="4" t="inlineStr">
        <is>
          <t>KING TRANSMISSION CO INC</t>
        </is>
      </c>
      <c r="C69" s="7" t="n">
        <v>119800</v>
      </c>
      <c r="D69" s="8" t="n">
        <v>93.7165649555289</v>
      </c>
    </row>
    <row r="70">
      <c r="A70" s="4" t="n">
        <v>69</v>
      </c>
      <c r="B70" s="4" t="inlineStr">
        <is>
          <t>INTERSTATE POWER SYSTEMS</t>
        </is>
      </c>
      <c r="C70" s="7" t="n">
        <v>119385.34</v>
      </c>
      <c r="D70" s="8" t="n">
        <v>93.88976702864508</v>
      </c>
    </row>
    <row r="71">
      <c r="A71" s="4" t="n">
        <v>70</v>
      </c>
      <c r="B71" s="4" t="inlineStr">
        <is>
          <t>Talogy, LLC</t>
        </is>
      </c>
      <c r="C71" s="7" t="n">
        <v>117957.42</v>
      </c>
      <c r="D71" s="8" t="n">
        <v>94.06089750147734</v>
      </c>
    </row>
    <row r="72">
      <c r="A72" s="4" t="n">
        <v>71</v>
      </c>
      <c r="B72" s="4" t="inlineStr">
        <is>
          <t>PUBLIC HEALTH INSTITUTE OF METROPOLITAN CHICAGO</t>
        </is>
      </c>
      <c r="C72" s="7" t="n">
        <v>114504.52</v>
      </c>
      <c r="D72" s="8" t="n">
        <v>94.22701856998688</v>
      </c>
    </row>
    <row r="73">
      <c r="A73" s="4" t="n">
        <v>72</v>
      </c>
      <c r="B73" s="4" t="inlineStr">
        <is>
          <t>Idemia Identity &amp; Security USA LLC</t>
        </is>
      </c>
      <c r="C73" s="7" t="n">
        <v>112727.5</v>
      </c>
      <c r="D73" s="8" t="n">
        <v>94.39056157030171</v>
      </c>
    </row>
    <row r="74">
      <c r="A74" s="4" t="n">
        <v>73</v>
      </c>
      <c r="B74" s="4" t="inlineStr">
        <is>
          <t>Youth Marketing Connection LLC</t>
        </is>
      </c>
      <c r="C74" s="7" t="n">
        <v>111000</v>
      </c>
      <c r="D74" s="8" t="n">
        <v>94.55159834513435</v>
      </c>
    </row>
    <row r="75">
      <c r="A75" s="4" t="n">
        <v>74</v>
      </c>
      <c r="B75" s="4" t="inlineStr">
        <is>
          <t>QUALITY CAR WASH, INC.</t>
        </is>
      </c>
      <c r="C75" s="7" t="n">
        <v>106045.68</v>
      </c>
      <c r="D75" s="8" t="n">
        <v>94.70544748290133</v>
      </c>
    </row>
    <row r="76">
      <c r="A76" s="4" t="n">
        <v>75</v>
      </c>
      <c r="B76" s="4" t="inlineStr">
        <is>
          <t>MCDERMOTT CENTER DBA HAYMARKET CENTER</t>
        </is>
      </c>
      <c r="C76" s="7" t="n">
        <v>104847.08</v>
      </c>
      <c r="D76" s="8" t="n">
        <v>94.85755771365646</v>
      </c>
    </row>
    <row r="77">
      <c r="A77" s="4" t="n">
        <v>76</v>
      </c>
      <c r="B77" s="4" t="inlineStr">
        <is>
          <t>WISS, JANNEY, ELSTNER, &amp; ASSOCIATES, INC.</t>
        </is>
      </c>
      <c r="C77" s="7" t="n">
        <v>102678.32</v>
      </c>
      <c r="D77" s="8" t="n">
        <v>95.00652154697208</v>
      </c>
    </row>
    <row r="78">
      <c r="A78" s="4" t="n">
        <v>77</v>
      </c>
      <c r="B78" s="4" t="inlineStr">
        <is>
          <t>AGAE CONTRACTORS, INC.</t>
        </is>
      </c>
      <c r="C78" s="7" t="n">
        <v>100535.51</v>
      </c>
      <c r="D78" s="8" t="n">
        <v>95.15237663063473</v>
      </c>
    </row>
    <row r="79">
      <c r="A79" s="4" t="n">
        <v>78</v>
      </c>
      <c r="B79" s="4" t="inlineStr">
        <is>
          <t>HASTINGS AIR ENERGY CONTROL</t>
        </is>
      </c>
      <c r="C79" s="7" t="n">
        <v>100327.2</v>
      </c>
      <c r="D79" s="8" t="n">
        <v>95.29792950194995</v>
      </c>
    </row>
    <row r="80">
      <c r="A80" s="4" t="n">
        <v>79</v>
      </c>
      <c r="B80" s="4" t="inlineStr">
        <is>
          <t>DIRECT FITNESS SOLUTIONS, LLC</t>
        </is>
      </c>
      <c r="C80" s="7" t="n">
        <v>100000</v>
      </c>
      <c r="D80" s="8" t="n">
        <v>95.44300767747484</v>
      </c>
    </row>
    <row r="81">
      <c r="A81" s="4" t="n">
        <v>80</v>
      </c>
      <c r="B81" s="4" t="inlineStr">
        <is>
          <t>Johnson Controls Security Solutions</t>
        </is>
      </c>
      <c r="C81" s="7" t="n">
        <v>99723.75</v>
      </c>
      <c r="D81" s="8" t="n">
        <v>95.58768507453986</v>
      </c>
    </row>
    <row r="82">
      <c r="A82" s="4" t="n">
        <v>81</v>
      </c>
      <c r="B82" s="4" t="inlineStr">
        <is>
          <t>TRANSWESTERN COMMERCIAL SERVICES,  LLC.</t>
        </is>
      </c>
      <c r="C82" s="7" t="n">
        <v>96670.98</v>
      </c>
      <c r="D82" s="8" t="n">
        <v>95.7279335685859</v>
      </c>
    </row>
    <row r="83">
      <c r="A83" s="4" t="n">
        <v>82</v>
      </c>
      <c r="B83" s="4" t="inlineStr">
        <is>
          <t>FLOWERS COMMUNICATIONS GROUP</t>
        </is>
      </c>
      <c r="C83" s="7" t="n">
        <v>96330</v>
      </c>
      <c r="D83" s="8" t="n">
        <v>95.86768737506904</v>
      </c>
    </row>
    <row r="84">
      <c r="A84" s="4" t="n">
        <v>83</v>
      </c>
      <c r="B84" s="4" t="inlineStr">
        <is>
          <t>BARRICADE LITES, INC.</t>
        </is>
      </c>
      <c r="C84" s="7" t="n">
        <v>94154.60000000001</v>
      </c>
      <c r="D84" s="8" t="n">
        <v>96.0042851509218</v>
      </c>
    </row>
    <row r="85">
      <c r="A85" s="4" t="n">
        <v>84</v>
      </c>
      <c r="B85" s="4" t="inlineStr">
        <is>
          <t>IRON MOUNTAIN RECORDS</t>
        </is>
      </c>
      <c r="C85" s="7" t="n">
        <v>91827.23000000001</v>
      </c>
      <c r="D85" s="8" t="n">
        <v>96.13750642084085</v>
      </c>
    </row>
    <row r="86">
      <c r="A86" s="4" t="n">
        <v>85</v>
      </c>
      <c r="B86" s="4" t="inlineStr">
        <is>
          <t>CITYESCAPE GARDEN &amp; DESIGN,LLC</t>
        </is>
      </c>
      <c r="C86" s="7" t="n">
        <v>81143.75</v>
      </c>
      <c r="D86" s="8" t="n">
        <v>96.25522829289334</v>
      </c>
    </row>
    <row r="87">
      <c r="A87" s="4" t="n">
        <v>86</v>
      </c>
      <c r="B87" s="4" t="inlineStr">
        <is>
          <t>BLUETRITON BRANDS INC</t>
        </is>
      </c>
      <c r="C87" s="7" t="n">
        <v>75081.86</v>
      </c>
      <c r="D87" s="8" t="n">
        <v>96.3641556855315</v>
      </c>
    </row>
    <row r="88">
      <c r="A88" s="4" t="n">
        <v>87</v>
      </c>
      <c r="B88" s="4" t="inlineStr">
        <is>
          <t>ELEVATE ENERGY</t>
        </is>
      </c>
      <c r="C88" s="7" t="n">
        <v>70000</v>
      </c>
      <c r="D88" s="8" t="n">
        <v>96.46571040839892</v>
      </c>
    </row>
    <row r="89">
      <c r="A89" s="4" t="n">
        <v>88</v>
      </c>
      <c r="B89" s="4" t="inlineStr">
        <is>
          <t>GROUPWARE TECHNOLOGIES, INC</t>
        </is>
      </c>
      <c r="C89" s="7" t="n">
        <v>69640</v>
      </c>
      <c r="D89" s="8" t="n">
        <v>96.56674284983447</v>
      </c>
    </row>
    <row r="90">
      <c r="A90" s="4" t="n">
        <v>89</v>
      </c>
      <c r="B90" s="4" t="inlineStr">
        <is>
          <t>RUNNION EQUIPMENT CO</t>
        </is>
      </c>
      <c r="C90" s="7" t="n">
        <v>69004.05</v>
      </c>
      <c r="D90" s="8" t="n">
        <v>96.66685266661274</v>
      </c>
    </row>
    <row r="91">
      <c r="A91" s="4" t="n">
        <v>90</v>
      </c>
      <c r="B91" s="4" t="inlineStr">
        <is>
          <t>Rausch Infrastructure LLC</t>
        </is>
      </c>
      <c r="C91" s="7" t="n">
        <v>68443</v>
      </c>
      <c r="D91" s="8" t="n">
        <v>96.76614852228725</v>
      </c>
    </row>
    <row r="92">
      <c r="A92" s="4" t="n">
        <v>91</v>
      </c>
      <c r="B92" s="4" t="inlineStr">
        <is>
          <t>TOMPKINS PRINTING EQUIPMENT CO</t>
        </is>
      </c>
      <c r="C92" s="7" t="n">
        <v>68395</v>
      </c>
      <c r="D92" s="8" t="n">
        <v>96.86537474043752</v>
      </c>
    </row>
    <row r="93">
      <c r="A93" s="4" t="n">
        <v>92</v>
      </c>
      <c r="B93" s="4" t="inlineStr">
        <is>
          <t>DLT SOLUTIONS LLC</t>
        </is>
      </c>
      <c r="C93" s="7" t="n">
        <v>65250</v>
      </c>
      <c r="D93" s="8" t="n">
        <v>96.96003824996751</v>
      </c>
    </row>
    <row r="94">
      <c r="A94" s="4" t="n">
        <v>93</v>
      </c>
      <c r="B94" s="4" t="inlineStr">
        <is>
          <t>RICOH USA INC</t>
        </is>
      </c>
      <c r="C94" s="7" t="n">
        <v>64509.93</v>
      </c>
      <c r="D94" s="8" t="n">
        <v>97.0536280794439</v>
      </c>
    </row>
    <row r="95">
      <c r="A95" s="4" t="n">
        <v>94</v>
      </c>
      <c r="B95" s="4" t="inlineStr">
        <is>
          <t>DELL MARKETING L.P.</t>
        </is>
      </c>
      <c r="C95" s="7" t="n">
        <v>63940.88</v>
      </c>
      <c r="D95" s="8" t="n">
        <v>97.14639234156247</v>
      </c>
    </row>
    <row r="96">
      <c r="A96" s="4" t="n">
        <v>95</v>
      </c>
      <c r="B96" s="4" t="inlineStr">
        <is>
          <t>MEYERCORD REVENUE</t>
        </is>
      </c>
      <c r="C96" s="7" t="n">
        <v>63750</v>
      </c>
      <c r="D96" s="8" t="n">
        <v>97.23887967845958</v>
      </c>
    </row>
    <row r="97">
      <c r="A97" s="4" t="n">
        <v>96</v>
      </c>
      <c r="B97" s="4" t="inlineStr">
        <is>
          <t>PLOTE CONSTRUCTION, INC.</t>
        </is>
      </c>
      <c r="C97" s="7" t="n">
        <v>63600</v>
      </c>
      <c r="D97" s="8" t="n">
        <v>97.33114939809343</v>
      </c>
    </row>
    <row r="98">
      <c r="A98" s="4" t="n">
        <v>97</v>
      </c>
      <c r="B98" s="4" t="inlineStr">
        <is>
          <t>Sophisticated Events and Design Co.</t>
        </is>
      </c>
      <c r="C98" s="7" t="n">
        <v>63412</v>
      </c>
      <c r="D98" s="8" t="n">
        <v>97.42314637075728</v>
      </c>
    </row>
    <row r="99">
      <c r="A99" s="4" t="n">
        <v>98</v>
      </c>
      <c r="B99" s="4" t="inlineStr">
        <is>
          <t>PAUL BORG CONSTRUCTION CO INC</t>
        </is>
      </c>
      <c r="C99" s="7" t="n">
        <v>58357.01</v>
      </c>
      <c r="D99" s="8" t="n">
        <v>97.50780965615617</v>
      </c>
    </row>
    <row r="100">
      <c r="A100" s="4" t="n">
        <v>99</v>
      </c>
      <c r="B100" s="4" t="inlineStr">
        <is>
          <t>CIS Support, Inc.</t>
        </is>
      </c>
      <c r="C100" s="7" t="n">
        <v>57475</v>
      </c>
      <c r="D100" s="8" t="n">
        <v>97.59119333753911</v>
      </c>
    </row>
    <row r="101">
      <c r="A101" s="4" t="n">
        <v>100</v>
      </c>
      <c r="B101" s="4" t="inlineStr">
        <is>
          <t>Berlin Rosen, LLC</t>
        </is>
      </c>
      <c r="C101" s="7" t="n">
        <v>55736.25</v>
      </c>
      <c r="D101" s="8" t="n">
        <v>97.67205447214509</v>
      </c>
    </row>
    <row r="102">
      <c r="A102" s="4" t="n">
        <v>101</v>
      </c>
      <c r="B102" s="4" t="inlineStr">
        <is>
          <t>UNITED SECURITY SERVICES, INC.</t>
        </is>
      </c>
      <c r="C102" s="7" t="n">
        <v>54783.55</v>
      </c>
      <c r="D102" s="8" t="n">
        <v>97.75153344697287</v>
      </c>
    </row>
    <row r="103">
      <c r="A103" s="4" t="n">
        <v>102</v>
      </c>
      <c r="B103" s="4" t="inlineStr">
        <is>
          <t>STANDARD IND/&amp; AUTOMTV EQUIP I</t>
        </is>
      </c>
      <c r="C103" s="7" t="n">
        <v>53441.98</v>
      </c>
      <c r="D103" s="8" t="n">
        <v>97.82906609652126</v>
      </c>
    </row>
    <row r="104">
      <c r="A104" s="4" t="n">
        <v>103</v>
      </c>
      <c r="B104" s="4" t="inlineStr">
        <is>
          <t>WASTE MANAGEMENT - METRO 01</t>
        </is>
      </c>
      <c r="C104" s="7" t="n">
        <v>49033.39</v>
      </c>
      <c r="D104" s="8" t="n">
        <v>97.90020284413127</v>
      </c>
    </row>
    <row r="105">
      <c r="A105" s="4" t="n">
        <v>104</v>
      </c>
      <c r="B105" s="4" t="inlineStr">
        <is>
          <t>CBG Midwest, LLC dba American Building Services</t>
        </is>
      </c>
      <c r="C105" s="7" t="n">
        <v>48645.52</v>
      </c>
      <c r="D105" s="8" t="n">
        <v>97.97077687702186</v>
      </c>
    </row>
    <row r="106">
      <c r="A106" s="4" t="n">
        <v>105</v>
      </c>
      <c r="B106" s="4" t="inlineStr">
        <is>
          <t>V3 COMPANIES, LTD.</t>
        </is>
      </c>
      <c r="C106" s="7" t="n">
        <v>48613.48</v>
      </c>
      <c r="D106" s="8" t="n">
        <v>98.04130442686503</v>
      </c>
    </row>
    <row r="107">
      <c r="A107" s="4" t="n">
        <v>106</v>
      </c>
      <c r="B107" s="4" t="inlineStr">
        <is>
          <t>EX3 Labs, LLC</t>
        </is>
      </c>
      <c r="C107" s="7" t="n">
        <v>47899</v>
      </c>
      <c r="D107" s="8" t="n">
        <v>98.1107954221597</v>
      </c>
    </row>
    <row r="108">
      <c r="A108" s="4" t="n">
        <v>107</v>
      </c>
      <c r="B108" s="4" t="inlineStr">
        <is>
          <t>ELEVATOR INSPECTION SERVICE COMPANY, LLC</t>
        </is>
      </c>
      <c r="C108" s="7" t="n">
        <v>46507</v>
      </c>
      <c r="D108" s="8" t="n">
        <v>98.17826692925107</v>
      </c>
    </row>
    <row r="109">
      <c r="A109" s="4" t="n">
        <v>108</v>
      </c>
      <c r="B109" s="4" t="inlineStr">
        <is>
          <t>VALDES LLC</t>
        </is>
      </c>
      <c r="C109" s="7" t="n">
        <v>45100</v>
      </c>
      <c r="D109" s="8" t="n">
        <v>98.24369718641279</v>
      </c>
    </row>
    <row r="110">
      <c r="A110" s="4" t="n">
        <v>109</v>
      </c>
      <c r="B110" s="4" t="inlineStr">
        <is>
          <t>JOLIET ELECTRIC MOTORS</t>
        </is>
      </c>
      <c r="C110" s="7" t="n">
        <v>44850</v>
      </c>
      <c r="D110" s="8" t="n">
        <v>98.30876474813572</v>
      </c>
    </row>
    <row r="111">
      <c r="A111" s="4" t="n">
        <v>110</v>
      </c>
      <c r="B111" s="4" t="inlineStr">
        <is>
          <t xml:space="preserve">REPUBLIC SERVICES INC </t>
        </is>
      </c>
      <c r="C111" s="7" t="n">
        <v>44678.02</v>
      </c>
      <c r="D111" s="8" t="n">
        <v>98.37358280441235</v>
      </c>
    </row>
    <row r="112">
      <c r="A112" s="4" t="n">
        <v>111</v>
      </c>
      <c r="B112" s="4" t="inlineStr">
        <is>
          <t>DODD CAMERA HOLDINGS, INC</t>
        </is>
      </c>
      <c r="C112" s="7" t="n">
        <v>44542.36</v>
      </c>
      <c r="D112" s="8" t="n">
        <v>98.43820404763609</v>
      </c>
    </row>
    <row r="113">
      <c r="A113" s="4" t="n">
        <v>112</v>
      </c>
      <c r="B113" s="4" t="inlineStr">
        <is>
          <t>SAFE BOATS INTERNATIONAL LLC</t>
        </is>
      </c>
      <c r="C113" s="7" t="n">
        <v>43269.48</v>
      </c>
      <c r="D113" s="8" t="n">
        <v>98.5009786197792</v>
      </c>
    </row>
    <row r="114">
      <c r="A114" s="4" t="n">
        <v>113</v>
      </c>
      <c r="B114" s="4" t="inlineStr">
        <is>
          <t>IDEXX DISTRIBUTION, INC</t>
        </is>
      </c>
      <c r="C114" s="7" t="n">
        <v>40288.5</v>
      </c>
      <c r="D114" s="8" t="n">
        <v>98.55942844052555</v>
      </c>
    </row>
    <row r="115">
      <c r="A115" s="4" t="n">
        <v>114</v>
      </c>
      <c r="B115" s="4" t="inlineStr">
        <is>
          <t>AIR ONE EQUIPMENT INC</t>
        </is>
      </c>
      <c r="C115" s="7" t="n">
        <v>38716.31</v>
      </c>
      <c r="D115" s="8" t="n">
        <v>98.61559735670411</v>
      </c>
    </row>
    <row r="116">
      <c r="A116" s="4" t="n">
        <v>115</v>
      </c>
      <c r="B116" s="4" t="inlineStr">
        <is>
          <t>SWANSON FLO</t>
        </is>
      </c>
      <c r="C116" s="7" t="n">
        <v>37201.76</v>
      </c>
      <c r="D116" s="8" t="n">
        <v>98.66956899137527</v>
      </c>
    </row>
    <row r="117">
      <c r="A117" s="4" t="n">
        <v>116</v>
      </c>
      <c r="B117" s="4" t="inlineStr">
        <is>
          <t>ZIPCAR  INC</t>
        </is>
      </c>
      <c r="C117" s="7" t="n">
        <v>35696.45</v>
      </c>
      <c r="D117" s="8" t="n">
        <v>98.72135674976245</v>
      </c>
    </row>
    <row r="118">
      <c r="A118" s="4" t="n">
        <v>117</v>
      </c>
      <c r="B118" s="4" t="inlineStr">
        <is>
          <t>PRESSURE WASHING SYSTEMS</t>
        </is>
      </c>
      <c r="C118" s="7" t="n">
        <v>34362</v>
      </c>
      <c r="D118" s="8" t="n">
        <v>98.7712085124363</v>
      </c>
    </row>
    <row r="119">
      <c r="A119" s="4" t="n">
        <v>118</v>
      </c>
      <c r="B119" s="4" t="inlineStr">
        <is>
          <t xml:space="preserve">RUDD RESOURCES </t>
        </is>
      </c>
      <c r="C119" s="7" t="n">
        <v>34250</v>
      </c>
      <c r="D119" s="8" t="n">
        <v>98.82089778755359</v>
      </c>
    </row>
    <row r="120">
      <c r="A120" s="4" t="n">
        <v>119</v>
      </c>
      <c r="B120" s="4" t="inlineStr">
        <is>
          <t>AECOM INC</t>
        </is>
      </c>
      <c r="C120" s="7" t="n">
        <v>34246.83</v>
      </c>
      <c r="D120" s="8" t="n">
        <v>98.8705824636927</v>
      </c>
    </row>
    <row r="121">
      <c r="A121" s="4" t="n">
        <v>120</v>
      </c>
      <c r="B121" s="4" t="inlineStr">
        <is>
          <t>MHLI FBO THE KENNEDY FORUM IL</t>
        </is>
      </c>
      <c r="C121" s="7" t="n">
        <v>33333</v>
      </c>
      <c r="D121" s="8" t="n">
        <v>98.91894137194042</v>
      </c>
    </row>
    <row r="122">
      <c r="A122" s="4" t="n">
        <v>121</v>
      </c>
      <c r="B122" s="4" t="inlineStr">
        <is>
          <t>SECURITAS SECURITY SERVICES USA, INC.</t>
        </is>
      </c>
      <c r="C122" s="7" t="n">
        <v>33159.31</v>
      </c>
      <c r="D122" s="8" t="n">
        <v>98.96704829390505</v>
      </c>
    </row>
    <row r="123">
      <c r="A123" s="4" t="n">
        <v>122</v>
      </c>
      <c r="B123" s="4" t="inlineStr">
        <is>
          <t>THE SAINT FRANCIS GROUP</t>
        </is>
      </c>
      <c r="C123" s="7" t="n">
        <v>32029.2</v>
      </c>
      <c r="D123" s="8" t="n">
        <v>99.01351567290028</v>
      </c>
    </row>
    <row r="124">
      <c r="A124" s="4" t="n">
        <v>123</v>
      </c>
      <c r="B124" s="4" t="inlineStr">
        <is>
          <t>WILLIAM FILAN LTD</t>
        </is>
      </c>
      <c r="C124" s="7" t="n">
        <v>32000</v>
      </c>
      <c r="D124" s="8" t="n">
        <v>99.05994068906826</v>
      </c>
    </row>
    <row r="125">
      <c r="A125" s="4" t="n">
        <v>124</v>
      </c>
      <c r="B125" s="4" t="inlineStr">
        <is>
          <t>Helicopters, Inc.</t>
        </is>
      </c>
      <c r="C125" s="7" t="n">
        <v>31787.1</v>
      </c>
      <c r="D125" s="8" t="n">
        <v>99.10605683380052</v>
      </c>
    </row>
    <row r="126">
      <c r="A126" s="4" t="n">
        <v>125</v>
      </c>
      <c r="B126" s="4" t="inlineStr">
        <is>
          <t>LESTER AND ROSALIE ANIXTER CTR</t>
        </is>
      </c>
      <c r="C126" s="7" t="n">
        <v>29913</v>
      </c>
      <c r="D126" s="8" t="n">
        <v>99.14945406844528</v>
      </c>
    </row>
    <row r="127">
      <c r="A127" s="4" t="n">
        <v>126</v>
      </c>
      <c r="B127" s="4" t="inlineStr">
        <is>
          <t>FORGE Service Solutions</t>
        </is>
      </c>
      <c r="C127" s="7" t="n">
        <v>27759.71</v>
      </c>
      <c r="D127" s="8" t="n">
        <v>99.18972734924428</v>
      </c>
    </row>
    <row r="128">
      <c r="A128" s="4" t="n">
        <v>127</v>
      </c>
      <c r="B128" s="4" t="inlineStr">
        <is>
          <t>HLP, INC.</t>
        </is>
      </c>
      <c r="C128" s="7" t="n">
        <v>27600</v>
      </c>
      <c r="D128" s="8" t="n">
        <v>99.22976892568916</v>
      </c>
    </row>
    <row r="129">
      <c r="A129" s="4" t="n">
        <v>128</v>
      </c>
      <c r="B129" s="4" t="inlineStr">
        <is>
          <t>J P SIMONS &amp; CO</t>
        </is>
      </c>
      <c r="C129" s="7" t="n">
        <v>25459.2</v>
      </c>
      <c r="D129" s="8" t="n">
        <v>99.26670466855239</v>
      </c>
    </row>
    <row r="130">
      <c r="A130" s="4" t="n">
        <v>129</v>
      </c>
      <c r="B130" s="4" t="inlineStr">
        <is>
          <t>GOLDSTAR COMMUNICATION</t>
        </is>
      </c>
      <c r="C130" s="7" t="n">
        <v>25181.25</v>
      </c>
      <c r="D130" s="8" t="n">
        <v>99.30323716662676</v>
      </c>
    </row>
    <row r="131">
      <c r="A131" s="4" t="n">
        <v>130</v>
      </c>
      <c r="B131" s="4" t="inlineStr">
        <is>
          <t>JOHNSON PIPE &amp; SUPPLY CO</t>
        </is>
      </c>
      <c r="C131" s="7" t="n">
        <v>25095.93</v>
      </c>
      <c r="D131" s="8" t="n">
        <v>99.33964588400177</v>
      </c>
    </row>
    <row r="132">
      <c r="A132" s="4" t="n">
        <v>131</v>
      </c>
      <c r="B132" s="4" t="inlineStr">
        <is>
          <t>Helen E Cejtin</t>
        </is>
      </c>
      <c r="C132" s="7" t="n">
        <v>24970.4</v>
      </c>
      <c r="D132" s="8" t="n">
        <v>99.37587248474304</v>
      </c>
    </row>
    <row r="133">
      <c r="A133" s="4" t="n">
        <v>132</v>
      </c>
      <c r="B133" s="4" t="inlineStr">
        <is>
          <t>5410 Car Wash LLC</t>
        </is>
      </c>
      <c r="C133" s="7" t="n">
        <v>23630</v>
      </c>
      <c r="D133" s="8" t="n">
        <v>99.41015445761958</v>
      </c>
    </row>
    <row r="134">
      <c r="A134" s="4" t="n">
        <v>133</v>
      </c>
      <c r="B134" s="4" t="inlineStr">
        <is>
          <t>GLOBETROTTERS ENGINEERING CORP</t>
        </is>
      </c>
      <c r="C134" s="7" t="n">
        <v>21716.55</v>
      </c>
      <c r="D134" s="8" t="n">
        <v>99.44166043214653</v>
      </c>
    </row>
    <row r="135">
      <c r="A135" s="4" t="n">
        <v>134</v>
      </c>
      <c r="B135" s="4" t="inlineStr">
        <is>
          <t>TOTAL FACILITY MAINTENANCE</t>
        </is>
      </c>
      <c r="C135" s="7" t="n">
        <v>21399.12</v>
      </c>
      <c r="D135" s="8" t="n">
        <v>99.47270588502091</v>
      </c>
    </row>
    <row r="136">
      <c r="A136" s="4" t="n">
        <v>135</v>
      </c>
      <c r="B136" s="4" t="inlineStr">
        <is>
          <t>MCCARTHY FORD INC</t>
        </is>
      </c>
      <c r="C136" s="7" t="n">
        <v>20678.6</v>
      </c>
      <c r="D136" s="8" t="n">
        <v>99.50270602062501</v>
      </c>
    </row>
    <row r="137">
      <c r="A137" s="4" t="n">
        <v>136</v>
      </c>
      <c r="B137" s="4" t="inlineStr">
        <is>
          <t>GREATER ILLINOIS TITLE CO. INC.</t>
        </is>
      </c>
      <c r="C137" s="7" t="n">
        <v>19425</v>
      </c>
      <c r="D137" s="8" t="n">
        <v>99.53088745622071</v>
      </c>
    </row>
    <row r="138">
      <c r="A138" s="4" t="n">
        <v>137</v>
      </c>
      <c r="B138" s="4" t="inlineStr">
        <is>
          <t>ARTS AUTO REBUILDERS</t>
        </is>
      </c>
      <c r="C138" s="7" t="n">
        <v>19333.3</v>
      </c>
      <c r="D138" s="8" t="n">
        <v>99.55893585512948</v>
      </c>
    </row>
    <row r="139">
      <c r="A139" s="4" t="n">
        <v>138</v>
      </c>
      <c r="B139" s="4" t="inlineStr">
        <is>
          <t>KENNETH YOUNG CENTER</t>
        </is>
      </c>
      <c r="C139" s="7" t="n">
        <v>18000</v>
      </c>
      <c r="D139" s="8" t="n">
        <v>99.58504992672394</v>
      </c>
    </row>
    <row r="140">
      <c r="A140" s="4" t="n">
        <v>139</v>
      </c>
      <c r="B140" s="4" t="inlineStr">
        <is>
          <t>BOARD OF TRUSTEES OF THE UNIV. OF ILLINOIS</t>
        </is>
      </c>
      <c r="C140" s="7" t="n">
        <v>17657</v>
      </c>
      <c r="D140" s="8" t="n">
        <v>99.61066638017638</v>
      </c>
    </row>
    <row r="141">
      <c r="A141" s="4" t="n">
        <v>140</v>
      </c>
      <c r="B141" s="4" t="inlineStr">
        <is>
          <t>JACOB PRESS' SONS INC</t>
        </is>
      </c>
      <c r="C141" s="7" t="n">
        <v>17316.8</v>
      </c>
      <c r="D141" s="8" t="n">
        <v>99.63578927767567</v>
      </c>
    </row>
    <row r="142">
      <c r="A142" s="4" t="n">
        <v>141</v>
      </c>
      <c r="B142" s="4" t="inlineStr">
        <is>
          <t>The Network Advocating Against Domestic Violence</t>
        </is>
      </c>
      <c r="C142" s="7" t="n">
        <v>13554.72</v>
      </c>
      <c r="D142" s="8" t="n">
        <v>99.65545421814917</v>
      </c>
    </row>
    <row r="143">
      <c r="A143" s="4" t="n">
        <v>142</v>
      </c>
      <c r="B143" s="4" t="inlineStr">
        <is>
          <t>MSC INDUSTRIAL SUPPLY CO</t>
        </is>
      </c>
      <c r="C143" s="7" t="n">
        <v>13487.25</v>
      </c>
      <c r="D143" s="8" t="n">
        <v>99.67502127437766</v>
      </c>
    </row>
    <row r="144">
      <c r="A144" s="4" t="n">
        <v>143</v>
      </c>
      <c r="B144" s="4" t="inlineStr">
        <is>
          <t>O'HARE TOWING SERVICE INC</t>
        </is>
      </c>
      <c r="C144" s="7" t="n">
        <v>13012.5</v>
      </c>
      <c r="D144" s="8" t="n">
        <v>99.69389957196783</v>
      </c>
    </row>
    <row r="145">
      <c r="A145" s="4" t="n">
        <v>144</v>
      </c>
      <c r="B145" s="4" t="inlineStr">
        <is>
          <t>VERITIV OPERATING COMPANY</t>
        </is>
      </c>
      <c r="C145" s="7" t="n">
        <v>12536.76</v>
      </c>
      <c r="D145" s="8" t="n">
        <v>99.71208767464577</v>
      </c>
    </row>
    <row r="146">
      <c r="A146" s="4" t="n">
        <v>145</v>
      </c>
      <c r="B146" s="4" t="inlineStr">
        <is>
          <t>HEIDELBERG USA INC.</t>
        </is>
      </c>
      <c r="C146" s="7" t="n">
        <v>12451.39</v>
      </c>
      <c r="D146" s="8" t="n">
        <v>99.73015192408528</v>
      </c>
    </row>
    <row r="147">
      <c r="A147" s="4" t="n">
        <v>146</v>
      </c>
      <c r="B147" s="4" t="inlineStr">
        <is>
          <t>MOBILE FACILITIES OF ILL, INC.</t>
        </is>
      </c>
      <c r="C147" s="7" t="n">
        <v>11550</v>
      </c>
      <c r="D147" s="8" t="n">
        <v>99.7469084533584</v>
      </c>
    </row>
    <row r="148">
      <c r="A148" s="4" t="n">
        <v>147</v>
      </c>
      <c r="B148" s="4" t="inlineStr">
        <is>
          <t>DRAPE KINGS</t>
        </is>
      </c>
      <c r="C148" s="7" t="n">
        <v>11207.36</v>
      </c>
      <c r="D148" s="8" t="n">
        <v>99.76316788677092</v>
      </c>
    </row>
    <row r="149">
      <c r="A149" s="4" t="n">
        <v>148</v>
      </c>
      <c r="B149" s="4" t="inlineStr">
        <is>
          <t>LINDAHL BROTHERS</t>
        </is>
      </c>
      <c r="C149" s="7" t="n">
        <v>10492.4</v>
      </c>
      <c r="D149" s="8" t="n">
        <v>99.77839006925969</v>
      </c>
    </row>
    <row r="150">
      <c r="A150" s="4" t="n">
        <v>149</v>
      </c>
      <c r="B150" s="4" t="inlineStr">
        <is>
          <t>VETERINARY SPECIALITY CENTER</t>
        </is>
      </c>
      <c r="C150" s="7" t="n">
        <v>10183.19</v>
      </c>
      <c r="D150" s="8" t="n">
        <v>99.79316365552192</v>
      </c>
    </row>
    <row r="151">
      <c r="A151" s="4" t="n">
        <v>150</v>
      </c>
      <c r="B151" s="4" t="inlineStr">
        <is>
          <t>Wood Dale Pharmacy</t>
        </is>
      </c>
      <c r="C151" s="7" t="n">
        <v>10181.3</v>
      </c>
      <c r="D151" s="8" t="n">
        <v>99.80793449980663</v>
      </c>
    </row>
    <row r="152">
      <c r="A152" s="4" t="n">
        <v>151</v>
      </c>
      <c r="B152" s="4" t="inlineStr">
        <is>
          <t>ACORN GARAGE INC</t>
        </is>
      </c>
      <c r="C152" s="7" t="n">
        <v>9321</v>
      </c>
      <c r="D152" s="8" t="n">
        <v>99.8214572365473</v>
      </c>
    </row>
    <row r="153">
      <c r="A153" s="4" t="n">
        <v>152</v>
      </c>
      <c r="B153" s="4" t="inlineStr">
        <is>
          <t>Grove Street Boat Marina LLC dba Canal Street Marina LLC</t>
        </is>
      </c>
      <c r="C153" s="7" t="n">
        <v>9192.369999999999</v>
      </c>
      <c r="D153" s="8" t="n">
        <v>99.83479335923082</v>
      </c>
    </row>
    <row r="154">
      <c r="A154" s="4" t="n">
        <v>153</v>
      </c>
      <c r="B154" s="4" t="inlineStr">
        <is>
          <t>Pathway Vet Alliance dba Eye Care for Animals Wheeling</t>
        </is>
      </c>
      <c r="C154" s="7" t="n">
        <v>9003.85</v>
      </c>
      <c r="D154" s="8" t="n">
        <v>99.8478559805378</v>
      </c>
    </row>
    <row r="155">
      <c r="A155" s="4" t="n">
        <v>154</v>
      </c>
      <c r="B155" s="4" t="inlineStr">
        <is>
          <t>INTEGRATED SOLUTIONS CONSULTING CORPORATION</t>
        </is>
      </c>
      <c r="C155" s="7" t="n">
        <v>8321.129999999999</v>
      </c>
      <c r="D155" s="8" t="n">
        <v>99.85992812412485</v>
      </c>
    </row>
    <row r="156">
      <c r="A156" s="4" t="n">
        <v>155</v>
      </c>
      <c r="B156" s="4" t="inlineStr">
        <is>
          <t>VICTORY TOYOTA OF MIDTOWN</t>
        </is>
      </c>
      <c r="C156" s="7" t="n">
        <v>7554.07</v>
      </c>
      <c r="D156" s="8" t="n">
        <v>99.87088743105872</v>
      </c>
    </row>
    <row r="157">
      <c r="A157" s="4" t="n">
        <v>156</v>
      </c>
      <c r="B157" s="4" t="inlineStr">
        <is>
          <t>HINCKLEY SPRINGS</t>
        </is>
      </c>
      <c r="C157" s="7" t="n">
        <v>7481.74</v>
      </c>
      <c r="D157" s="8" t="n">
        <v>99.88174180294823</v>
      </c>
    </row>
    <row r="158">
      <c r="A158" s="4" t="n">
        <v>157</v>
      </c>
      <c r="B158" s="4" t="inlineStr">
        <is>
          <t>CORPORATE CLEANING SERVICES</t>
        </is>
      </c>
      <c r="C158" s="7" t="n">
        <v>7420</v>
      </c>
      <c r="D158" s="8" t="n">
        <v>99.89250660357217</v>
      </c>
    </row>
    <row r="159">
      <c r="A159" s="4" t="n">
        <v>158</v>
      </c>
      <c r="B159" s="4" t="inlineStr">
        <is>
          <t>PRESENCE BEHAVIORAL HEALTH</t>
        </is>
      </c>
      <c r="C159" s="7" t="n">
        <v>6400</v>
      </c>
      <c r="D159" s="8" t="n">
        <v>99.90179160680577</v>
      </c>
    </row>
    <row r="160">
      <c r="A160" s="4" t="n">
        <v>159</v>
      </c>
      <c r="B160" s="4" t="inlineStr">
        <is>
          <t>Eusebio Molina</t>
        </is>
      </c>
      <c r="C160" s="7" t="n">
        <v>6075</v>
      </c>
      <c r="D160" s="8" t="n">
        <v>99.9106051059689</v>
      </c>
    </row>
    <row r="161">
      <c r="A161" s="4" t="n">
        <v>160</v>
      </c>
      <c r="B161" s="4" t="inlineStr">
        <is>
          <t>TRAFFIC CONTROL CORPORATION</t>
        </is>
      </c>
      <c r="C161" s="7" t="n">
        <v>6000</v>
      </c>
      <c r="D161" s="8" t="n">
        <v>99.9193097965004</v>
      </c>
    </row>
    <row r="162">
      <c r="A162" s="4" t="n">
        <v>161</v>
      </c>
      <c r="B162" s="4" t="inlineStr">
        <is>
          <t>LYNCH CHICAGO</t>
        </is>
      </c>
      <c r="C162" s="7" t="n">
        <v>5595.41</v>
      </c>
      <c r="D162" s="8" t="n">
        <v>99.92742751524153</v>
      </c>
    </row>
    <row r="163">
      <c r="A163" s="4" t="n">
        <v>162</v>
      </c>
      <c r="B163" s="4" t="inlineStr">
        <is>
          <t>GREENROOM SECURITY LLC</t>
        </is>
      </c>
      <c r="C163" s="7" t="n">
        <v>5572.5</v>
      </c>
      <c r="D163" s="8" t="n">
        <v>99.93551199657266</v>
      </c>
    </row>
    <row r="164">
      <c r="A164" s="4" t="n">
        <v>163</v>
      </c>
      <c r="B164" s="4" t="inlineStr">
        <is>
          <t>ILLINOIS HARLEY-DAVIDSON SALES</t>
        </is>
      </c>
      <c r="C164" s="7" t="n">
        <v>4620.63</v>
      </c>
      <c r="D164" s="8" t="n">
        <v>99.94221552227441</v>
      </c>
    </row>
    <row r="165">
      <c r="A165" s="4" t="n">
        <v>164</v>
      </c>
      <c r="B165" s="4" t="inlineStr">
        <is>
          <t>Central Decal Company, Inc.</t>
        </is>
      </c>
      <c r="C165" s="7" t="n">
        <v>3785</v>
      </c>
      <c r="D165" s="8" t="n">
        <v>99.94770673121802</v>
      </c>
    </row>
    <row r="166">
      <c r="A166" s="4" t="n">
        <v>165</v>
      </c>
      <c r="B166" s="4" t="inlineStr">
        <is>
          <t>AUDATEX NORTH AMERICA INC</t>
        </is>
      </c>
      <c r="C166" s="7" t="n">
        <v>3247.14</v>
      </c>
      <c r="D166" s="8" t="n">
        <v>99.95241762268677</v>
      </c>
    </row>
    <row r="167">
      <c r="A167" s="4" t="n">
        <v>166</v>
      </c>
      <c r="B167" s="4" t="inlineStr">
        <is>
          <t>CARGILL, INCORPORATED</t>
        </is>
      </c>
      <c r="C167" s="7" t="n">
        <v>3100</v>
      </c>
      <c r="D167" s="8" t="n">
        <v>99.95691504612803</v>
      </c>
    </row>
    <row r="168">
      <c r="A168" s="4" t="n">
        <v>167</v>
      </c>
      <c r="B168" s="4" t="inlineStr">
        <is>
          <t>CROWLEYS YACHT YARD LAKESIDE LLC</t>
        </is>
      </c>
      <c r="C168" s="7" t="n">
        <v>2865</v>
      </c>
      <c r="D168" s="8" t="n">
        <v>99.96107153585682</v>
      </c>
    </row>
    <row r="169">
      <c r="A169" s="4" t="n">
        <v>168</v>
      </c>
      <c r="B169" s="4" t="inlineStr">
        <is>
          <t>Contentporary Party Rental</t>
        </is>
      </c>
      <c r="C169" s="7" t="n">
        <v>2861.5</v>
      </c>
      <c r="D169" s="8" t="n">
        <v>99.96522294784947</v>
      </c>
    </row>
    <row r="170">
      <c r="A170" s="4" t="n">
        <v>169</v>
      </c>
      <c r="B170" s="4" t="inlineStr">
        <is>
          <t>Smith-Bernardin Consulting, Inc</t>
        </is>
      </c>
      <c r="C170" s="7" t="n">
        <v>2832.5</v>
      </c>
      <c r="D170" s="8" t="n">
        <v>99.96933228717121</v>
      </c>
    </row>
    <row r="171">
      <c r="A171" s="4" t="n">
        <v>170</v>
      </c>
      <c r="B171" s="4" t="inlineStr">
        <is>
          <t>ABEST SCALE CO., INC.</t>
        </is>
      </c>
      <c r="C171" s="7" t="n">
        <v>2286</v>
      </c>
      <c r="D171" s="8" t="n">
        <v>99.9726487742637</v>
      </c>
    </row>
    <row r="172">
      <c r="A172" s="4" t="n">
        <v>171</v>
      </c>
      <c r="B172" s="4" t="inlineStr">
        <is>
          <t>SHERWIN INDUSTRIES</t>
        </is>
      </c>
      <c r="C172" s="7" t="n">
        <v>2282</v>
      </c>
      <c r="D172" s="8" t="n">
        <v>99.9759594582292</v>
      </c>
    </row>
    <row r="173">
      <c r="A173" s="4" t="n">
        <v>172</v>
      </c>
      <c r="B173" s="4" t="inlineStr">
        <is>
          <t>ADVANTAGE CHEVROLET</t>
        </is>
      </c>
      <c r="C173" s="7" t="n">
        <v>2070.76</v>
      </c>
      <c r="D173" s="8" t="n">
        <v>99.9789636790567</v>
      </c>
    </row>
    <row r="174">
      <c r="A174" s="4" t="n">
        <v>173</v>
      </c>
      <c r="B174" s="4" t="inlineStr">
        <is>
          <t>RADIATION SAFETY SERVICES, INC</t>
        </is>
      </c>
      <c r="C174" s="7" t="n">
        <v>1415</v>
      </c>
      <c r="D174" s="8" t="n">
        <v>99.98101653524037</v>
      </c>
    </row>
    <row r="175">
      <c r="A175" s="4" t="n">
        <v>174</v>
      </c>
      <c r="B175" s="4" t="inlineStr">
        <is>
          <t>The RIV LLC</t>
        </is>
      </c>
      <c r="C175" s="7" t="n">
        <v>1409</v>
      </c>
      <c r="D175" s="8" t="n">
        <v>99.98306068673351</v>
      </c>
    </row>
    <row r="176">
      <c r="A176" s="4" t="n">
        <v>175</v>
      </c>
      <c r="B176" s="4" t="inlineStr">
        <is>
          <t>JACK PHELAN CHEVROLET</t>
        </is>
      </c>
      <c r="C176" s="7" t="n">
        <v>1349.96</v>
      </c>
      <c r="D176" s="8" t="n">
        <v>99.98501918407182</v>
      </c>
    </row>
    <row r="177">
      <c r="A177" s="4" t="n">
        <v>176</v>
      </c>
      <c r="B177" s="4" t="inlineStr">
        <is>
          <t>RADIATION DETECTION COMPANY</t>
        </is>
      </c>
      <c r="C177" s="7" t="n">
        <v>1235.19</v>
      </c>
      <c r="D177" s="8" t="n">
        <v>99.98681117518808</v>
      </c>
    </row>
    <row r="178">
      <c r="A178" s="4" t="n">
        <v>177</v>
      </c>
      <c r="B178" s="4" t="inlineStr">
        <is>
          <t>UPTOWN CAR WASH</t>
        </is>
      </c>
      <c r="C178" s="7" t="n">
        <v>1131</v>
      </c>
      <c r="D178" s="8" t="n">
        <v>99.98845200935327</v>
      </c>
    </row>
    <row r="179">
      <c r="A179" s="4" t="n">
        <v>178</v>
      </c>
      <c r="B179" s="4" t="inlineStr">
        <is>
          <t>THE CODE GROUP</t>
        </is>
      </c>
      <c r="C179" s="7" t="n">
        <v>982.5</v>
      </c>
      <c r="D179" s="8" t="n">
        <v>99.98987740242781</v>
      </c>
    </row>
    <row r="180">
      <c r="A180" s="4" t="n">
        <v>179</v>
      </c>
      <c r="B180" s="4" t="inlineStr">
        <is>
          <t>GARY JET CENTER INC.</t>
        </is>
      </c>
      <c r="C180" s="7" t="n">
        <v>965.79</v>
      </c>
      <c r="D180" s="8" t="n">
        <v>99.99127855293921</v>
      </c>
    </row>
    <row r="181">
      <c r="A181" s="4" t="n">
        <v>180</v>
      </c>
      <c r="B181" s="4" t="inlineStr">
        <is>
          <t>SUNRISE TRANSPORTATION, INC</t>
        </is>
      </c>
      <c r="C181" s="7" t="n">
        <v>816</v>
      </c>
      <c r="D181" s="8" t="n">
        <v>99.9924623908515</v>
      </c>
    </row>
    <row r="182">
      <c r="A182" s="4" t="n">
        <v>181</v>
      </c>
      <c r="B182" s="4" t="inlineStr">
        <is>
          <t>MEDVET</t>
        </is>
      </c>
      <c r="C182" s="7" t="n">
        <v>736.6400000000001</v>
      </c>
      <c r="D182" s="8" t="n">
        <v>99.99353109472369</v>
      </c>
    </row>
    <row r="183">
      <c r="A183" s="4" t="n">
        <v>182</v>
      </c>
      <c r="B183" s="4" t="inlineStr">
        <is>
          <t>DH Systems Solutions LLC</t>
        </is>
      </c>
      <c r="C183" s="7" t="n">
        <v>645</v>
      </c>
      <c r="D183" s="8" t="n">
        <v>99.99446684895582</v>
      </c>
    </row>
    <row r="184">
      <c r="A184" s="4" t="n">
        <v>183</v>
      </c>
      <c r="B184" s="4" t="inlineStr">
        <is>
          <t>HOLLYWOOD AUTO SPA</t>
        </is>
      </c>
      <c r="C184" s="7" t="n">
        <v>598</v>
      </c>
      <c r="D184" s="8" t="n">
        <v>99.99533441644546</v>
      </c>
    </row>
    <row r="185">
      <c r="A185" s="4" t="n">
        <v>184</v>
      </c>
      <c r="B185" s="4" t="inlineStr">
        <is>
          <t>MACON RESOURCES, INC.</t>
        </is>
      </c>
      <c r="C185" s="7" t="n">
        <v>572.95</v>
      </c>
      <c r="D185" s="8" t="n">
        <v>99.99616564185213</v>
      </c>
    </row>
    <row r="186">
      <c r="A186" s="4" t="n">
        <v>185</v>
      </c>
      <c r="B186" s="4" t="inlineStr">
        <is>
          <t>PHILLIPS AIR COMPRESSOR SERVIC</t>
        </is>
      </c>
      <c r="C186" s="7" t="n">
        <v>565</v>
      </c>
      <c r="D186" s="8" t="n">
        <v>99.99698533354385</v>
      </c>
    </row>
    <row r="187">
      <c r="A187" s="4" t="n">
        <v>186</v>
      </c>
      <c r="B187" s="4" t="inlineStr">
        <is>
          <t>ACCURATE DOCUMENT DESTRUCTION</t>
        </is>
      </c>
      <c r="C187" s="7" t="n">
        <v>544</v>
      </c>
      <c r="D187" s="8" t="n">
        <v>99.9977745588187</v>
      </c>
    </row>
    <row r="188">
      <c r="A188" s="4" t="n">
        <v>187</v>
      </c>
      <c r="B188" s="4" t="inlineStr">
        <is>
          <t>B &amp; W TRUCK REPAIR INC</t>
        </is>
      </c>
      <c r="C188" s="7" t="n">
        <v>477</v>
      </c>
      <c r="D188" s="8" t="n">
        <v>99.99846658171596</v>
      </c>
    </row>
    <row r="189">
      <c r="A189" s="4" t="n">
        <v>188</v>
      </c>
      <c r="B189" s="4" t="inlineStr">
        <is>
          <t>M &amp; C Castle Car Wash, Inc.</t>
        </is>
      </c>
      <c r="C189" s="7" t="n">
        <v>420</v>
      </c>
      <c r="D189" s="8" t="n">
        <v>99.99907591005316</v>
      </c>
    </row>
    <row r="190">
      <c r="A190" s="4" t="n">
        <v>189</v>
      </c>
      <c r="B190" s="4" t="inlineStr">
        <is>
          <t>RUSSO HARDWARE INC D/B/A/ RUSSO POWER EQUIPMENT</t>
        </is>
      </c>
      <c r="C190" s="7" t="n">
        <v>330</v>
      </c>
      <c r="D190" s="8" t="n">
        <v>99.9995546680324</v>
      </c>
    </row>
    <row r="191">
      <c r="A191" s="4" t="n">
        <v>190</v>
      </c>
      <c r="B191" s="4" t="inlineStr">
        <is>
          <t>NIKON, INC</t>
        </is>
      </c>
      <c r="C191" s="7" t="n">
        <v>180.52</v>
      </c>
      <c r="D191" s="8" t="n">
        <v>99.99981656315485</v>
      </c>
    </row>
    <row r="192">
      <c r="A192" s="4" t="n">
        <v>191</v>
      </c>
      <c r="B192" s="4" t="inlineStr">
        <is>
          <t>NEWTEK INNOVATIONS INC dba VITAL INFORMATION PLATES</t>
        </is>
      </c>
      <c r="C192" s="7" t="n">
        <v>78.08</v>
      </c>
      <c r="D192" s="8" t="n">
        <v>99.99992984019428</v>
      </c>
    </row>
    <row r="193">
      <c r="A193" s="4" t="n">
        <v>192</v>
      </c>
      <c r="B193" s="4" t="inlineStr">
        <is>
          <t>JOHNSON CONTROLS FIRE PROTECTION LP</t>
        </is>
      </c>
      <c r="C193" s="7" t="n">
        <v>48.36</v>
      </c>
      <c r="D193" s="8" t="n">
        <v>99.99999999999997</v>
      </c>
    </row>
    <row r="194">
      <c r="A194" s="4" t="n">
        <v>193</v>
      </c>
      <c r="B194" s="4" t="inlineStr">
        <is>
          <t>GLOBETROTTERS INTERNATIONAL INCORPORATED</t>
        </is>
      </c>
      <c r="C194" s="7" t="n">
        <v>0</v>
      </c>
      <c r="D194" s="8" t="n">
        <v>99.99999999999997</v>
      </c>
    </row>
    <row r="195">
      <c r="A195" s="4" t="n">
        <v>194</v>
      </c>
      <c r="B195" s="4" t="inlineStr">
        <is>
          <t>COSTAR REALTY INFORMATION, INC</t>
        </is>
      </c>
      <c r="C195" s="7" t="n">
        <v>0</v>
      </c>
      <c r="D195" s="8" t="n">
        <v>99.99999999999997</v>
      </c>
    </row>
    <row r="196">
      <c r="A196" s="4" t="n">
        <v>195</v>
      </c>
      <c r="B196" s="4" t="inlineStr">
        <is>
          <t>CHICAGO TRANSIT AUTHORITY</t>
        </is>
      </c>
      <c r="C196" s="7" t="n">
        <v>0</v>
      </c>
      <c r="D196" s="8" t="n">
        <v>99.99999999999997</v>
      </c>
    </row>
    <row r="197">
      <c r="A197" s="4" t="n">
        <v>196</v>
      </c>
      <c r="B197" s="4" t="inlineStr">
        <is>
          <t>AT &amp; T 09</t>
        </is>
      </c>
      <c r="C197" s="7" t="n">
        <v>0</v>
      </c>
      <c r="D197" s="8" t="n">
        <v>99.99999999999997</v>
      </c>
    </row>
    <row r="198">
      <c r="A198" s="4" t="n">
        <v>197</v>
      </c>
      <c r="B198" s="4" t="inlineStr">
        <is>
          <t>ARROW MESSENGER SERVICE, INC.</t>
        </is>
      </c>
      <c r="C198" s="7" t="n">
        <v>0</v>
      </c>
      <c r="D198" s="8" t="n">
        <v>99.99999999999997</v>
      </c>
    </row>
    <row r="199">
      <c r="A199" s="4" t="n">
        <v>198</v>
      </c>
      <c r="B199" s="4" t="inlineStr">
        <is>
          <t>CARUS CORP.</t>
        </is>
      </c>
      <c r="C199" s="7" t="n">
        <v>0</v>
      </c>
      <c r="D199" s="8" t="n">
        <v>99.99999999999997</v>
      </c>
    </row>
    <row r="200">
      <c r="A200" s="4" t="n">
        <v>199</v>
      </c>
      <c r="B200" s="4" t="inlineStr">
        <is>
          <t>A &amp; R JANITORIAL SERVICE, INC.</t>
        </is>
      </c>
      <c r="C200" s="7" t="n">
        <v>0</v>
      </c>
      <c r="D200" s="8" t="n">
        <v>99.99999999999997</v>
      </c>
    </row>
    <row r="201">
      <c r="A201" s="4" t="n">
        <v>200</v>
      </c>
      <c r="B201" s="4" t="inlineStr">
        <is>
          <t>ABM INDUSTRY GROUPS, LLC</t>
        </is>
      </c>
      <c r="C201" s="7" t="n">
        <v>0</v>
      </c>
      <c r="D201" s="8" t="n">
        <v>99.99999999999997</v>
      </c>
    </row>
    <row r="202">
      <c r="A202" s="4" t="n">
        <v>201</v>
      </c>
      <c r="B202" s="4" t="inlineStr">
        <is>
          <t>GEM BUSINESS FORMS, INC.</t>
        </is>
      </c>
      <c r="C202" s="7" t="n">
        <v>0</v>
      </c>
      <c r="D202" s="8" t="n">
        <v>99.99999999999997</v>
      </c>
    </row>
    <row r="203">
      <c r="A203" s="4" t="n">
        <v>202</v>
      </c>
      <c r="B203" s="4" t="inlineStr">
        <is>
          <t>LUSE ENVIRONMENTAL SERVICES, INC.</t>
        </is>
      </c>
      <c r="C203" s="7" t="n">
        <v>0</v>
      </c>
      <c r="D203" s="8" t="n">
        <v>99.99999999999997</v>
      </c>
    </row>
    <row r="204">
      <c r="A204" s="4" t="n">
        <v>203</v>
      </c>
      <c r="B204" s="4" t="inlineStr">
        <is>
          <t>JOHNSON CONTROLS INC</t>
        </is>
      </c>
      <c r="C204" s="7" t="n">
        <v>0</v>
      </c>
      <c r="D204" s="8" t="n">
        <v>99.99999999999997</v>
      </c>
    </row>
    <row r="205">
      <c r="A205" s="4" t="n">
        <v>204</v>
      </c>
      <c r="B205" s="4" t="inlineStr">
        <is>
          <t>NORTHWESTERN UNIVERSITY</t>
        </is>
      </c>
      <c r="C205" s="7" t="n">
        <v>0</v>
      </c>
      <c r="D205" s="8" t="n">
        <v>99.99999999999997</v>
      </c>
    </row>
    <row r="206">
      <c r="A206" s="4" t="n">
        <v>205</v>
      </c>
      <c r="B206" s="4" t="inlineStr">
        <is>
          <t>MCKESSON -  MEDICAL-SURGICAL GOVERNMENT SOLUTIONS LLC</t>
        </is>
      </c>
      <c r="C206" s="7" t="n">
        <v>0</v>
      </c>
      <c r="D206" s="8" t="n">
        <v>99.99999999999997</v>
      </c>
    </row>
    <row r="207">
      <c r="A207" s="4" t="n">
        <v>206</v>
      </c>
      <c r="B207" s="4" t="inlineStr">
        <is>
          <t>SIEMENS INDUSTRY INC. 01</t>
        </is>
      </c>
      <c r="C207" s="7" t="n">
        <v>0</v>
      </c>
      <c r="D207" s="8" t="n">
        <v>99.99999999999997</v>
      </c>
    </row>
    <row r="208">
      <c r="A208" s="4" t="n">
        <v>207</v>
      </c>
      <c r="B208" s="4" t="inlineStr">
        <is>
          <t>Unite USA, Inc.</t>
        </is>
      </c>
      <c r="C208" s="7" t="n">
        <v>0</v>
      </c>
      <c r="D208" s="8" t="n">
        <v>99.99999999999997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9" customWidth="1" min="2" max="2"/>
    <col width="19" customWidth="1" min="3" max="3"/>
    <col width="19" customWidth="1" min="4" max="4"/>
  </cols>
  <sheetData>
    <row r="1">
      <c r="A1" s="3" t="inlineStr">
        <is>
          <t>Dept Number</t>
        </is>
      </c>
      <c r="B1" s="3" t="inlineStr">
        <is>
          <t>Department Name</t>
        </is>
      </c>
      <c r="C1" s="3" t="inlineStr">
        <is>
          <t>Spend</t>
        </is>
      </c>
      <c r="D1" s="3" t="inlineStr">
        <is>
          <t>Cumulative %</t>
        </is>
      </c>
    </row>
    <row r="2">
      <c r="A2" s="4" t="n">
        <v>1</v>
      </c>
      <c r="B2" s="4" t="inlineStr">
        <is>
          <t>88-DEPARTMENT OF WATER MANAGEMENT</t>
        </is>
      </c>
      <c r="C2" s="7" t="n">
        <v>17845764.53</v>
      </c>
      <c r="D2" s="8" t="n">
        <v>25.89030958859369</v>
      </c>
    </row>
    <row r="3">
      <c r="A3" s="4" t="n">
        <v>2</v>
      </c>
      <c r="B3" s="4" t="inlineStr">
        <is>
          <t>85-CHICAGO DEPARTMENT OF AVIATION</t>
        </is>
      </c>
      <c r="C3" s="7" t="n">
        <v>11830336.82</v>
      </c>
      <c r="D3" s="8" t="n">
        <v>43.05354640550013</v>
      </c>
    </row>
    <row r="4">
      <c r="A4" s="4" t="n">
        <v>3</v>
      </c>
      <c r="B4" s="4" t="inlineStr">
        <is>
          <t>38-DEPARTMENT OF FLEET AND FACILITY MANAGEMENT</t>
        </is>
      </c>
      <c r="C4" s="7" t="n">
        <v>10677536.581</v>
      </c>
      <c r="D4" s="8" t="n">
        <v>58.54432166821868</v>
      </c>
    </row>
    <row r="5">
      <c r="A5" s="4" t="n">
        <v>4</v>
      </c>
      <c r="B5" s="4" t="inlineStr">
        <is>
          <t>06-DEPARTMENT OF TECHNOLOGY AND INNOVATION</t>
        </is>
      </c>
      <c r="C5" s="7" t="n">
        <v>6706190.91</v>
      </c>
      <c r="D5" s="8" t="n">
        <v>68.27354108766335</v>
      </c>
    </row>
    <row r="6">
      <c r="A6" s="4" t="n">
        <v>5</v>
      </c>
      <c r="B6" s="4" t="inlineStr">
        <is>
          <t>81-DEPARTMENT OF STREETS AND SANITATION</t>
        </is>
      </c>
      <c r="C6" s="7" t="n">
        <v>5767285.79</v>
      </c>
      <c r="D6" s="8" t="n">
        <v>76.64061408910214</v>
      </c>
    </row>
    <row r="7">
      <c r="A7" s="4" t="n">
        <v>6</v>
      </c>
      <c r="B7" s="4" t="inlineStr">
        <is>
          <t>84-CHICAGO DEPARTMENT OF TRANSPORTATION</t>
        </is>
      </c>
      <c r="C7" s="7" t="n">
        <v>5225827.7</v>
      </c>
      <c r="D7" s="8" t="n">
        <v>84.22214957233697</v>
      </c>
    </row>
    <row r="8">
      <c r="A8" s="4" t="n">
        <v>7</v>
      </c>
      <c r="B8" s="4" t="inlineStr">
        <is>
          <t>41-CHICAGO DEPARTMENT OF PUBLIC HEALTH</t>
        </is>
      </c>
      <c r="C8" s="7" t="n">
        <v>4680792.05</v>
      </c>
      <c r="D8" s="8" t="n">
        <v>91.01295727859153</v>
      </c>
    </row>
    <row r="9">
      <c r="A9" s="4" t="n">
        <v>8</v>
      </c>
      <c r="B9" s="4" t="inlineStr">
        <is>
          <t>59-CHICAGO FIRE DEPARTMENT</t>
        </is>
      </c>
      <c r="C9" s="7" t="n">
        <v>2382367.330000001</v>
      </c>
      <c r="D9" s="8" t="n">
        <v>94.4692523352568</v>
      </c>
    </row>
    <row r="10">
      <c r="A10" s="4" t="n">
        <v>9</v>
      </c>
      <c r="B10" s="4" t="inlineStr">
        <is>
          <t>67-DEPARTMENT OF BUILDINGS</t>
        </is>
      </c>
      <c r="C10" s="7" t="n">
        <v>1139292.92</v>
      </c>
      <c r="D10" s="8" t="n">
        <v>96.12211771747715</v>
      </c>
    </row>
    <row r="11">
      <c r="A11" s="4" t="n">
        <v>10</v>
      </c>
      <c r="B11" s="4" t="inlineStr">
        <is>
          <t>25-OFFICE OF CITY CLERK</t>
        </is>
      </c>
      <c r="C11" s="7" t="n">
        <v>595743.66</v>
      </c>
      <c r="D11" s="8" t="n">
        <v>96.98641175021039</v>
      </c>
    </row>
    <row r="12">
      <c r="A12" s="4" t="n">
        <v>11</v>
      </c>
      <c r="B12" s="4" t="inlineStr">
        <is>
          <t>73-CHICAGO ANIMAL CARE AND CONTROL</t>
        </is>
      </c>
      <c r="C12" s="7" t="n">
        <v>486976</v>
      </c>
      <c r="D12" s="8" t="n">
        <v>97.69290764625455</v>
      </c>
    </row>
    <row r="13">
      <c r="A13" s="4" t="n">
        <v>12</v>
      </c>
      <c r="B13" s="4" t="inlineStr">
        <is>
          <t>58-OFFICE OF EMERGENCY MANAGEMENT AND COMMUNICATIONS</t>
        </is>
      </c>
      <c r="C13" s="7" t="n">
        <v>313408.92</v>
      </c>
      <c r="D13" s="8" t="n">
        <v>98.14759558932285</v>
      </c>
    </row>
    <row r="14">
      <c r="A14" s="4" t="n">
        <v>13</v>
      </c>
      <c r="B14" s="4" t="inlineStr">
        <is>
          <t>33-DEPARTMENT OF HUMAN RESOURCES</t>
        </is>
      </c>
      <c r="C14" s="7" t="n">
        <v>217957.42</v>
      </c>
      <c r="D14" s="8" t="n">
        <v>98.46380423767998</v>
      </c>
    </row>
    <row r="15">
      <c r="A15" s="4" t="n">
        <v>14</v>
      </c>
      <c r="B15" s="4" t="inlineStr">
        <is>
          <t>50-DEPARTMENT OF FAMILY AND SUPPORT SERVICES</t>
        </is>
      </c>
      <c r="C15" s="7" t="n">
        <v>211646.72</v>
      </c>
      <c r="D15" s="8" t="n">
        <v>98.77085743761428</v>
      </c>
    </row>
    <row r="16">
      <c r="A16" s="4" t="n">
        <v>15</v>
      </c>
      <c r="B16" s="4" t="inlineStr">
        <is>
          <t>57-CHICAGO POLICE DEPARTMENT</t>
        </is>
      </c>
      <c r="C16" s="7" t="n">
        <v>194662.62</v>
      </c>
      <c r="D16" s="8" t="n">
        <v>99.05327041513927</v>
      </c>
    </row>
    <row r="17">
      <c r="A17" s="4" t="n">
        <v>16</v>
      </c>
      <c r="B17" s="4" t="inlineStr">
        <is>
          <t>91-CHICAGO PUBLIC LIBRARY</t>
        </is>
      </c>
      <c r="C17" s="7" t="n">
        <v>104464.5</v>
      </c>
      <c r="D17" s="8" t="n">
        <v>99.20482560581047</v>
      </c>
    </row>
    <row r="18">
      <c r="A18" s="4" t="n">
        <v>17</v>
      </c>
      <c r="B18" s="4" t="inlineStr">
        <is>
          <t>23-DEPARTMENT OF CULTURAL AFFAIRS AND SPECIAL EVENTS</t>
        </is>
      </c>
      <c r="C18" s="7" t="n">
        <v>102243.48</v>
      </c>
      <c r="D18" s="8" t="n">
        <v>99.35315858118764</v>
      </c>
    </row>
    <row r="19">
      <c r="A19" s="4" t="n">
        <v>18</v>
      </c>
      <c r="B19" s="4" t="inlineStr">
        <is>
          <t>70-DEPARTMENT OF BUSINESS AFFAIRS AND CONSUMER PROTECTION</t>
        </is>
      </c>
      <c r="C19" s="7" t="n">
        <v>101537.93</v>
      </c>
      <c r="D19" s="8" t="n">
        <v>99.50046795749739</v>
      </c>
    </row>
    <row r="20">
      <c r="A20" s="4" t="n">
        <v>19</v>
      </c>
      <c r="B20" s="4" t="inlineStr">
        <is>
          <t>03-OFFICE OF INSPECTOR GENERAL</t>
        </is>
      </c>
      <c r="C20" s="7" t="n">
        <v>99723.75</v>
      </c>
      <c r="D20" s="8" t="n">
        <v>99.64514535456242</v>
      </c>
    </row>
    <row r="21">
      <c r="A21" s="4" t="n">
        <v>20</v>
      </c>
      <c r="B21" s="4" t="inlineStr">
        <is>
          <t>01-OFFICE OF THE MAYOR</t>
        </is>
      </c>
      <c r="C21" s="7" t="n">
        <v>87736.25</v>
      </c>
      <c r="D21" s="8" t="n">
        <v>99.77243150533639</v>
      </c>
    </row>
    <row r="22">
      <c r="A22" s="4" t="n">
        <v>21</v>
      </c>
      <c r="B22" s="4" t="inlineStr">
        <is>
          <t>54-DEPARTMENT OF PLANNING AND DEVELOPMENT</t>
        </is>
      </c>
      <c r="C22" s="7" t="n">
        <v>70148.7301</v>
      </c>
      <c r="D22" s="8" t="n">
        <v>99.87420200311935</v>
      </c>
    </row>
    <row r="23">
      <c r="A23" s="4" t="n">
        <v>22</v>
      </c>
      <c r="B23" s="4" t="inlineStr">
        <is>
          <t>27-DEPARTMENT OF FINANCE</t>
        </is>
      </c>
      <c r="C23" s="7" t="n">
        <v>68079</v>
      </c>
      <c r="D23" s="8" t="n">
        <v>99.97296977423494</v>
      </c>
    </row>
    <row r="24">
      <c r="A24" s="4" t="n">
        <v>23</v>
      </c>
      <c r="B24" s="4" t="inlineStr">
        <is>
          <t>51-OFFICE OF PUBLIC SAFETY ADMINISTRATION</t>
        </is>
      </c>
      <c r="C24" s="7" t="n">
        <v>14402.36</v>
      </c>
      <c r="D24" s="8" t="n">
        <v>99.99386445535548</v>
      </c>
    </row>
    <row r="25">
      <c r="A25" s="4" t="n">
        <v>24</v>
      </c>
      <c r="B25" s="4" t="inlineStr">
        <is>
          <t>35-DEPARTMENT OF PROCUREMENT SERVICES</t>
        </is>
      </c>
      <c r="C25" s="7" t="n">
        <v>4229.13</v>
      </c>
      <c r="D25" s="8" t="n">
        <v>100</v>
      </c>
    </row>
    <row r="26">
      <c r="A26" s="4" t="n">
        <v>25</v>
      </c>
      <c r="B26" s="4" t="inlineStr">
        <is>
          <t>30-DEPARTMENT OF ADMINISTRATIVE HEARINGS</t>
        </is>
      </c>
      <c r="C26" s="7" t="n">
        <v>0</v>
      </c>
      <c r="D26" s="8" t="n">
        <v>100</v>
      </c>
    </row>
    <row r="27">
      <c r="A27" s="4" t="n">
        <v>26</v>
      </c>
      <c r="B27" s="4" t="inlineStr">
        <is>
          <t>21-DEPARTMENT OF HOUSING</t>
        </is>
      </c>
      <c r="C27" s="7" t="n">
        <v>0</v>
      </c>
      <c r="D27" s="8" t="n">
        <v>100</v>
      </c>
    </row>
    <row r="28">
      <c r="A28" s="4" t="n">
        <v>27</v>
      </c>
      <c r="B28" s="4" t="inlineStr">
        <is>
          <t>31-DEPARTMENT OF LAW</t>
        </is>
      </c>
      <c r="C28" s="7" t="n">
        <v>0</v>
      </c>
      <c r="D28" s="8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19" customWidth="1" min="3" max="3"/>
    <col width="19" customWidth="1" min="4" max="4"/>
  </cols>
  <sheetData>
    <row r="1">
      <c r="A1" s="3" t="inlineStr">
        <is>
          <t>Cat Number</t>
        </is>
      </c>
      <c r="B1" s="3" t="inlineStr">
        <is>
          <t>Category</t>
        </is>
      </c>
      <c r="C1" s="3" t="inlineStr">
        <is>
          <t>Spend</t>
        </is>
      </c>
      <c r="D1" s="3" t="inlineStr">
        <is>
          <t>Cumulative %</t>
        </is>
      </c>
    </row>
    <row r="2">
      <c r="A2" s="4" t="n">
        <v>1</v>
      </c>
      <c r="B2" s="4" t="inlineStr">
        <is>
          <t>Parts &amp; Supplies</t>
        </is>
      </c>
      <c r="C2" s="7" t="n">
        <v>17401063.08</v>
      </c>
      <c r="D2" s="8" t="n">
        <v>25.24514483840092</v>
      </c>
    </row>
    <row r="3">
      <c r="A3" s="4" t="n">
        <v>2</v>
      </c>
      <c r="B3" s="4" t="inlineStr">
        <is>
          <t>Facilities &amp; Maintenance</t>
        </is>
      </c>
      <c r="C3" s="7" t="n">
        <v>11403139.881</v>
      </c>
      <c r="D3" s="8" t="n">
        <v>41.78861213030793</v>
      </c>
    </row>
    <row r="4">
      <c r="A4" s="4" t="n">
        <v>3</v>
      </c>
      <c r="B4" s="4" t="inlineStr">
        <is>
          <t>Professional Services</t>
        </is>
      </c>
      <c r="C4" s="7" t="n">
        <v>9603111.210100001</v>
      </c>
      <c r="D4" s="8" t="n">
        <v>55.72063066754814</v>
      </c>
    </row>
    <row r="5">
      <c r="A5" s="4" t="n">
        <v>4</v>
      </c>
      <c r="B5" s="4" t="inlineStr">
        <is>
          <t>Environmental Services</t>
        </is>
      </c>
      <c r="C5" s="7" t="n">
        <v>6914748.189999999</v>
      </c>
      <c r="D5" s="8" t="n">
        <v>65.75242118374116</v>
      </c>
    </row>
    <row r="6">
      <c r="A6" s="4" t="n">
        <v>5</v>
      </c>
      <c r="B6" s="4" t="inlineStr">
        <is>
          <t>Utilities</t>
        </is>
      </c>
      <c r="C6" s="7" t="n">
        <v>6232988.930000001</v>
      </c>
      <c r="D6" s="8" t="n">
        <v>74.79512780405412</v>
      </c>
    </row>
    <row r="7">
      <c r="A7" s="4" t="n">
        <v>6</v>
      </c>
      <c r="B7" s="4" t="inlineStr">
        <is>
          <t>Aviation &amp; Airport Services</t>
        </is>
      </c>
      <c r="C7" s="7" t="n">
        <v>5615155.24</v>
      </c>
      <c r="D7" s="8" t="n">
        <v>82.94149257913693</v>
      </c>
    </row>
    <row r="8">
      <c r="A8" s="4" t="n">
        <v>7</v>
      </c>
      <c r="B8" s="4" t="inlineStr">
        <is>
          <t>Construction</t>
        </is>
      </c>
      <c r="C8" s="7" t="n">
        <v>4877561.63</v>
      </c>
      <c r="D8" s="8" t="n">
        <v>90.01777000204349</v>
      </c>
    </row>
    <row r="9">
      <c r="A9" s="4" t="n">
        <v>8</v>
      </c>
      <c r="B9" s="4" t="inlineStr">
        <is>
          <t>IT &amp; Technology</t>
        </is>
      </c>
      <c r="C9" s="7" t="n">
        <v>3020635.03</v>
      </c>
      <c r="D9" s="8" t="n">
        <v>94.4000521928335</v>
      </c>
    </row>
    <row r="10">
      <c r="A10" s="4" t="n">
        <v>9</v>
      </c>
      <c r="B10" s="4" t="inlineStr">
        <is>
          <t>Fleet &amp; Transportation</t>
        </is>
      </c>
      <c r="C10" s="7" t="n">
        <v>2332692.48</v>
      </c>
      <c r="D10" s="8" t="n">
        <v>97.78427988342403</v>
      </c>
    </row>
    <row r="11">
      <c r="A11" s="4" t="n">
        <v>10</v>
      </c>
      <c r="B11" s="4" t="inlineStr">
        <is>
          <t>Medical &amp; Health</t>
        </is>
      </c>
      <c r="C11" s="7" t="n">
        <v>986519.17</v>
      </c>
      <c r="D11" s="8" t="n">
        <v>99.21550389646342</v>
      </c>
    </row>
    <row r="12">
      <c r="A12" s="4" t="n">
        <v>11</v>
      </c>
      <c r="B12" s="4" t="inlineStr">
        <is>
          <t>Public Safety</t>
        </is>
      </c>
      <c r="C12" s="7" t="n">
        <v>527840.26</v>
      </c>
      <c r="D12" s="8" t="n">
        <v>99.98128491535731</v>
      </c>
    </row>
    <row r="13">
      <c r="A13" s="4" t="n">
        <v>12</v>
      </c>
      <c r="B13" s="4" t="inlineStr">
        <is>
          <t>Courier &amp; Delivery</t>
        </is>
      </c>
      <c r="C13" s="7" t="n">
        <v>12900</v>
      </c>
      <c r="D13" s="8" t="n">
        <v>100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2026-01-08T18:19:55Z</dcterms:created>
  <dcterms:modified xsi:type="dcterms:W3CDTF">2026-01-08T18:36:48Z</dcterms:modified>
</cp:coreProperties>
</file>